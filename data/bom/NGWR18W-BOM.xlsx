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Brijesh-pc\d\SURYA- BOM\1) OK BOMs\1) NGWR\"/>
    </mc:Choice>
  </mc:AlternateContent>
  <bookViews>
    <workbookView xWindow="-120" yWindow="-60" windowWidth="15600" windowHeight="11100" tabRatio="597"/>
  </bookViews>
  <sheets>
    <sheet name="Stock Item" sheetId="23" r:id="rId1"/>
    <sheet name="Stock Item (Read Me)" sheetId="10" state="hidden" r:id="rId2"/>
    <sheet name="Backend data" sheetId="24" r:id="rId3"/>
    <sheet name="NGWR18W-SKU" sheetId="25" r:id="rId4"/>
  </sheets>
  <externalReferences>
    <externalReference r:id="rId5"/>
    <externalReference r:id="rId6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3" i="23" l="1"/>
  <c r="Q25" i="23"/>
  <c r="M26" i="23" l="1"/>
  <c r="M24" i="23"/>
  <c r="M25" i="23"/>
  <c r="M23" i="23"/>
  <c r="R25" i="23"/>
  <c r="R23" i="23"/>
  <c r="M22" i="23" l="1"/>
  <c r="L18" i="23"/>
  <c r="M18" i="23" s="1"/>
  <c r="Q18" i="23"/>
  <c r="Q17" i="23"/>
  <c r="F18" i="23" l="1"/>
  <c r="Q15" i="23" l="1"/>
  <c r="M15" i="23"/>
  <c r="L15" i="23"/>
  <c r="Q14" i="23"/>
  <c r="M14" i="23"/>
  <c r="Q13" i="23"/>
  <c r="M13" i="23"/>
  <c r="L13" i="23"/>
  <c r="Q12" i="23"/>
  <c r="L12" i="23"/>
  <c r="M12" i="23" s="1"/>
  <c r="Q8" i="23"/>
  <c r="L8" i="23" s="1"/>
  <c r="M8" i="23" s="1"/>
  <c r="Q7" i="23"/>
  <c r="M7" i="23"/>
  <c r="L7" i="23"/>
  <c r="Q6" i="23"/>
  <c r="L6" i="23" s="1"/>
  <c r="M6" i="23" s="1"/>
  <c r="Q5" i="23"/>
  <c r="L5" i="23"/>
  <c r="M5" i="23" s="1"/>
  <c r="Q4" i="23"/>
  <c r="L4" i="23" s="1"/>
  <c r="M4" i="23" s="1"/>
  <c r="Q3" i="23"/>
  <c r="M3" i="23"/>
  <c r="L3" i="23"/>
  <c r="L17" i="23" l="1"/>
  <c r="M17" i="23" s="1"/>
  <c r="N16" i="23"/>
  <c r="Q16" i="23" s="1"/>
  <c r="L16" i="23" s="1"/>
  <c r="M16" i="23" s="1"/>
  <c r="Q2" i="23" l="1"/>
  <c r="M19" i="23" l="1"/>
  <c r="L2" i="23"/>
  <c r="M2" i="23" s="1"/>
  <c r="M20" i="23" l="1"/>
  <c r="G3" i="24"/>
  <c r="R2" i="25" l="1"/>
  <c r="S2" i="25"/>
  <c r="T2" i="25"/>
  <c r="U2" i="25"/>
  <c r="V2" i="25"/>
  <c r="C2" i="25" s="1"/>
  <c r="D2" i="25" s="1"/>
  <c r="R3" i="25"/>
  <c r="C3" i="25" s="1"/>
  <c r="D3" i="25" s="1"/>
  <c r="S3" i="25"/>
  <c r="T3" i="25"/>
  <c r="U3" i="25"/>
  <c r="V3" i="25"/>
  <c r="R4" i="25"/>
  <c r="C4" i="25" s="1"/>
  <c r="D4" i="25" s="1"/>
  <c r="S4" i="25"/>
  <c r="T4" i="25"/>
  <c r="U4" i="25"/>
  <c r="V4" i="25"/>
  <c r="R5" i="25"/>
  <c r="S5" i="25"/>
  <c r="T5" i="25"/>
  <c r="U5" i="25"/>
  <c r="V5" i="25"/>
  <c r="R6" i="25"/>
  <c r="S6" i="25"/>
  <c r="T6" i="25"/>
  <c r="U6" i="25"/>
  <c r="V6" i="25"/>
  <c r="R7" i="25"/>
  <c r="S7" i="25"/>
  <c r="T7" i="25"/>
  <c r="U7" i="25"/>
  <c r="V7" i="25"/>
  <c r="R8" i="25"/>
  <c r="S8" i="25"/>
  <c r="T8" i="25"/>
  <c r="U8" i="25"/>
  <c r="V8" i="25"/>
  <c r="R9" i="25"/>
  <c r="S9" i="25"/>
  <c r="T9" i="25"/>
  <c r="U9" i="25"/>
  <c r="C9" i="25" s="1"/>
  <c r="D9" i="25" s="1"/>
  <c r="V9" i="25"/>
  <c r="R10" i="25"/>
  <c r="S10" i="25"/>
  <c r="T10" i="25"/>
  <c r="U10" i="25"/>
  <c r="V10" i="25"/>
  <c r="C10" i="25" s="1"/>
  <c r="D10" i="25" s="1"/>
  <c r="R11" i="25"/>
  <c r="C11" i="25" s="1"/>
  <c r="D11" i="25" s="1"/>
  <c r="S11" i="25"/>
  <c r="T11" i="25"/>
  <c r="U11" i="25"/>
  <c r="V11" i="25"/>
  <c r="R12" i="25"/>
  <c r="C12" i="25" s="1"/>
  <c r="D12" i="25" s="1"/>
  <c r="S12" i="25"/>
  <c r="T12" i="25"/>
  <c r="U12" i="25"/>
  <c r="V12" i="25"/>
  <c r="R13" i="25"/>
  <c r="S13" i="25"/>
  <c r="T13" i="25"/>
  <c r="U13" i="25"/>
  <c r="V13" i="25"/>
  <c r="R14" i="25"/>
  <c r="S14" i="25"/>
  <c r="T14" i="25"/>
  <c r="U14" i="25"/>
  <c r="V14" i="25"/>
  <c r="R15" i="25"/>
  <c r="S15" i="25"/>
  <c r="T15" i="25"/>
  <c r="U15" i="25"/>
  <c r="V15" i="25"/>
  <c r="R16" i="25"/>
  <c r="S16" i="25"/>
  <c r="T16" i="25"/>
  <c r="U16" i="25"/>
  <c r="V16" i="25"/>
  <c r="R17" i="25"/>
  <c r="S17" i="25"/>
  <c r="T17" i="25"/>
  <c r="U17" i="25"/>
  <c r="C17" i="25" s="1"/>
  <c r="D17" i="25" s="1"/>
  <c r="V17" i="25"/>
  <c r="R18" i="25"/>
  <c r="S18" i="25"/>
  <c r="T18" i="25"/>
  <c r="U18" i="25"/>
  <c r="V18" i="25"/>
  <c r="C18" i="25" s="1"/>
  <c r="D18" i="25" s="1"/>
  <c r="R19" i="25"/>
  <c r="C19" i="25" s="1"/>
  <c r="D19" i="25" s="1"/>
  <c r="S19" i="25"/>
  <c r="T19" i="25"/>
  <c r="U19" i="25"/>
  <c r="V19" i="25"/>
  <c r="R20" i="25"/>
  <c r="C20" i="25" s="1"/>
  <c r="D20" i="25" s="1"/>
  <c r="S20" i="25"/>
  <c r="T20" i="25"/>
  <c r="U20" i="25"/>
  <c r="V20" i="25"/>
  <c r="R21" i="25"/>
  <c r="S21" i="25"/>
  <c r="T21" i="25"/>
  <c r="U21" i="25"/>
  <c r="V21" i="25"/>
  <c r="R22" i="25"/>
  <c r="S22" i="25"/>
  <c r="T22" i="25"/>
  <c r="U22" i="25"/>
  <c r="V22" i="25"/>
  <c r="R23" i="25"/>
  <c r="S23" i="25"/>
  <c r="T23" i="25"/>
  <c r="U23" i="25"/>
  <c r="V23" i="25"/>
  <c r="R24" i="25"/>
  <c r="S24" i="25"/>
  <c r="T24" i="25"/>
  <c r="U24" i="25"/>
  <c r="V24" i="25"/>
  <c r="R25" i="25"/>
  <c r="S25" i="25"/>
  <c r="T25" i="25"/>
  <c r="U25" i="25"/>
  <c r="C25" i="25" s="1"/>
  <c r="D25" i="25" s="1"/>
  <c r="V25" i="25"/>
  <c r="R26" i="25"/>
  <c r="S26" i="25"/>
  <c r="T26" i="25"/>
  <c r="U26" i="25"/>
  <c r="V26" i="25"/>
  <c r="C26" i="25" s="1"/>
  <c r="D26" i="25" s="1"/>
  <c r="R27" i="25"/>
  <c r="C27" i="25" s="1"/>
  <c r="D27" i="25" s="1"/>
  <c r="S27" i="25"/>
  <c r="T27" i="25"/>
  <c r="U27" i="25"/>
  <c r="V27" i="25"/>
  <c r="R28" i="25"/>
  <c r="C28" i="25" s="1"/>
  <c r="D28" i="25" s="1"/>
  <c r="S28" i="25"/>
  <c r="T28" i="25"/>
  <c r="U28" i="25"/>
  <c r="V28" i="25"/>
  <c r="R29" i="25"/>
  <c r="S29" i="25"/>
  <c r="T29" i="25"/>
  <c r="U29" i="25"/>
  <c r="V29" i="25"/>
  <c r="R30" i="25"/>
  <c r="S30" i="25"/>
  <c r="T30" i="25"/>
  <c r="U30" i="25"/>
  <c r="V30" i="25"/>
  <c r="R31" i="25"/>
  <c r="S31" i="25"/>
  <c r="T31" i="25"/>
  <c r="U31" i="25"/>
  <c r="V31" i="25"/>
  <c r="R32" i="25"/>
  <c r="S32" i="25"/>
  <c r="T32" i="25"/>
  <c r="U32" i="25"/>
  <c r="V32" i="25"/>
  <c r="R33" i="25"/>
  <c r="S33" i="25"/>
  <c r="T33" i="25"/>
  <c r="U33" i="25"/>
  <c r="C33" i="25" s="1"/>
  <c r="D33" i="25" s="1"/>
  <c r="V33" i="25"/>
  <c r="R34" i="25"/>
  <c r="S34" i="25"/>
  <c r="T34" i="25"/>
  <c r="U34" i="25"/>
  <c r="V34" i="25"/>
  <c r="C34" i="25" s="1"/>
  <c r="D34" i="25" s="1"/>
  <c r="R35" i="25"/>
  <c r="C35" i="25" s="1"/>
  <c r="D35" i="25" s="1"/>
  <c r="S35" i="25"/>
  <c r="T35" i="25"/>
  <c r="U35" i="25"/>
  <c r="V35" i="25"/>
  <c r="R36" i="25"/>
  <c r="C36" i="25" s="1"/>
  <c r="D36" i="25" s="1"/>
  <c r="S36" i="25"/>
  <c r="T36" i="25"/>
  <c r="U36" i="25"/>
  <c r="V36" i="25"/>
  <c r="R37" i="25"/>
  <c r="S37" i="25"/>
  <c r="T37" i="25"/>
  <c r="U37" i="25"/>
  <c r="V37" i="25"/>
  <c r="R38" i="25"/>
  <c r="S38" i="25"/>
  <c r="T38" i="25"/>
  <c r="U38" i="25"/>
  <c r="V38" i="25"/>
  <c r="R39" i="25"/>
  <c r="S39" i="25"/>
  <c r="T39" i="25"/>
  <c r="U39" i="25"/>
  <c r="V39" i="25"/>
  <c r="R40" i="25"/>
  <c r="S40" i="25"/>
  <c r="T40" i="25"/>
  <c r="U40" i="25"/>
  <c r="V40" i="25"/>
  <c r="R41" i="25"/>
  <c r="S41" i="25"/>
  <c r="T41" i="25"/>
  <c r="U41" i="25"/>
  <c r="C41" i="25" s="1"/>
  <c r="D41" i="25" s="1"/>
  <c r="V41" i="25"/>
  <c r="R42" i="25"/>
  <c r="S42" i="25"/>
  <c r="T42" i="25"/>
  <c r="U42" i="25"/>
  <c r="V42" i="25"/>
  <c r="C42" i="25" s="1"/>
  <c r="D42" i="25" s="1"/>
  <c r="R43" i="25"/>
  <c r="C43" i="25" s="1"/>
  <c r="D43" i="25" s="1"/>
  <c r="S43" i="25"/>
  <c r="T43" i="25"/>
  <c r="U43" i="25"/>
  <c r="V43" i="25"/>
  <c r="R44" i="25"/>
  <c r="C44" i="25" s="1"/>
  <c r="D44" i="25" s="1"/>
  <c r="S44" i="25"/>
  <c r="T44" i="25"/>
  <c r="U44" i="25"/>
  <c r="V44" i="25"/>
  <c r="R45" i="25"/>
  <c r="S45" i="25"/>
  <c r="T45" i="25"/>
  <c r="U45" i="25"/>
  <c r="V45" i="25"/>
  <c r="R46" i="25"/>
  <c r="S46" i="25"/>
  <c r="T46" i="25"/>
  <c r="U46" i="25"/>
  <c r="V46" i="25"/>
  <c r="R47" i="25"/>
  <c r="S47" i="25"/>
  <c r="T47" i="25"/>
  <c r="U47" i="25"/>
  <c r="V47" i="25"/>
  <c r="R48" i="25"/>
  <c r="S48" i="25"/>
  <c r="T48" i="25"/>
  <c r="U48" i="25"/>
  <c r="V48" i="25"/>
  <c r="R49" i="25"/>
  <c r="S49" i="25"/>
  <c r="T49" i="25"/>
  <c r="U49" i="25"/>
  <c r="C49" i="25" s="1"/>
  <c r="D49" i="25" s="1"/>
  <c r="V49" i="25"/>
  <c r="R50" i="25"/>
  <c r="S50" i="25"/>
  <c r="T50" i="25"/>
  <c r="U50" i="25"/>
  <c r="V50" i="25"/>
  <c r="C50" i="25" s="1"/>
  <c r="D50" i="25" s="1"/>
  <c r="R51" i="25"/>
  <c r="C51" i="25" s="1"/>
  <c r="D51" i="25" s="1"/>
  <c r="S51" i="25"/>
  <c r="T51" i="25"/>
  <c r="U51" i="25"/>
  <c r="V51" i="25"/>
  <c r="R52" i="25"/>
  <c r="C52" i="25" s="1"/>
  <c r="D52" i="25" s="1"/>
  <c r="S52" i="25"/>
  <c r="T52" i="25"/>
  <c r="U52" i="25"/>
  <c r="V52" i="25"/>
  <c r="R53" i="25"/>
  <c r="S53" i="25"/>
  <c r="T53" i="25"/>
  <c r="U53" i="25"/>
  <c r="V53" i="25"/>
  <c r="R54" i="25"/>
  <c r="S54" i="25"/>
  <c r="T54" i="25"/>
  <c r="U54" i="25"/>
  <c r="V54" i="25"/>
  <c r="R55" i="25"/>
  <c r="S55" i="25"/>
  <c r="T55" i="25"/>
  <c r="U55" i="25"/>
  <c r="V55" i="25"/>
  <c r="R56" i="25"/>
  <c r="S56" i="25"/>
  <c r="T56" i="25"/>
  <c r="U56" i="25"/>
  <c r="V56" i="25"/>
  <c r="R57" i="25"/>
  <c r="S57" i="25"/>
  <c r="T57" i="25"/>
  <c r="U57" i="25"/>
  <c r="C57" i="25" s="1"/>
  <c r="D57" i="25" s="1"/>
  <c r="V57" i="25"/>
  <c r="R58" i="25"/>
  <c r="S58" i="25"/>
  <c r="T58" i="25"/>
  <c r="U58" i="25"/>
  <c r="V58" i="25"/>
  <c r="C58" i="25" s="1"/>
  <c r="D58" i="25" s="1"/>
  <c r="R59" i="25"/>
  <c r="C59" i="25" s="1"/>
  <c r="D59" i="25" s="1"/>
  <c r="S59" i="25"/>
  <c r="T59" i="25"/>
  <c r="U59" i="25"/>
  <c r="V59" i="25"/>
  <c r="R60" i="25"/>
  <c r="C60" i="25" s="1"/>
  <c r="D60" i="25" s="1"/>
  <c r="S60" i="25"/>
  <c r="T60" i="25"/>
  <c r="U60" i="25"/>
  <c r="V60" i="25"/>
  <c r="R61" i="25"/>
  <c r="S61" i="25"/>
  <c r="T61" i="25"/>
  <c r="U61" i="25"/>
  <c r="V61" i="25"/>
  <c r="R62" i="25"/>
  <c r="S62" i="25"/>
  <c r="T62" i="25"/>
  <c r="U62" i="25"/>
  <c r="V62" i="25"/>
  <c r="R63" i="25"/>
  <c r="S63" i="25"/>
  <c r="T63" i="25"/>
  <c r="U63" i="25"/>
  <c r="V63" i="25"/>
  <c r="R64" i="25"/>
  <c r="S64" i="25"/>
  <c r="T64" i="25"/>
  <c r="U64" i="25"/>
  <c r="V64" i="25"/>
  <c r="R65" i="25"/>
  <c r="S65" i="25"/>
  <c r="T65" i="25"/>
  <c r="U65" i="25"/>
  <c r="C65" i="25" s="1"/>
  <c r="D65" i="25" s="1"/>
  <c r="V65" i="25"/>
  <c r="R66" i="25"/>
  <c r="S66" i="25"/>
  <c r="T66" i="25"/>
  <c r="U66" i="25"/>
  <c r="V66" i="25"/>
  <c r="C66" i="25" s="1"/>
  <c r="D66" i="25" s="1"/>
  <c r="R67" i="25"/>
  <c r="C67" i="25" s="1"/>
  <c r="D67" i="25" s="1"/>
  <c r="S67" i="25"/>
  <c r="T67" i="25"/>
  <c r="U67" i="25"/>
  <c r="V67" i="25"/>
  <c r="R68" i="25"/>
  <c r="C68" i="25" s="1"/>
  <c r="D68" i="25" s="1"/>
  <c r="S68" i="25"/>
  <c r="T68" i="25"/>
  <c r="U68" i="25"/>
  <c r="V68" i="25"/>
  <c r="R69" i="25"/>
  <c r="S69" i="25"/>
  <c r="T69" i="25"/>
  <c r="U69" i="25"/>
  <c r="V69" i="25"/>
  <c r="R70" i="25"/>
  <c r="S70" i="25"/>
  <c r="T70" i="25"/>
  <c r="U70" i="25"/>
  <c r="V70" i="25"/>
  <c r="R71" i="25"/>
  <c r="S71" i="25"/>
  <c r="T71" i="25"/>
  <c r="U71" i="25"/>
  <c r="V71" i="25"/>
  <c r="R72" i="25"/>
  <c r="S72" i="25"/>
  <c r="T72" i="25"/>
  <c r="U72" i="25"/>
  <c r="V72" i="25"/>
  <c r="R73" i="25"/>
  <c r="S73" i="25"/>
  <c r="T73" i="25"/>
  <c r="U73" i="25"/>
  <c r="C73" i="25" s="1"/>
  <c r="D73" i="25" s="1"/>
  <c r="V73" i="25"/>
  <c r="R74" i="25"/>
  <c r="S74" i="25"/>
  <c r="T74" i="25"/>
  <c r="U74" i="25"/>
  <c r="V74" i="25"/>
  <c r="C74" i="25" s="1"/>
  <c r="D74" i="25" s="1"/>
  <c r="R75" i="25"/>
  <c r="C75" i="25" s="1"/>
  <c r="D75" i="25" s="1"/>
  <c r="S75" i="25"/>
  <c r="T75" i="25"/>
  <c r="U75" i="25"/>
  <c r="V75" i="25"/>
  <c r="R76" i="25"/>
  <c r="C76" i="25" s="1"/>
  <c r="D76" i="25" s="1"/>
  <c r="S76" i="25"/>
  <c r="T76" i="25"/>
  <c r="U76" i="25"/>
  <c r="V76" i="25"/>
  <c r="R77" i="25"/>
  <c r="S77" i="25"/>
  <c r="T77" i="25"/>
  <c r="U77" i="25"/>
  <c r="V77" i="25"/>
  <c r="R78" i="25"/>
  <c r="S78" i="25"/>
  <c r="T78" i="25"/>
  <c r="U78" i="25"/>
  <c r="V78" i="25"/>
  <c r="R79" i="25"/>
  <c r="S79" i="25"/>
  <c r="T79" i="25"/>
  <c r="U79" i="25"/>
  <c r="V79" i="25"/>
  <c r="R80" i="25"/>
  <c r="S80" i="25"/>
  <c r="T80" i="25"/>
  <c r="U80" i="25"/>
  <c r="V80" i="25"/>
  <c r="R81" i="25"/>
  <c r="S81" i="25"/>
  <c r="T81" i="25"/>
  <c r="U81" i="25"/>
  <c r="C81" i="25" s="1"/>
  <c r="D81" i="25" s="1"/>
  <c r="V81" i="25"/>
  <c r="R82" i="25"/>
  <c r="S82" i="25"/>
  <c r="T82" i="25"/>
  <c r="U82" i="25"/>
  <c r="V82" i="25"/>
  <c r="C82" i="25" s="1"/>
  <c r="D82" i="25" s="1"/>
  <c r="R83" i="25"/>
  <c r="C83" i="25" s="1"/>
  <c r="D83" i="25" s="1"/>
  <c r="S83" i="25"/>
  <c r="T83" i="25"/>
  <c r="U83" i="25"/>
  <c r="V83" i="25"/>
  <c r="R84" i="25"/>
  <c r="C84" i="25" s="1"/>
  <c r="D84" i="25" s="1"/>
  <c r="S84" i="25"/>
  <c r="T84" i="25"/>
  <c r="U84" i="25"/>
  <c r="V84" i="25"/>
  <c r="R85" i="25"/>
  <c r="S85" i="25"/>
  <c r="T85" i="25"/>
  <c r="U85" i="25"/>
  <c r="V85" i="25"/>
  <c r="R86" i="25"/>
  <c r="S86" i="25"/>
  <c r="T86" i="25"/>
  <c r="U86" i="25"/>
  <c r="V86" i="25"/>
  <c r="R87" i="25"/>
  <c r="S87" i="25"/>
  <c r="T87" i="25"/>
  <c r="U87" i="25"/>
  <c r="V87" i="25"/>
  <c r="R88" i="25"/>
  <c r="S88" i="25"/>
  <c r="T88" i="25"/>
  <c r="U88" i="25"/>
  <c r="V88" i="25"/>
  <c r="R89" i="25"/>
  <c r="S89" i="25"/>
  <c r="T89" i="25"/>
  <c r="U89" i="25"/>
  <c r="C89" i="25" s="1"/>
  <c r="D89" i="25" s="1"/>
  <c r="V89" i="25"/>
  <c r="R90" i="25"/>
  <c r="S90" i="25"/>
  <c r="T90" i="25"/>
  <c r="U90" i="25"/>
  <c r="V90" i="25"/>
  <c r="C90" i="25" s="1"/>
  <c r="D90" i="25" s="1"/>
  <c r="R91" i="25"/>
  <c r="C91" i="25" s="1"/>
  <c r="D91" i="25" s="1"/>
  <c r="S91" i="25"/>
  <c r="T91" i="25"/>
  <c r="U91" i="25"/>
  <c r="V91" i="25"/>
  <c r="R92" i="25"/>
  <c r="C92" i="25" s="1"/>
  <c r="D92" i="25" s="1"/>
  <c r="S92" i="25"/>
  <c r="T92" i="25"/>
  <c r="U92" i="25"/>
  <c r="V92" i="25"/>
  <c r="R93" i="25"/>
  <c r="S93" i="25"/>
  <c r="T93" i="25"/>
  <c r="U93" i="25"/>
  <c r="V93" i="25"/>
  <c r="R94" i="25"/>
  <c r="S94" i="25"/>
  <c r="T94" i="25"/>
  <c r="U94" i="25"/>
  <c r="V94" i="25"/>
  <c r="R95" i="25"/>
  <c r="S95" i="25"/>
  <c r="T95" i="25"/>
  <c r="U95" i="25"/>
  <c r="V95" i="25"/>
  <c r="R96" i="25"/>
  <c r="S96" i="25"/>
  <c r="T96" i="25"/>
  <c r="U96" i="25"/>
  <c r="V96" i="25"/>
  <c r="R97" i="25"/>
  <c r="S97" i="25"/>
  <c r="T97" i="25"/>
  <c r="U97" i="25"/>
  <c r="C97" i="25" s="1"/>
  <c r="D97" i="25" s="1"/>
  <c r="V97" i="25"/>
  <c r="R98" i="25"/>
  <c r="S98" i="25"/>
  <c r="T98" i="25"/>
  <c r="U98" i="25"/>
  <c r="V98" i="25"/>
  <c r="C98" i="25" s="1"/>
  <c r="D98" i="25" s="1"/>
  <c r="R99" i="25"/>
  <c r="S99" i="25"/>
  <c r="T99" i="25"/>
  <c r="U99" i="25"/>
  <c r="V99" i="25"/>
  <c r="R100" i="25"/>
  <c r="S100" i="25"/>
  <c r="T100" i="25"/>
  <c r="U100" i="25"/>
  <c r="V100" i="25"/>
  <c r="R101" i="25"/>
  <c r="S101" i="25"/>
  <c r="T101" i="25"/>
  <c r="U101" i="25"/>
  <c r="V101" i="25"/>
  <c r="R102" i="25"/>
  <c r="S102" i="25"/>
  <c r="T102" i="25"/>
  <c r="U102" i="25"/>
  <c r="V102" i="25"/>
  <c r="R103" i="25"/>
  <c r="S103" i="25"/>
  <c r="T103" i="25"/>
  <c r="U103" i="25"/>
  <c r="V103" i="25"/>
  <c r="R104" i="25"/>
  <c r="S104" i="25"/>
  <c r="T104" i="25"/>
  <c r="U104" i="25"/>
  <c r="V104" i="25"/>
  <c r="R105" i="25"/>
  <c r="S105" i="25"/>
  <c r="T105" i="25"/>
  <c r="U105" i="25"/>
  <c r="C105" i="25" s="1"/>
  <c r="D105" i="25" s="1"/>
  <c r="V105" i="25"/>
  <c r="R106" i="25"/>
  <c r="S106" i="25"/>
  <c r="T106" i="25"/>
  <c r="U106" i="25"/>
  <c r="V106" i="25"/>
  <c r="C106" i="25" s="1"/>
  <c r="D106" i="25" s="1"/>
  <c r="R107" i="25"/>
  <c r="S107" i="25"/>
  <c r="T107" i="25"/>
  <c r="U107" i="25"/>
  <c r="V107" i="25"/>
  <c r="R108" i="25"/>
  <c r="S108" i="25"/>
  <c r="T108" i="25"/>
  <c r="U108" i="25"/>
  <c r="V108" i="25"/>
  <c r="R109" i="25"/>
  <c r="S109" i="25"/>
  <c r="T109" i="25"/>
  <c r="U109" i="25"/>
  <c r="V109" i="25"/>
  <c r="R110" i="25"/>
  <c r="S110" i="25"/>
  <c r="T110" i="25"/>
  <c r="U110" i="25"/>
  <c r="V110" i="25"/>
  <c r="R111" i="25"/>
  <c r="S111" i="25"/>
  <c r="T111" i="25"/>
  <c r="U111" i="25"/>
  <c r="V111" i="25"/>
  <c r="R112" i="25"/>
  <c r="S112" i="25"/>
  <c r="T112" i="25"/>
  <c r="U112" i="25"/>
  <c r="V112" i="25"/>
  <c r="R113" i="25"/>
  <c r="S113" i="25"/>
  <c r="T113" i="25"/>
  <c r="U113" i="25"/>
  <c r="C113" i="25" s="1"/>
  <c r="D113" i="25" s="1"/>
  <c r="V113" i="25"/>
  <c r="R114" i="25"/>
  <c r="S114" i="25"/>
  <c r="T114" i="25"/>
  <c r="U114" i="25"/>
  <c r="V114" i="25"/>
  <c r="C114" i="25" s="1"/>
  <c r="D114" i="25" s="1"/>
  <c r="R115" i="25"/>
  <c r="S115" i="25"/>
  <c r="T115" i="25"/>
  <c r="U115" i="25"/>
  <c r="V115" i="25"/>
  <c r="R116" i="25"/>
  <c r="S116" i="25"/>
  <c r="T116" i="25"/>
  <c r="U116" i="25"/>
  <c r="V116" i="25"/>
  <c r="R117" i="25"/>
  <c r="S117" i="25"/>
  <c r="T117" i="25"/>
  <c r="U117" i="25"/>
  <c r="V117" i="25"/>
  <c r="R118" i="25"/>
  <c r="S118" i="25"/>
  <c r="T118" i="25"/>
  <c r="U118" i="25"/>
  <c r="V118" i="25"/>
  <c r="R119" i="25"/>
  <c r="S119" i="25"/>
  <c r="T119" i="25"/>
  <c r="U119" i="25"/>
  <c r="V119" i="25"/>
  <c r="R120" i="25"/>
  <c r="S120" i="25"/>
  <c r="T120" i="25"/>
  <c r="U120" i="25"/>
  <c r="V120" i="25"/>
  <c r="R121" i="25"/>
  <c r="S121" i="25"/>
  <c r="T121" i="25"/>
  <c r="U121" i="25"/>
  <c r="C121" i="25" s="1"/>
  <c r="D121" i="25" s="1"/>
  <c r="V121" i="25"/>
  <c r="R122" i="25"/>
  <c r="S122" i="25"/>
  <c r="T122" i="25"/>
  <c r="U122" i="25"/>
  <c r="V122" i="25"/>
  <c r="C122" i="25" s="1"/>
  <c r="D122" i="25" s="1"/>
  <c r="R123" i="25"/>
  <c r="S123" i="25"/>
  <c r="T123" i="25"/>
  <c r="U123" i="25"/>
  <c r="V123" i="25"/>
  <c r="R124" i="25"/>
  <c r="S124" i="25"/>
  <c r="T124" i="25"/>
  <c r="U124" i="25"/>
  <c r="V124" i="25"/>
  <c r="R125" i="25"/>
  <c r="S125" i="25"/>
  <c r="T125" i="25"/>
  <c r="U125" i="25"/>
  <c r="V125" i="25"/>
  <c r="R126" i="25"/>
  <c r="S126" i="25"/>
  <c r="T126" i="25"/>
  <c r="U126" i="25"/>
  <c r="V126" i="25"/>
  <c r="R127" i="25"/>
  <c r="S127" i="25"/>
  <c r="T127" i="25"/>
  <c r="U127" i="25"/>
  <c r="V127" i="25"/>
  <c r="R128" i="25"/>
  <c r="S128" i="25"/>
  <c r="T128" i="25"/>
  <c r="U128" i="25"/>
  <c r="V128" i="25"/>
  <c r="R129" i="25"/>
  <c r="S129" i="25"/>
  <c r="T129" i="25"/>
  <c r="U129" i="25"/>
  <c r="C129" i="25" s="1"/>
  <c r="D129" i="25" s="1"/>
  <c r="V129" i="25"/>
  <c r="R130" i="25"/>
  <c r="S130" i="25"/>
  <c r="T130" i="25"/>
  <c r="U130" i="25"/>
  <c r="V130" i="25"/>
  <c r="C130" i="25" s="1"/>
  <c r="D130" i="25" s="1"/>
  <c r="R131" i="25"/>
  <c r="S131" i="25"/>
  <c r="T131" i="25"/>
  <c r="U131" i="25"/>
  <c r="V131" i="25"/>
  <c r="R132" i="25"/>
  <c r="S132" i="25"/>
  <c r="T132" i="25"/>
  <c r="U132" i="25"/>
  <c r="V132" i="25"/>
  <c r="R133" i="25"/>
  <c r="S133" i="25"/>
  <c r="T133" i="25"/>
  <c r="U133" i="25"/>
  <c r="V133" i="25"/>
  <c r="C132" i="25" l="1"/>
  <c r="D132" i="25" s="1"/>
  <c r="C128" i="25"/>
  <c r="D128" i="25" s="1"/>
  <c r="C127" i="25"/>
  <c r="D127" i="25" s="1"/>
  <c r="C126" i="25"/>
  <c r="D126" i="25" s="1"/>
  <c r="C124" i="25"/>
  <c r="D124" i="25" s="1"/>
  <c r="C120" i="25"/>
  <c r="D120" i="25" s="1"/>
  <c r="C119" i="25"/>
  <c r="D119" i="25" s="1"/>
  <c r="C118" i="25"/>
  <c r="D118" i="25" s="1"/>
  <c r="C116" i="25"/>
  <c r="D116" i="25" s="1"/>
  <c r="C112" i="25"/>
  <c r="D112" i="25" s="1"/>
  <c r="C111" i="25"/>
  <c r="D111" i="25" s="1"/>
  <c r="C110" i="25"/>
  <c r="D110" i="25" s="1"/>
  <c r="C108" i="25"/>
  <c r="D108" i="25" s="1"/>
  <c r="C104" i="25"/>
  <c r="D104" i="25" s="1"/>
  <c r="C103" i="25"/>
  <c r="D103" i="25" s="1"/>
  <c r="C102" i="25"/>
  <c r="D102" i="25" s="1"/>
  <c r="C100" i="25"/>
  <c r="D100" i="25" s="1"/>
  <c r="C96" i="25"/>
  <c r="D96" i="25" s="1"/>
  <c r="C95" i="25"/>
  <c r="D95" i="25" s="1"/>
  <c r="C131" i="25"/>
  <c r="D131" i="25" s="1"/>
  <c r="C123" i="25"/>
  <c r="D123" i="25" s="1"/>
  <c r="C115" i="25"/>
  <c r="D115" i="25" s="1"/>
  <c r="C107" i="25"/>
  <c r="D107" i="25" s="1"/>
  <c r="C99" i="25"/>
  <c r="D99" i="25" s="1"/>
  <c r="C94" i="25"/>
  <c r="D94" i="25" s="1"/>
  <c r="C88" i="25"/>
  <c r="D88" i="25" s="1"/>
  <c r="C87" i="25"/>
  <c r="D87" i="25" s="1"/>
  <c r="C86" i="25"/>
  <c r="D86" i="25" s="1"/>
  <c r="C80" i="25"/>
  <c r="D80" i="25" s="1"/>
  <c r="C79" i="25"/>
  <c r="D79" i="25" s="1"/>
  <c r="C78" i="25"/>
  <c r="D78" i="25" s="1"/>
  <c r="C72" i="25"/>
  <c r="D72" i="25" s="1"/>
  <c r="C71" i="25"/>
  <c r="D71" i="25" s="1"/>
  <c r="C70" i="25"/>
  <c r="D70" i="25" s="1"/>
  <c r="C64" i="25"/>
  <c r="D64" i="25" s="1"/>
  <c r="C63" i="25"/>
  <c r="D63" i="25" s="1"/>
  <c r="C62" i="25"/>
  <c r="D62" i="25" s="1"/>
  <c r="C56" i="25"/>
  <c r="D56" i="25" s="1"/>
  <c r="C55" i="25"/>
  <c r="D55" i="25" s="1"/>
  <c r="C54" i="25"/>
  <c r="D54" i="25" s="1"/>
  <c r="C48" i="25"/>
  <c r="D48" i="25" s="1"/>
  <c r="C47" i="25"/>
  <c r="D47" i="25" s="1"/>
  <c r="C46" i="25"/>
  <c r="D46" i="25" s="1"/>
  <c r="C40" i="25"/>
  <c r="D40" i="25" s="1"/>
  <c r="C39" i="25"/>
  <c r="D39" i="25" s="1"/>
  <c r="C38" i="25"/>
  <c r="D38" i="25" s="1"/>
  <c r="C31" i="25"/>
  <c r="D31" i="25" s="1"/>
  <c r="C30" i="25"/>
  <c r="D30" i="25" s="1"/>
  <c r="C23" i="25"/>
  <c r="D23" i="25" s="1"/>
  <c r="C22" i="25"/>
  <c r="D22" i="25" s="1"/>
  <c r="C16" i="25"/>
  <c r="D16" i="25" s="1"/>
  <c r="C15" i="25"/>
  <c r="D15" i="25" s="1"/>
  <c r="C14" i="25"/>
  <c r="D14" i="25" s="1"/>
  <c r="C6" i="25"/>
  <c r="D6" i="25" s="1"/>
  <c r="C133" i="25"/>
  <c r="D133" i="25" s="1"/>
  <c r="C125" i="25"/>
  <c r="D125" i="25" s="1"/>
  <c r="C117" i="25"/>
  <c r="D117" i="25" s="1"/>
  <c r="C109" i="25"/>
  <c r="D109" i="25" s="1"/>
  <c r="C101" i="25"/>
  <c r="D101" i="25" s="1"/>
  <c r="C93" i="25"/>
  <c r="D93" i="25" s="1"/>
  <c r="C85" i="25"/>
  <c r="D85" i="25" s="1"/>
  <c r="C77" i="25"/>
  <c r="D77" i="25" s="1"/>
  <c r="C69" i="25"/>
  <c r="D69" i="25" s="1"/>
  <c r="C61" i="25"/>
  <c r="D61" i="25" s="1"/>
  <c r="C53" i="25"/>
  <c r="D53" i="25" s="1"/>
  <c r="C45" i="25"/>
  <c r="D45" i="25" s="1"/>
  <c r="C37" i="25"/>
  <c r="D37" i="25" s="1"/>
  <c r="C32" i="25"/>
  <c r="D32" i="25" s="1"/>
  <c r="C29" i="25"/>
  <c r="D29" i="25" s="1"/>
  <c r="C24" i="25"/>
  <c r="D24" i="25" s="1"/>
  <c r="C21" i="25"/>
  <c r="D21" i="25" s="1"/>
  <c r="C13" i="25"/>
  <c r="D13" i="25" s="1"/>
  <c r="C8" i="25"/>
  <c r="D8" i="25" s="1"/>
  <c r="C7" i="25"/>
  <c r="D7" i="25" s="1"/>
  <c r="C5" i="25"/>
  <c r="D5" i="25" s="1"/>
  <c r="F19" i="23"/>
  <c r="H5" i="24" l="1"/>
  <c r="H3" i="24" l="1"/>
  <c r="H4" i="24" s="1"/>
  <c r="G4" i="24" s="1"/>
  <c r="F3" i="24"/>
  <c r="A2" i="23" l="1"/>
  <c r="E3" i="24"/>
  <c r="D3" i="24"/>
  <c r="H8" i="24" l="1"/>
  <c r="D4" i="24"/>
  <c r="I3" i="24"/>
  <c r="I7" i="24" s="1"/>
  <c r="H7" i="24" l="1"/>
  <c r="H6" i="24"/>
  <c r="I6" i="24"/>
  <c r="I8" i="24"/>
  <c r="C3" i="24"/>
  <c r="E7" i="24" l="1"/>
  <c r="E8" i="24"/>
  <c r="C8" i="24"/>
  <c r="C6" i="24"/>
  <c r="F2" i="23" s="1"/>
  <c r="F7" i="24"/>
  <c r="F8" i="24"/>
  <c r="C7" i="24"/>
  <c r="G6" i="24"/>
  <c r="E6" i="24"/>
  <c r="F4" i="23" s="1"/>
  <c r="F6" i="24"/>
  <c r="D8" i="24" l="1"/>
  <c r="D6" i="24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 shape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 shape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 shape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 shape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<sst xmlns="http://schemas.openxmlformats.org/spreadsheetml/2006/main" count="1417" uniqueCount="440">
  <si>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</si>
  <si>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</si>
  <si>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</si>
  <si>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</si>
  <si>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</si>
  <si>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</si>
  <si>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</si>
  <si>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</si>
  <si>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</si>
  <si>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</si>
  <si>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</si>
  <si>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</si>
  <si>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</si>
  <si>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</si>
  <si>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</si>
  <si>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</si>
  <si>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</si>
  <si>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</si>
  <si>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</si>
  <si>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</si>
  <si>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</si>
  <si>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</si>
  <si>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</si>
  <si>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</si>
  <si>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</si>
  <si>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</si>
  <si>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</si>
  <si>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</si>
  <si>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</si>
  <si>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</si>
  <si>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</si>
  <si>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</si>
  <si>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</si>
  <si>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</si>
  <si>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</si>
  <si>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</si>
  <si>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</si>
  <si>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</si>
  <si>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</si>
  <si>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</si>
  <si>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</si>
  <si>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</si>
  <si>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</si>
  <si>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</si>
  <si>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</si>
  <si>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</si>
  <si>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</si>
  <si>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</si>
  <si>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</si>
  <si>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</si>
  <si>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</si>
  <si>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</si>
  <si>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</si>
  <si>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</si>
  <si>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</si>
  <si>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</si>
  <si>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</si>
  <si>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</si>
  <si>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</si>
  <si>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</si>
  <si>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</si>
  <si>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</si>
  <si>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</si>
  <si>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</si>
  <si>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</si>
  <si>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</si>
  <si>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</si>
  <si>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</si>
  <si>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</si>
  <si>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</si>
  <si>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</si>
  <si>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</si>
  <si>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</si>
  <si>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</si>
  <si>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</si>
  <si>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</si>
  <si>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</si>
  <si>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</si>
  <si>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</si>
  <si>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</si>
  <si>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</si>
  <si>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</si>
  <si>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</si>
  <si>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</si>
  <si>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</si>
  <si>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</si>
  <si>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</si>
  <si>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</si>
  <si>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</si>
  <si>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</si>
  <si>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</si>
  <si>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</si>
  <si>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</si>
  <si>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</si>
  <si>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</si>
  <si>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</si>
  <si>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</si>
  <si>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</si>
  <si>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</si>
  <si>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</si>
  <si>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</si>
  <si>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</si>
  <si>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</si>
  <si>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</si>
  <si>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</si>
  <si>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</si>
  <si>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</si>
  <si>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</si>
  <si>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</si>
  <si>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</si>
  <si>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</si>
  <si>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</si>
  <si>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</si>
  <si>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</si>
  <si>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</si>
  <si>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</si>
  <si>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</si>
  <si>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</si>
  <si>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</si>
  <si>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</si>
  <si>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</si>
  <si>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</si>
  <si>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</si>
  <si>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</si>
  <si>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</si>
  <si>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</si>
  <si>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</si>
  <si>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</si>
  <si>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</si>
  <si>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</si>
  <si>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</si>
  <si>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</si>
  <si>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</si>
  <si>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</si>
  <si>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</si>
  <si>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</si>
  <si>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</si>
  <si>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</si>
  <si>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</si>
  <si>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</si>
  <si>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</si>
  <si>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</si>
  <si>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</si>
  <si>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</si>
  <si>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</si>
  <si>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</si>
  <si>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</si>
  <si>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</si>
  <si>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</si>
  <si>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</si>
  <si>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</si>
  <si>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</si>
  <si>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</si>
  <si>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</si>
  <si>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</si>
  <si>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</si>
  <si>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</si>
  <si>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</si>
  <si>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</si>
  <si>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</si>
  <si>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</si>
  <si>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</si>
  <si>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</si>
  <si>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</si>
  <si>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</si>
  <si>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</si>
  <si>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</si>
  <si>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</si>
  <si>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</si>
  <si>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</si>
  <si>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</si>
  <si>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</si>
  <si>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</si>
  <si>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</si>
  <si>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</si>
  <si>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</si>
  <si>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</si>
  <si>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</si>
  <si>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</si>
  <si>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</si>
  <si>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</si>
  <si>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</si>
  <si>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</si>
  <si>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</si>
  <si>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</si>
  <si>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</si>
  <si>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</si>
  <si>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</si>
  <si>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</si>
  <si>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</si>
  <si>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</si>
  <si>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</si>
  <si>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</si>
  <si>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</si>
  <si>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</si>
  <si>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</si>
  <si>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</si>
  <si>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</si>
  <si>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COLOR TEMPERATURE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</si>
  <si>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</si>
  <si>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</si>
  <si>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</si>
  <si>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</si>
  <si>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</si>
  <si>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</si>
  <si>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</si>
  <si>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R</t>
  </si>
  <si>
    <t>30-</t>
  </si>
  <si>
    <t>40-</t>
  </si>
  <si>
    <t>60-</t>
  </si>
  <si>
    <t>Conn. 2Pin Ass. Wire Black Male (Small)</t>
  </si>
  <si>
    <t>Sleeve M4mm Fiber Glass White</t>
  </si>
  <si>
    <t>T</t>
  </si>
  <si>
    <t>W</t>
  </si>
  <si>
    <t>A</t>
  </si>
  <si>
    <t>C</t>
  </si>
  <si>
    <t>-</t>
  </si>
  <si>
    <t>I-</t>
  </si>
  <si>
    <t>BT-</t>
  </si>
  <si>
    <t>ID-</t>
  </si>
  <si>
    <t>BTD-</t>
  </si>
  <si>
    <t>Downlight Series</t>
  </si>
  <si>
    <t>BOM LED PCB</t>
  </si>
  <si>
    <t>HS-62 I-58.8 H-53.8mm 3W NGWR18W (OUCHI)</t>
  </si>
  <si>
    <t>Lens NGWR18W - 35016 - (Honghui)</t>
  </si>
  <si>
    <t>Refl. NGWR18W - 35016 - (Honghui)</t>
  </si>
  <si>
    <t>HS Ring R-O-57 I-29.2 H-22mm 3W NGWR18W (OUCHI)</t>
  </si>
  <si>
    <t>Housing-O-66 I-41 H-42mm 3W NGWR18W (OUCHI)</t>
  </si>
  <si>
    <t>Gasket-51X1.3mm 3W NGWR18W (OUCHI)</t>
  </si>
  <si>
    <t>PBX-L-124 W-120 H-120mm NGWR18W (OUCHI)</t>
  </si>
  <si>
    <t>Screw M4x6.5 Coller Comb Head Philips</t>
  </si>
  <si>
    <t>Screw-M3X6mm CSK + Head-SS</t>
  </si>
  <si>
    <t>Cable Gland-M8-SS - NGWR12 &amp; NGWR18W</t>
  </si>
  <si>
    <t>Electronics Store</t>
  </si>
  <si>
    <t>Trim-O-82 I-66 H-33mm 3W White NGWR18W (OUCHI)</t>
  </si>
  <si>
    <t>Trim-O-82 I-66 H-33mm 3W Black NGWR18W (OUCHI)</t>
  </si>
  <si>
    <t>Trimless Trim-O-107 I-66 H-33mm 3W White NGWR18W (OUCHI)</t>
  </si>
  <si>
    <t>Refl-O-70 H-27  L-38mm 3W White-PC NGWR18W (OUCHI)</t>
  </si>
  <si>
    <t>Refl-O-70 H-27  L-38mm 3W Black-PC NGWR18W (OUCHI)</t>
  </si>
  <si>
    <t>Refl-O-70 H-27  L-38mm 3W Alloy Black-PC NGWR18W (OUCHI)</t>
  </si>
  <si>
    <t>Refl-O-70 H-27  L-38mm 3W Chrome-PC NGWR18W (OUCHI)</t>
  </si>
  <si>
    <t>PS 18W 440mA Maxic New Pcb</t>
  </si>
  <si>
    <t>PS 18W 450MA 36V DALI SINGLE COLOUR</t>
  </si>
  <si>
    <t>PS 18W 400MA 36V BT SINGLE COLOUR</t>
  </si>
  <si>
    <t>PS 18W440mA 36V Dali Dual Colour</t>
  </si>
  <si>
    <t>PS 18W 400MA 36V BT DUAL COLOUR</t>
  </si>
  <si>
    <t>COB 30-36W 3000K 12LED 34-38V 890mA 19x19mm L-17mm</t>
  </si>
  <si>
    <t>COB 30-36W 4000K 12LED 34-38V 890mA 19x19mm L-17mm</t>
  </si>
  <si>
    <t>COB 30-36W 6000K 12LED 34-38V 890mA 19x19mm L-17mm</t>
  </si>
  <si>
    <t>COB-30-36W 2700-6000K 12LED 34-38V 2X640mA 19x19mm L-17mm- (BT+DC)</t>
  </si>
  <si>
    <t>COB-30-36W 2700-6000K 12LED 34-38V 2X640mA 19x19mm L-17mm- (DALI+DC)</t>
  </si>
  <si>
    <t>Round Black Trim</t>
  </si>
  <si>
    <t>Chrome Reflector</t>
  </si>
  <si>
    <t>18 Watt</t>
  </si>
  <si>
    <t>Bluetooth + Dual Color (2700K - 6000K)</t>
  </si>
  <si>
    <t>2700K - 6000K Bluetooth + Dual Color (Driving System)</t>
  </si>
  <si>
    <t>Medium - 32°</t>
  </si>
  <si>
    <t>NGR18CBM26BTD</t>
  </si>
  <si>
    <t>Round White Trimless</t>
  </si>
  <si>
    <t>NGR18CTM26BTD</t>
  </si>
  <si>
    <t>Round White Trim</t>
  </si>
  <si>
    <t>NGR18CRM26BTD</t>
  </si>
  <si>
    <t>Black Alloy Reflector</t>
  </si>
  <si>
    <t>NGR18ABM26BTD</t>
  </si>
  <si>
    <t>NGR18ATM26BTD</t>
  </si>
  <si>
    <t>NGR18ARM26BTD</t>
  </si>
  <si>
    <t>Black Reflector</t>
  </si>
  <si>
    <t>NGR18BBM26BTD</t>
  </si>
  <si>
    <t>NGR18BTM26BTD</t>
  </si>
  <si>
    <t>NGR18BRM26BTD</t>
  </si>
  <si>
    <t>White Reflector</t>
  </si>
  <si>
    <t>NGR18WBM26BTD</t>
  </si>
  <si>
    <t>NGR18WTM26BTD</t>
  </si>
  <si>
    <t>NGR18WRM26BTD</t>
  </si>
  <si>
    <t>Dali + Dual Color (2700K - 6000K)</t>
  </si>
  <si>
    <t>2700K - 6000K Dali + Dual Color (Driving System)</t>
  </si>
  <si>
    <t>NGR18CBM26ID</t>
  </si>
  <si>
    <t>NGR18CTM26ID</t>
  </si>
  <si>
    <t>NGR18CRM26ID</t>
  </si>
  <si>
    <t>NGR18ABM26ID</t>
  </si>
  <si>
    <t>NGR18ATM26ID</t>
  </si>
  <si>
    <t>NGR18ARM26ID</t>
  </si>
  <si>
    <t>NGR18BBM26ID</t>
  </si>
  <si>
    <t>NGR18BTM26ID</t>
  </si>
  <si>
    <t>NGR18BRM26ID</t>
  </si>
  <si>
    <t>NGR18WBM26ID</t>
  </si>
  <si>
    <t>NGR18WTM26ID</t>
  </si>
  <si>
    <t>NGR18WRM26ID</t>
  </si>
  <si>
    <t>Bluetooth Dimming - 24V DC</t>
  </si>
  <si>
    <t>6000k</t>
  </si>
  <si>
    <t>NGR18CBM60BT</t>
  </si>
  <si>
    <t>NGR18CTM60BT</t>
  </si>
  <si>
    <t>NGR18CRM60BT</t>
  </si>
  <si>
    <t>4000K</t>
  </si>
  <si>
    <t>NGR18CBM40BT</t>
  </si>
  <si>
    <t>NGR18CTM40BT</t>
  </si>
  <si>
    <t>NGR18CRM40BT</t>
  </si>
  <si>
    <t>3000K</t>
  </si>
  <si>
    <t>NGR18CBM30BT</t>
  </si>
  <si>
    <t>NGR18CTM30BT</t>
  </si>
  <si>
    <t>NGR18CRM30BT</t>
  </si>
  <si>
    <t>NGR18ABM60BT</t>
  </si>
  <si>
    <t>NGR18ATM60BT</t>
  </si>
  <si>
    <t>NGR18ARM60BT</t>
  </si>
  <si>
    <t>NGR18ABM40BT</t>
  </si>
  <si>
    <t>NGR18ATM40BT</t>
  </si>
  <si>
    <t>NGR18ARM40BT</t>
  </si>
  <si>
    <t>NGR18ABM30BT</t>
  </si>
  <si>
    <t>NGR18ATM30BT</t>
  </si>
  <si>
    <t>NGR18ARM30BT</t>
  </si>
  <si>
    <t>NGR18BBM60BT</t>
  </si>
  <si>
    <t>NGR18BTM60BT</t>
  </si>
  <si>
    <t>NGR18BRM60BT</t>
  </si>
  <si>
    <t>NGR18BBM40BT</t>
  </si>
  <si>
    <t>NGR18BTM40BT</t>
  </si>
  <si>
    <t>NGR18BRM40BT</t>
  </si>
  <si>
    <t>NGR18BBM30BT</t>
  </si>
  <si>
    <t>NGR18BTM30BT</t>
  </si>
  <si>
    <t>NGR18BRM30BT</t>
  </si>
  <si>
    <t>NGR18WBM60BT</t>
  </si>
  <si>
    <t>NGR18WTM60BT</t>
  </si>
  <si>
    <t>NGR18WRM60BT</t>
  </si>
  <si>
    <t>NGR18WBM40BT</t>
  </si>
  <si>
    <t>NGR18WTM40BT</t>
  </si>
  <si>
    <t>NGR18WRM40BT</t>
  </si>
  <si>
    <t>NGR18WBM30BT</t>
  </si>
  <si>
    <t>NGR18WTM30BT</t>
  </si>
  <si>
    <t>NGR18WRM30BT</t>
  </si>
  <si>
    <t>DALI Dimming -  48V DC</t>
  </si>
  <si>
    <t>NGR18CBM60I</t>
  </si>
  <si>
    <t>NGR18CTM60I</t>
  </si>
  <si>
    <t>NGR18CRM60I</t>
  </si>
  <si>
    <t>NGR18CBM40I</t>
  </si>
  <si>
    <t>NGR18CTM40I</t>
  </si>
  <si>
    <t>NGR18CRM40I</t>
  </si>
  <si>
    <t>NGR18CBM30I</t>
  </si>
  <si>
    <t>NGR18CTM30I</t>
  </si>
  <si>
    <t>NGR18CRM30I</t>
  </si>
  <si>
    <t>NGR18ABM60I</t>
  </si>
  <si>
    <t>NGR18ATM60I</t>
  </si>
  <si>
    <t>NGR18ARM60I</t>
  </si>
  <si>
    <t>NGR18ABM40I</t>
  </si>
  <si>
    <t>NGR18ATM40I</t>
  </si>
  <si>
    <t>NGR18ARM40I</t>
  </si>
  <si>
    <t>NGR18ABM30I</t>
  </si>
  <si>
    <t>NGR18ATM30I</t>
  </si>
  <si>
    <t>NGR18ARM30I</t>
  </si>
  <si>
    <t>NGR18BBM60I</t>
  </si>
  <si>
    <t>NGR18BTM60I</t>
  </si>
  <si>
    <t>NGR18BRM60I</t>
  </si>
  <si>
    <t>NGR18BBM40I</t>
  </si>
  <si>
    <t>NGR18BTM40I</t>
  </si>
  <si>
    <t>NGR18BRM40I</t>
  </si>
  <si>
    <t>NGR18BBM30I</t>
  </si>
  <si>
    <t>NGR18BTM30I</t>
  </si>
  <si>
    <t>NGR18BRM30I</t>
  </si>
  <si>
    <t>NGR18WBM60I</t>
  </si>
  <si>
    <t>NGR18WTM60I</t>
  </si>
  <si>
    <t>NGR18WRM60I</t>
  </si>
  <si>
    <t>NGR18WBM40I</t>
  </si>
  <si>
    <t>NGR18WTM40I</t>
  </si>
  <si>
    <t>NGR18WRM40I</t>
  </si>
  <si>
    <t>NGR18WBM30I</t>
  </si>
  <si>
    <t>NGR18WTM30I</t>
  </si>
  <si>
    <t>NGR18WRM30I</t>
  </si>
  <si>
    <t>Constant Current</t>
  </si>
  <si>
    <t>NGR18CBM60-</t>
  </si>
  <si>
    <t>NGR18CTM60-</t>
  </si>
  <si>
    <t>NGR18CRM60-</t>
  </si>
  <si>
    <t>NGR18CBM40-</t>
  </si>
  <si>
    <t>NGR18CTM40-</t>
  </si>
  <si>
    <t>NGR18CRM40-</t>
  </si>
  <si>
    <t>NGR18CBM30-</t>
  </si>
  <si>
    <t>NGR18CTM30-</t>
  </si>
  <si>
    <t>NGR18CRM30-</t>
  </si>
  <si>
    <t>NGR18ABM60-</t>
  </si>
  <si>
    <t>NGR18ATM60-</t>
  </si>
  <si>
    <t>NGR18ARM60-</t>
  </si>
  <si>
    <t>NGR18ABM40-</t>
  </si>
  <si>
    <t>NGR18ATM40-</t>
  </si>
  <si>
    <t>NGR18ARM40-</t>
  </si>
  <si>
    <t>NGR18ABM30-</t>
  </si>
  <si>
    <t>NGR18ATM30-</t>
  </si>
  <si>
    <t>NGR18ARM30-</t>
  </si>
  <si>
    <t>NGR18BBM60-</t>
  </si>
  <si>
    <t>NGR18BTM60-</t>
  </si>
  <si>
    <t>NGR18BRM60-</t>
  </si>
  <si>
    <t>NGR18BBM40-</t>
  </si>
  <si>
    <t>NGR18BTM40-</t>
  </si>
  <si>
    <t>NGR18BRM40-</t>
  </si>
  <si>
    <t>NGR18BBM30-</t>
  </si>
  <si>
    <t>NGR18BTM30-</t>
  </si>
  <si>
    <t>NGR18BRM30-</t>
  </si>
  <si>
    <t>NGR18WBM60-</t>
  </si>
  <si>
    <t>NGR18WTM60-</t>
  </si>
  <si>
    <t>NGR18WRM60-</t>
  </si>
  <si>
    <t>NGR18WBM40-</t>
  </si>
  <si>
    <t>NGR18WTM40-</t>
  </si>
  <si>
    <t>NGR18WRM40-</t>
  </si>
  <si>
    <t>NGR18WBM30-</t>
  </si>
  <si>
    <t>NGR18WTM30-</t>
  </si>
  <si>
    <t>NGR18WRM30-</t>
  </si>
  <si>
    <t>Trim</t>
  </si>
  <si>
    <t>Reflector</t>
  </si>
  <si>
    <t>Input Power</t>
  </si>
  <si>
    <t>Driving System</t>
  </si>
  <si>
    <t>Color Temp</t>
  </si>
  <si>
    <t>Beam Angle</t>
  </si>
  <si>
    <t>Depth</t>
  </si>
  <si>
    <t>Height</t>
  </si>
  <si>
    <t>Width</t>
  </si>
  <si>
    <t>Weight</t>
  </si>
  <si>
    <t>Selling Price</t>
  </si>
  <si>
    <t>Retail Price</t>
  </si>
  <si>
    <t>Cost Price</t>
  </si>
  <si>
    <t>Product Name</t>
  </si>
  <si>
    <t>SKU Code</t>
  </si>
  <si>
    <t>SKU Id</t>
  </si>
  <si>
    <t>30BT-</t>
  </si>
  <si>
    <t>40BT-</t>
  </si>
  <si>
    <t>60BT-</t>
  </si>
  <si>
    <t>26BTD-</t>
  </si>
  <si>
    <t>30I-</t>
  </si>
  <si>
    <t>40I-</t>
  </si>
  <si>
    <t>60I-</t>
  </si>
  <si>
    <t>26ID-</t>
  </si>
  <si>
    <t>NGWR18M30</t>
  </si>
  <si>
    <t>Diff-25.5x0.25mm-PS 3W NGWR18W (Honghui)</t>
  </si>
  <si>
    <t>COB Holder-O-34.7 H-5 L-17.5mm-PC NGWR18W (Honghui)</t>
  </si>
  <si>
    <t>Unit Price</t>
  </si>
  <si>
    <t>USD</t>
  </si>
  <si>
    <t>INS&amp;FRED</t>
  </si>
  <si>
    <t>BCD</t>
  </si>
  <si>
    <t>Total Cost</t>
  </si>
  <si>
    <t>NGWR18-CC</t>
  </si>
  <si>
    <t>NGWR18 Dali Single Color</t>
  </si>
  <si>
    <t>NGWR18 BT Single Color</t>
  </si>
  <si>
    <t>NGWR18  Dali Dual Color</t>
  </si>
  <si>
    <t>NGWR18  BT Dual Color</t>
  </si>
  <si>
    <t>PS Rate Mention with Total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</si>
</sst>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.0000"/>
    <numFmt numFmtId="165" formatCode="_ [$Rs.-4009]\ * #,##0.00_ ;_ [$Rs.-4009]\ * \-#,##0.00_ ;_ [$Rs.-4009]\ * &quot;-&quot;??_ ;_ @_ "/>
    <numFmt numFmtId="166" formatCode="_-[$Rs-420]* #,##0.00_-;_-[$Rs-420]* #,##0.00\-;_-[$Rs-420]* &quot;-&quot;??_-;_-@_-"/>
    <numFmt numFmtId="167" formatCode="&quot;$&quot;#,##0.000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6" fillId="0" borderId="0" applyNumberFormat="0" applyFill="0" applyBorder="0" applyAlignment="0" applyProtection="0"/>
    <xf numFmtId="0" fontId="3" fillId="0" borderId="0"/>
    <xf numFmtId="0" fontId="21" fillId="0" borderId="0"/>
    <xf numFmtId="9" fontId="22" fillId="0" borderId="0" applyFont="0" applyFill="0" applyBorder="0" applyAlignment="0" applyProtection="0"/>
  </cellStyleXfs>
  <cellXfs count="129">
    <xf numFmtId="0" fontId="0" fillId="0" borderId="0" xfId="0"/>
    <xf numFmtId="0" fontId="6" fillId="0" borderId="0" xfId="0" applyFont="1"/>
    <xf numFmtId="0" fontId="7" fillId="2" borderId="0" xfId="0" applyFont="1" applyFill="1"/>
    <xf numFmtId="0" fontId="8" fillId="3" borderId="1" xfId="0" applyFont="1" applyFill="1" applyBorder="1" applyAlignment="1">
      <alignment horizontal="center" wrapText="1"/>
    </xf>
    <xf numFmtId="0" fontId="9" fillId="2" borderId="0" xfId="0" applyFont="1" applyFill="1"/>
    <xf numFmtId="0" fontId="0" fillId="2" borderId="0" xfId="0" applyFill="1"/>
    <xf numFmtId="0" fontId="8" fillId="4" borderId="1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wrapText="1"/>
    </xf>
    <xf numFmtId="0" fontId="10" fillId="2" borderId="4" xfId="0" applyFont="1" applyFill="1" applyBorder="1"/>
    <xf numFmtId="0" fontId="6" fillId="2" borderId="5" xfId="0" applyFont="1" applyFill="1" applyBorder="1"/>
    <xf numFmtId="0" fontId="8" fillId="0" borderId="6" xfId="0" applyFont="1" applyBorder="1" applyAlignment="1">
      <alignment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/>
    <xf numFmtId="0" fontId="11" fillId="2" borderId="7" xfId="0" applyFont="1" applyFill="1" applyBorder="1" applyAlignment="1">
      <alignment horizontal="left" indent="2"/>
    </xf>
    <xf numFmtId="0" fontId="6" fillId="2" borderId="0" xfId="0" applyFont="1" applyFill="1" applyAlignment="1">
      <alignment horizontal="left" indent="2"/>
    </xf>
    <xf numFmtId="0" fontId="6" fillId="0" borderId="1" xfId="0" applyFont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indent="2"/>
    </xf>
    <xf numFmtId="0" fontId="6" fillId="2" borderId="7" xfId="0" applyFont="1" applyFill="1" applyBorder="1" applyAlignment="1">
      <alignment horizontal="left" indent="2"/>
    </xf>
    <xf numFmtId="0" fontId="12" fillId="2" borderId="7" xfId="0" applyFont="1" applyFill="1" applyBorder="1" applyAlignment="1">
      <alignment horizontal="left" indent="2"/>
    </xf>
    <xf numFmtId="0" fontId="12" fillId="2" borderId="0" xfId="0" applyFont="1" applyFill="1" applyAlignment="1">
      <alignment horizontal="left" indent="2"/>
    </xf>
    <xf numFmtId="0" fontId="12" fillId="2" borderId="7" xfId="0" applyFont="1" applyFill="1" applyBorder="1" applyAlignment="1">
      <alignment horizontal="left" indent="3"/>
    </xf>
    <xf numFmtId="0" fontId="13" fillId="2" borderId="7" xfId="0" applyFont="1" applyFill="1" applyBorder="1" applyAlignment="1">
      <alignment horizontal="left" indent="3"/>
    </xf>
    <xf numFmtId="0" fontId="14" fillId="2" borderId="0" xfId="0" applyFont="1" applyFill="1" applyAlignment="1">
      <alignment horizontal="left" indent="3"/>
    </xf>
    <xf numFmtId="0" fontId="15" fillId="0" borderId="3" xfId="0" applyFont="1" applyBorder="1" applyAlignment="1">
      <alignment wrapText="1"/>
    </xf>
    <xf numFmtId="0" fontId="6" fillId="2" borderId="7" xfId="0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11" fillId="2" borderId="0" xfId="0" applyFont="1" applyFill="1"/>
    <xf numFmtId="0" fontId="8" fillId="2" borderId="0" xfId="0" applyFont="1" applyFill="1"/>
    <xf numFmtId="0" fontId="8" fillId="4" borderId="2" xfId="0" applyFont="1" applyFill="1" applyBorder="1" applyAlignment="1">
      <alignment horizontal="left" vertical="top" wrapText="1"/>
    </xf>
    <xf numFmtId="0" fontId="8" fillId="4" borderId="3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 indent="1"/>
    </xf>
    <xf numFmtId="0" fontId="14" fillId="2" borderId="0" xfId="0" applyFont="1" applyFill="1" applyAlignment="1">
      <alignment horizontal="left" indent="1"/>
    </xf>
    <xf numFmtId="0" fontId="6" fillId="0" borderId="3" xfId="0" applyFont="1" applyBorder="1" applyAlignment="1">
      <alignment wrapText="1"/>
    </xf>
    <xf numFmtId="0" fontId="10" fillId="2" borderId="5" xfId="0" applyFont="1" applyFill="1" applyBorder="1"/>
    <xf numFmtId="0" fontId="16" fillId="2" borderId="0" xfId="1" applyFill="1" applyBorder="1" applyAlignment="1"/>
    <xf numFmtId="0" fontId="16" fillId="2" borderId="0" xfId="1" applyFill="1" applyBorder="1"/>
    <xf numFmtId="0" fontId="10" fillId="2" borderId="10" xfId="0" applyFont="1" applyFill="1" applyBorder="1"/>
    <xf numFmtId="0" fontId="6" fillId="2" borderId="11" xfId="0" applyFont="1" applyFill="1" applyBorder="1" applyAlignment="1">
      <alignment horizontal="left" indent="2"/>
    </xf>
    <xf numFmtId="0" fontId="12" fillId="2" borderId="11" xfId="0" applyFont="1" applyFill="1" applyBorder="1" applyAlignment="1">
      <alignment horizontal="left" indent="2"/>
    </xf>
    <xf numFmtId="0" fontId="6" fillId="2" borderId="11" xfId="0" applyFont="1" applyFill="1" applyBorder="1"/>
    <xf numFmtId="0" fontId="6" fillId="2" borderId="12" xfId="0" applyFont="1" applyFill="1" applyBorder="1"/>
    <xf numFmtId="0" fontId="7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7" fillId="5" borderId="1" xfId="0" applyFont="1" applyFill="1" applyBorder="1" applyAlignment="1">
      <alignment horizontal="center" vertical="center"/>
    </xf>
    <xf numFmtId="0" fontId="0" fillId="0" borderId="1" xfId="0" applyBorder="1"/>
    <xf numFmtId="0" fontId="19" fillId="6" borderId="1" xfId="0" applyFont="1" applyFill="1" applyBorder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9" fillId="6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5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3" fillId="0" borderId="1" xfId="0" applyFont="1" applyBorder="1"/>
    <xf numFmtId="0" fontId="3" fillId="7" borderId="1" xfId="0" applyFont="1" applyFill="1" applyBorder="1"/>
    <xf numFmtId="0" fontId="3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0" fillId="10" borderId="1" xfId="0" applyFill="1" applyBorder="1"/>
    <xf numFmtId="0" fontId="0" fillId="0" borderId="14" xfId="0" applyBorder="1"/>
    <xf numFmtId="0" fontId="0" fillId="6" borderId="1" xfId="0" applyFill="1" applyBorder="1"/>
    <xf numFmtId="0" fontId="0" fillId="0" borderId="0" xfId="0" applyAlignment="1">
      <alignment horizontal="left"/>
    </xf>
    <xf numFmtId="0" fontId="0" fillId="0" borderId="14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20" fillId="0" borderId="0" xfId="0" applyFont="1"/>
    <xf numFmtId="0" fontId="0" fillId="11" borderId="1" xfId="0" applyFill="1" applyBorder="1"/>
    <xf numFmtId="0" fontId="0" fillId="0" borderId="6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21" fillId="0" borderId="0" xfId="3"/>
    <xf numFmtId="0" fontId="21" fillId="12" borderId="1" xfId="3" applyFill="1" applyBorder="1"/>
    <xf numFmtId="0" fontId="21" fillId="10" borderId="1" xfId="3" applyFill="1" applyBorder="1"/>
    <xf numFmtId="0" fontId="21" fillId="9" borderId="1" xfId="3" applyFill="1" applyBorder="1"/>
    <xf numFmtId="0" fontId="21" fillId="9" borderId="14" xfId="3" applyFill="1" applyBorder="1"/>
    <xf numFmtId="0" fontId="21" fillId="9" borderId="2" xfId="3" applyFill="1" applyBorder="1"/>
    <xf numFmtId="0" fontId="0" fillId="0" borderId="1" xfId="0" applyBorder="1" applyAlignment="1">
      <alignment horizontal="center"/>
    </xf>
    <xf numFmtId="0" fontId="23" fillId="0" borderId="1" xfId="0" applyNumberFormat="1" applyFont="1" applyBorder="1" applyAlignment="1">
      <alignment horizontal="center" vertical="center" wrapText="1"/>
    </xf>
    <xf numFmtId="165" fontId="0" fillId="0" borderId="1" xfId="4" applyNumberFormat="1" applyFont="1" applyBorder="1"/>
    <xf numFmtId="166" fontId="23" fillId="13" borderId="1" xfId="0" applyNumberFormat="1" applyFont="1" applyFill="1" applyBorder="1" applyAlignment="1">
      <alignment horizontal="left" vertical="center"/>
    </xf>
    <xf numFmtId="165" fontId="24" fillId="6" borderId="1" xfId="4" applyNumberFormat="1" applyFont="1" applyFill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166" fontId="25" fillId="0" borderId="1" xfId="0" applyNumberFormat="1" applyFont="1" applyFill="1" applyBorder="1" applyAlignment="1">
      <alignment vertical="center"/>
    </xf>
    <xf numFmtId="0" fontId="2" fillId="0" borderId="0" xfId="0" applyFont="1"/>
    <xf numFmtId="0" fontId="1" fillId="0" borderId="1" xfId="0" applyFont="1" applyBorder="1"/>
    <xf numFmtId="167" fontId="25" fillId="0" borderId="1" xfId="0" applyNumberFormat="1" applyFont="1" applyBorder="1" applyAlignment="1">
      <alignment vertical="center"/>
    </xf>
    <xf numFmtId="9" fontId="25" fillId="0" borderId="1" xfId="0" applyNumberFormat="1" applyFont="1" applyBorder="1" applyAlignment="1">
      <alignment vertical="center"/>
    </xf>
    <xf numFmtId="164" fontId="25" fillId="0" borderId="1" xfId="0" applyNumberFormat="1" applyFon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7" fontId="25" fillId="0" borderId="0" xfId="0" applyNumberFormat="1" applyFont="1" applyBorder="1" applyAlignment="1">
      <alignment horizontal="right" vertical="center"/>
    </xf>
    <xf numFmtId="9" fontId="25" fillId="0" borderId="0" xfId="0" applyNumberFormat="1" applyFont="1" applyBorder="1" applyAlignment="1">
      <alignment horizontal="right" vertical="center"/>
    </xf>
    <xf numFmtId="164" fontId="25" fillId="0" borderId="0" xfId="0" applyNumberFormat="1" applyFont="1" applyBorder="1" applyAlignment="1">
      <alignment horizontal="right" vertical="center"/>
    </xf>
    <xf numFmtId="0" fontId="26" fillId="0" borderId="0" xfId="0" applyFont="1" applyAlignment="1">
      <alignment horizontal="center" vertical="center"/>
    </xf>
    <xf numFmtId="166" fontId="9" fillId="13" borderId="1" xfId="0" applyNumberFormat="1" applyFont="1" applyFill="1" applyBorder="1" applyAlignment="1">
      <alignment horizontal="right" vertical="center"/>
    </xf>
    <xf numFmtId="165" fontId="0" fillId="0" borderId="17" xfId="0" applyNumberFormat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7" fontId="25" fillId="0" borderId="17" xfId="0" applyNumberFormat="1" applyFont="1" applyBorder="1" applyAlignment="1">
      <alignment horizontal="center" vertical="center"/>
    </xf>
    <xf numFmtId="167" fontId="25" fillId="0" borderId="15" xfId="0" applyNumberFormat="1" applyFont="1" applyBorder="1" applyAlignment="1">
      <alignment horizontal="center" vertical="center"/>
    </xf>
    <xf numFmtId="167" fontId="25" fillId="0" borderId="6" xfId="0" applyNumberFormat="1" applyFont="1" applyBorder="1" applyAlignment="1">
      <alignment horizontal="center" vertical="center"/>
    </xf>
    <xf numFmtId="9" fontId="25" fillId="0" borderId="17" xfId="0" applyNumberFormat="1" applyFont="1" applyBorder="1" applyAlignment="1">
      <alignment horizontal="center" vertical="center"/>
    </xf>
    <xf numFmtId="9" fontId="25" fillId="0" borderId="15" xfId="0" applyNumberFormat="1" applyFont="1" applyBorder="1" applyAlignment="1">
      <alignment horizontal="center" vertical="center"/>
    </xf>
    <xf numFmtId="9" fontId="25" fillId="0" borderId="6" xfId="0" applyNumberFormat="1" applyFont="1" applyBorder="1" applyAlignment="1">
      <alignment horizontal="center" vertical="center"/>
    </xf>
    <xf numFmtId="164" fontId="25" fillId="0" borderId="17" xfId="0" applyNumberFormat="1" applyFont="1" applyBorder="1" applyAlignment="1">
      <alignment horizontal="center" vertical="center"/>
    </xf>
    <xf numFmtId="164" fontId="25" fillId="0" borderId="15" xfId="0" applyNumberFormat="1" applyFont="1" applyBorder="1" applyAlignment="1">
      <alignment horizontal="center" vertical="center"/>
    </xf>
    <xf numFmtId="164" fontId="25" fillId="0" borderId="6" xfId="0" applyNumberFormat="1" applyFont="1" applyBorder="1" applyAlignment="1">
      <alignment horizontal="center" vertical="center"/>
    </xf>
    <xf numFmtId="0" fontId="9" fillId="8" borderId="2" xfId="0" applyFont="1" applyFill="1" applyBorder="1" applyAlignment="1">
      <alignment horizontal="right" vertical="center"/>
    </xf>
    <xf numFmtId="0" fontId="9" fillId="8" borderId="14" xfId="0" applyFont="1" applyFill="1" applyBorder="1" applyAlignment="1">
      <alignment horizontal="right" vertical="center"/>
    </xf>
    <xf numFmtId="0" fontId="9" fillId="13" borderId="2" xfId="0" applyFont="1" applyFill="1" applyBorder="1" applyAlignment="1">
      <alignment horizontal="right" vertical="center"/>
    </xf>
    <xf numFmtId="0" fontId="9" fillId="13" borderId="14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left" wrapText="1"/>
    </xf>
    <xf numFmtId="0" fontId="12" fillId="2" borderId="7" xfId="0" applyFont="1" applyFill="1" applyBorder="1" applyAlignment="1">
      <alignment horizontal="left" wrapText="1" indent="2"/>
    </xf>
    <xf numFmtId="0" fontId="12" fillId="2" borderId="0" xfId="0" applyFont="1" applyFill="1" applyAlignment="1">
      <alignment horizontal="left" wrapText="1" indent="2"/>
    </xf>
    <xf numFmtId="0" fontId="12" fillId="2" borderId="11" xfId="0" applyFont="1" applyFill="1" applyBorder="1" applyAlignment="1">
      <alignment horizontal="left" wrapText="1" indent="2"/>
    </xf>
    <xf numFmtId="0" fontId="19" fillId="0" borderId="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5">
    <cellStyle name="Hyperlink 2" xfId="1"/>
    <cellStyle name="Normal" xfId="0" builtinId="0"/>
    <cellStyle name="Normal 2" xfId="2"/>
    <cellStyle name="Normal 2 2" xfId="3"/>
    <cellStyle name="Percent" xfId="4" builtinId="5"/>
  </cellStyles>
  <dxfs count="19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ijesh-pc\Prasad%20BOM\1)%20OK%20BOMs\NGWR-BOM\NGWR18-BOM%20-OK\Updated%20NGWR18W-BO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URYA-%20BOM/1)%20OK%20BOMs/DRRR06-10W%20SKU%20DONE/DRRR10W-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 Item"/>
      <sheetName val="NGWR18W-DATA"/>
      <sheetName val="NGWR18W-SKU"/>
      <sheetName val="Stock Item (Read Me)"/>
    </sheetNames>
    <sheetDataSet>
      <sheetData sheetId="0"/>
      <sheetData sheetId="1">
        <row r="2">
          <cell r="I2" t="str">
            <v>-</v>
          </cell>
          <cell r="J2" t="str">
            <v>PS 18W 440mA Maxic New Pcb</v>
          </cell>
        </row>
        <row r="3">
          <cell r="I3" t="str">
            <v>I</v>
          </cell>
          <cell r="J3" t="str">
            <v>PS 18W 450MA 36V DALI SINGLE COLOUR</v>
          </cell>
          <cell r="AC3" t="str">
            <v>NGBR18M40</v>
          </cell>
          <cell r="AD3" t="str">
            <v>CC</v>
          </cell>
        </row>
        <row r="4">
          <cell r="I4" t="str">
            <v>BT</v>
          </cell>
          <cell r="J4" t="str">
            <v>PS 18W 400MA 36V BT SINGLE COLOUR</v>
          </cell>
        </row>
        <row r="5">
          <cell r="I5" t="str">
            <v>ID</v>
          </cell>
          <cell r="J5" t="str">
            <v>PS 18W440mA 36V Dali Dual Colour</v>
          </cell>
        </row>
        <row r="6">
          <cell r="I6" t="str">
            <v>BTD</v>
          </cell>
          <cell r="J6" t="str">
            <v>PS 18W 400MA 36V BT DUAL COLOUR</v>
          </cell>
          <cell r="X6" t="str">
            <v>-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kend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topLeftCell="F10" zoomScale="96" zoomScaleNormal="96" workbookViewId="0">
      <selection activeCell="F26" sqref="F26"/>
    </sheetView>
  </sheetViews>
  <sheetFormatPr defaultColWidth="9" defaultRowHeight="15"/>
  <cols>
    <col min="1" max="1" width="34.7109375" customWidth="1"/>
    <col min="2" max="2" width="22.28515625" customWidth="1"/>
    <col min="3" max="3" width="8.28515625" customWidth="1"/>
    <col min="4" max="4" width="31.42578125" customWidth="1"/>
    <col min="5" max="5" width="20.42578125" customWidth="1"/>
    <col min="6" max="6" width="57" customWidth="1"/>
    <col min="7" max="7" width="28" customWidth="1"/>
    <col min="8" max="8" width="14.5703125" hidden="1" customWidth="1"/>
    <col min="9" max="9" width="12.85546875" hidden="1" customWidth="1"/>
    <col min="10" max="10" width="27.7109375" hidden="1" customWidth="1"/>
    <col min="11" max="11" width="27.7109375" customWidth="1"/>
    <col min="12" max="12" width="14.28515625" customWidth="1"/>
    <col min="13" max="13" width="16.5703125" customWidth="1"/>
    <col min="15" max="15" width="12.140625" customWidth="1"/>
    <col min="17" max="17" width="9.7109375" customWidth="1"/>
  </cols>
  <sheetData>
    <row r="1" spans="1:17" s="47" customFormat="1" ht="19.5" customHeigh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85" t="s">
        <v>429</v>
      </c>
      <c r="M1" s="85" t="s">
        <v>194</v>
      </c>
      <c r="N1" s="89" t="s">
        <v>430</v>
      </c>
      <c r="O1" s="90" t="s">
        <v>431</v>
      </c>
      <c r="P1" s="91" t="s">
        <v>432</v>
      </c>
      <c r="Q1" s="89" t="s">
        <v>433</v>
      </c>
    </row>
    <row r="2" spans="1:17">
      <c r="A2" s="49" t="str">
        <f>$D$2</f>
        <v>NGWR18M30</v>
      </c>
      <c r="B2" s="49" t="s">
        <v>221</v>
      </c>
      <c r="C2" s="49" t="s">
        <v>190</v>
      </c>
      <c r="D2" t="s">
        <v>426</v>
      </c>
      <c r="E2" s="49">
        <v>1</v>
      </c>
      <c r="F2" s="65" t="str">
        <f>'Backend data'!C6</f>
        <v>Trim-O-82 I-66 H-33mm 3W White NGWR18W (OUCHI)</v>
      </c>
      <c r="G2" s="70">
        <v>1</v>
      </c>
      <c r="H2" s="49" t="s">
        <v>189</v>
      </c>
      <c r="I2" s="49" t="s">
        <v>9</v>
      </c>
      <c r="J2" s="49"/>
      <c r="K2" s="49"/>
      <c r="L2" s="98">
        <f>Q2*87</f>
        <v>0</v>
      </c>
      <c r="M2" s="98">
        <f>L2*G2</f>
        <v>0</v>
      </c>
      <c r="N2" s="95">
        <v>0</v>
      </c>
      <c r="O2" s="96">
        <v>0.5</v>
      </c>
      <c r="P2" s="96"/>
      <c r="Q2" s="97">
        <f>N2+(N2*(O2+P2))</f>
        <v>0</v>
      </c>
    </row>
    <row r="3" spans="1:17">
      <c r="A3" s="49"/>
      <c r="B3" s="49"/>
      <c r="C3" s="49"/>
      <c r="D3" s="49"/>
      <c r="E3" s="49"/>
      <c r="F3" s="49" t="s">
        <v>223</v>
      </c>
      <c r="G3" s="70">
        <v>1</v>
      </c>
      <c r="H3" s="49" t="s">
        <v>189</v>
      </c>
      <c r="I3" s="49" t="s">
        <v>9</v>
      </c>
      <c r="J3" s="49"/>
      <c r="K3" s="49"/>
      <c r="L3" s="98">
        <f t="shared" ref="L3:L15" si="0">Q3*87</f>
        <v>548.1</v>
      </c>
      <c r="M3" s="98">
        <f t="shared" ref="M3:M15" si="1">L3*G3</f>
        <v>548.1</v>
      </c>
      <c r="N3" s="95">
        <v>4.2</v>
      </c>
      <c r="O3" s="96">
        <v>0.5</v>
      </c>
      <c r="P3" s="96"/>
      <c r="Q3" s="97">
        <f t="shared" ref="Q3:Q15" si="2">N3+(N3*(O3+P3))</f>
        <v>6.3000000000000007</v>
      </c>
    </row>
    <row r="4" spans="1:17">
      <c r="A4" s="49"/>
      <c r="B4" s="49"/>
      <c r="C4" s="49"/>
      <c r="D4" s="49"/>
      <c r="E4" s="49"/>
      <c r="F4" s="65" t="str">
        <f>'Backend data'!E6</f>
        <v>Refl-O-70 H-27  L-38mm 3W White-PC NGWR18W (OUCHI)</v>
      </c>
      <c r="G4" s="70">
        <v>1</v>
      </c>
      <c r="H4" s="49" t="s">
        <v>189</v>
      </c>
      <c r="I4" s="49" t="s">
        <v>9</v>
      </c>
      <c r="J4" s="49"/>
      <c r="K4" s="49"/>
      <c r="L4" s="98">
        <f t="shared" si="0"/>
        <v>0</v>
      </c>
      <c r="M4" s="98">
        <f t="shared" si="1"/>
        <v>0</v>
      </c>
      <c r="N4" s="95">
        <v>0</v>
      </c>
      <c r="O4" s="96">
        <v>0.5</v>
      </c>
      <c r="P4" s="96"/>
      <c r="Q4" s="97">
        <f t="shared" si="2"/>
        <v>0</v>
      </c>
    </row>
    <row r="5" spans="1:17">
      <c r="A5" s="49"/>
      <c r="B5" s="49"/>
      <c r="C5" s="49"/>
      <c r="D5" s="49"/>
      <c r="E5" s="49"/>
      <c r="F5" s="49" t="s">
        <v>226</v>
      </c>
      <c r="G5" s="70">
        <v>1</v>
      </c>
      <c r="H5" s="49" t="s">
        <v>189</v>
      </c>
      <c r="I5" s="49" t="s">
        <v>9</v>
      </c>
      <c r="J5" s="49"/>
      <c r="K5" s="49"/>
      <c r="L5" s="98">
        <f t="shared" si="0"/>
        <v>0</v>
      </c>
      <c r="M5" s="98">
        <f t="shared" si="1"/>
        <v>0</v>
      </c>
      <c r="N5" s="95">
        <v>0</v>
      </c>
      <c r="O5" s="96">
        <v>0.5</v>
      </c>
      <c r="P5" s="96"/>
      <c r="Q5" s="97">
        <f t="shared" si="2"/>
        <v>0</v>
      </c>
    </row>
    <row r="6" spans="1:17">
      <c r="A6" s="49"/>
      <c r="B6" s="49"/>
      <c r="C6" s="49"/>
      <c r="D6" s="49"/>
      <c r="E6" s="49"/>
      <c r="F6" s="49" t="s">
        <v>227</v>
      </c>
      <c r="G6" s="70">
        <v>1</v>
      </c>
      <c r="H6" s="49" t="s">
        <v>189</v>
      </c>
      <c r="I6" s="49" t="s">
        <v>9</v>
      </c>
      <c r="J6" s="49"/>
      <c r="K6" s="49"/>
      <c r="L6" s="98">
        <f t="shared" si="0"/>
        <v>0</v>
      </c>
      <c r="M6" s="98">
        <f t="shared" si="1"/>
        <v>0</v>
      </c>
      <c r="N6" s="95">
        <v>0</v>
      </c>
      <c r="O6" s="96">
        <v>0.5</v>
      </c>
      <c r="P6" s="96"/>
      <c r="Q6" s="97">
        <f t="shared" si="2"/>
        <v>0</v>
      </c>
    </row>
    <row r="7" spans="1:17">
      <c r="A7" s="49"/>
      <c r="B7" s="49"/>
      <c r="C7" s="49"/>
      <c r="D7" s="49"/>
      <c r="E7" s="49"/>
      <c r="F7" s="49" t="s">
        <v>228</v>
      </c>
      <c r="G7" s="70">
        <v>1</v>
      </c>
      <c r="H7" s="49" t="s">
        <v>189</v>
      </c>
      <c r="I7" s="49" t="s">
        <v>9</v>
      </c>
      <c r="J7" s="49"/>
      <c r="K7" s="49"/>
      <c r="L7" s="98">
        <f t="shared" si="0"/>
        <v>0</v>
      </c>
      <c r="M7" s="98">
        <f t="shared" si="1"/>
        <v>0</v>
      </c>
      <c r="N7" s="95">
        <v>0</v>
      </c>
      <c r="O7" s="96">
        <v>0.5</v>
      </c>
      <c r="P7" s="96"/>
      <c r="Q7" s="97">
        <f t="shared" si="2"/>
        <v>0</v>
      </c>
    </row>
    <row r="8" spans="1:17">
      <c r="A8" s="49"/>
      <c r="B8" s="49"/>
      <c r="C8" s="49"/>
      <c r="D8" s="49"/>
      <c r="E8" s="49"/>
      <c r="F8" s="49" t="s">
        <v>225</v>
      </c>
      <c r="G8" s="70">
        <v>1</v>
      </c>
      <c r="H8" s="49" t="s">
        <v>189</v>
      </c>
      <c r="I8" s="49" t="s">
        <v>9</v>
      </c>
      <c r="J8" s="49"/>
      <c r="K8" s="49"/>
      <c r="L8" s="104">
        <f t="shared" si="0"/>
        <v>11.745000000000001</v>
      </c>
      <c r="M8" s="104">
        <f t="shared" si="1"/>
        <v>11.745000000000001</v>
      </c>
      <c r="N8" s="107">
        <v>0.09</v>
      </c>
      <c r="O8" s="110">
        <v>0.5</v>
      </c>
      <c r="P8" s="110"/>
      <c r="Q8" s="113">
        <f t="shared" si="2"/>
        <v>0.13500000000000001</v>
      </c>
    </row>
    <row r="9" spans="1:17">
      <c r="A9" s="49"/>
      <c r="B9" s="49"/>
      <c r="C9" s="49"/>
      <c r="D9" s="49"/>
      <c r="E9" s="49"/>
      <c r="F9" s="49" t="s">
        <v>224</v>
      </c>
      <c r="G9" s="70">
        <v>1</v>
      </c>
      <c r="H9" s="49" t="s">
        <v>189</v>
      </c>
      <c r="I9" s="49" t="s">
        <v>9</v>
      </c>
      <c r="J9" s="49"/>
      <c r="K9" s="49"/>
      <c r="L9" s="105"/>
      <c r="M9" s="105"/>
      <c r="N9" s="108"/>
      <c r="O9" s="111"/>
      <c r="P9" s="111"/>
      <c r="Q9" s="114"/>
    </row>
    <row r="10" spans="1:17">
      <c r="A10" s="49"/>
      <c r="B10" s="49"/>
      <c r="C10" s="49"/>
      <c r="D10" s="49"/>
      <c r="E10" s="49"/>
      <c r="F10" s="49" t="s">
        <v>427</v>
      </c>
      <c r="G10" s="84">
        <v>1</v>
      </c>
      <c r="H10" s="49" t="s">
        <v>189</v>
      </c>
      <c r="I10" s="49" t="s">
        <v>9</v>
      </c>
      <c r="J10" s="49"/>
      <c r="K10" s="49"/>
      <c r="L10" s="105"/>
      <c r="M10" s="105"/>
      <c r="N10" s="108"/>
      <c r="O10" s="111"/>
      <c r="P10" s="111"/>
      <c r="Q10" s="114"/>
    </row>
    <row r="11" spans="1:17">
      <c r="A11" s="49"/>
      <c r="B11" s="49"/>
      <c r="C11" s="49"/>
      <c r="D11" s="49"/>
      <c r="E11" s="49"/>
      <c r="F11" s="49" t="s">
        <v>428</v>
      </c>
      <c r="G11" s="70">
        <v>1</v>
      </c>
      <c r="H11" s="49" t="s">
        <v>189</v>
      </c>
      <c r="I11" s="49" t="s">
        <v>9</v>
      </c>
      <c r="J11" s="49"/>
      <c r="K11" s="49"/>
      <c r="L11" s="106"/>
      <c r="M11" s="106"/>
      <c r="N11" s="109"/>
      <c r="O11" s="112"/>
      <c r="P11" s="112"/>
      <c r="Q11" s="115"/>
    </row>
    <row r="12" spans="1:17">
      <c r="A12" s="49"/>
      <c r="B12" s="49"/>
      <c r="C12" s="49"/>
      <c r="D12" s="49"/>
      <c r="E12" s="49"/>
      <c r="F12" s="74" t="s">
        <v>229</v>
      </c>
      <c r="G12" s="70">
        <v>1</v>
      </c>
      <c r="H12" s="49" t="s">
        <v>189</v>
      </c>
      <c r="I12" s="49" t="s">
        <v>9</v>
      </c>
      <c r="J12" s="49"/>
      <c r="K12" s="49"/>
      <c r="L12" s="98">
        <f t="shared" si="0"/>
        <v>0</v>
      </c>
      <c r="M12" s="98">
        <f t="shared" si="1"/>
        <v>0</v>
      </c>
      <c r="N12" s="95">
        <v>0</v>
      </c>
      <c r="O12" s="96">
        <v>0.5</v>
      </c>
      <c r="P12" s="96"/>
      <c r="Q12" s="97">
        <f t="shared" si="2"/>
        <v>0</v>
      </c>
    </row>
    <row r="13" spans="1:17">
      <c r="A13" s="49"/>
      <c r="B13" s="49"/>
      <c r="C13" s="49"/>
      <c r="D13" s="49"/>
      <c r="E13" s="49"/>
      <c r="F13" s="49" t="s">
        <v>230</v>
      </c>
      <c r="G13" s="70">
        <v>1</v>
      </c>
      <c r="H13" s="49" t="s">
        <v>189</v>
      </c>
      <c r="I13" s="49" t="s">
        <v>9</v>
      </c>
      <c r="J13" s="49"/>
      <c r="K13" s="49"/>
      <c r="L13" s="98">
        <f t="shared" si="0"/>
        <v>0</v>
      </c>
      <c r="M13" s="98">
        <f t="shared" si="1"/>
        <v>0</v>
      </c>
      <c r="N13" s="95">
        <v>0</v>
      </c>
      <c r="O13" s="96">
        <v>0.5</v>
      </c>
      <c r="P13" s="96"/>
      <c r="Q13" s="97">
        <f t="shared" si="2"/>
        <v>0</v>
      </c>
    </row>
    <row r="14" spans="1:17">
      <c r="A14" s="49"/>
      <c r="B14" s="49"/>
      <c r="C14" s="49"/>
      <c r="D14" s="49"/>
      <c r="E14" s="49"/>
      <c r="F14" s="49" t="s">
        <v>231</v>
      </c>
      <c r="G14" s="70">
        <v>2</v>
      </c>
      <c r="H14" s="49" t="s">
        <v>189</v>
      </c>
      <c r="I14" s="49" t="s">
        <v>9</v>
      </c>
      <c r="J14" s="49"/>
      <c r="K14" s="49"/>
      <c r="L14" s="98">
        <v>0.48</v>
      </c>
      <c r="M14" s="98">
        <f t="shared" si="1"/>
        <v>0.96</v>
      </c>
      <c r="N14" s="95">
        <v>0</v>
      </c>
      <c r="O14" s="96">
        <v>0.5</v>
      </c>
      <c r="P14" s="96"/>
      <c r="Q14" s="97">
        <f t="shared" si="2"/>
        <v>0</v>
      </c>
    </row>
    <row r="15" spans="1:17">
      <c r="A15" s="49"/>
      <c r="B15" s="49"/>
      <c r="C15" s="49"/>
      <c r="D15" s="49"/>
      <c r="E15" s="49"/>
      <c r="F15" s="94" t="s">
        <v>232</v>
      </c>
      <c r="G15" s="70">
        <v>1</v>
      </c>
      <c r="H15" s="49" t="s">
        <v>189</v>
      </c>
      <c r="I15" s="49" t="s">
        <v>9</v>
      </c>
      <c r="J15" s="49"/>
      <c r="K15" s="49"/>
      <c r="L15" s="98">
        <f t="shared" si="0"/>
        <v>0</v>
      </c>
      <c r="M15" s="98">
        <f t="shared" si="1"/>
        <v>0</v>
      </c>
      <c r="N15" s="95">
        <v>0</v>
      </c>
      <c r="O15" s="96">
        <v>0.5</v>
      </c>
      <c r="P15" s="96"/>
      <c r="Q15" s="97">
        <f t="shared" si="2"/>
        <v>0</v>
      </c>
    </row>
    <row r="16" spans="1:17">
      <c r="A16" s="49"/>
      <c r="B16" s="49"/>
      <c r="C16" s="49"/>
      <c r="D16" s="49"/>
      <c r="E16" s="49"/>
      <c r="F16" s="49" t="s">
        <v>210</v>
      </c>
      <c r="G16" s="70">
        <v>1</v>
      </c>
      <c r="H16" s="49" t="s">
        <v>189</v>
      </c>
      <c r="I16" s="49" t="s">
        <v>9</v>
      </c>
      <c r="J16" s="49"/>
      <c r="K16" s="49"/>
      <c r="L16" s="92">
        <f>Q16*87</f>
        <v>3.915</v>
      </c>
      <c r="M16" s="92">
        <f>L16*G16</f>
        <v>3.915</v>
      </c>
      <c r="N16" s="95">
        <f>0.06/2</f>
        <v>0.03</v>
      </c>
      <c r="O16" s="96">
        <v>0.5</v>
      </c>
      <c r="P16" s="49"/>
      <c r="Q16" s="97">
        <f>N16+(N16*(O16+P16))</f>
        <v>4.4999999999999998E-2</v>
      </c>
    </row>
    <row r="17" spans="1:18">
      <c r="A17" s="49"/>
      <c r="B17" s="49"/>
      <c r="C17" s="49"/>
      <c r="D17" s="49"/>
      <c r="E17" s="49"/>
      <c r="F17" s="49" t="s">
        <v>211</v>
      </c>
      <c r="G17" s="70">
        <v>0.12</v>
      </c>
      <c r="H17" s="49" t="s">
        <v>189</v>
      </c>
      <c r="I17" s="49" t="s">
        <v>9</v>
      </c>
      <c r="J17" s="49"/>
      <c r="K17" s="49"/>
      <c r="L17" s="92">
        <f>5.7/1000*120</f>
        <v>0.68400000000000005</v>
      </c>
      <c r="M17" s="92">
        <f t="shared" ref="M17:M18" si="3">L17*G17</f>
        <v>8.208E-2</v>
      </c>
      <c r="N17" s="95">
        <v>0</v>
      </c>
      <c r="O17" s="96">
        <v>0.5</v>
      </c>
      <c r="P17" s="49"/>
      <c r="Q17" s="97">
        <f t="shared" ref="Q17:Q18" si="4">N17+(N17*(O17+P17))</f>
        <v>0</v>
      </c>
    </row>
    <row r="18" spans="1:18">
      <c r="A18" s="49"/>
      <c r="B18" s="49"/>
      <c r="C18" s="49"/>
      <c r="D18" s="49"/>
      <c r="E18" s="49"/>
      <c r="F18" s="65" t="str">
        <f>'Backend data'!G6</f>
        <v>COB 30-36W 3000K 12LED 34-38V 890mA 19x19mm L-17mm</v>
      </c>
      <c r="G18" s="70">
        <v>1</v>
      </c>
      <c r="H18" s="60" t="s">
        <v>233</v>
      </c>
      <c r="I18" s="49" t="s">
        <v>9</v>
      </c>
      <c r="J18" s="49"/>
      <c r="K18" s="49"/>
      <c r="L18" s="98">
        <f t="shared" ref="L18" si="5">Q18*87</f>
        <v>84.825000000000003</v>
      </c>
      <c r="M18" s="98">
        <f t="shared" si="3"/>
        <v>84.825000000000003</v>
      </c>
      <c r="N18" s="95">
        <v>0.65</v>
      </c>
      <c r="O18" s="96">
        <v>0.5</v>
      </c>
      <c r="P18" s="49"/>
      <c r="Q18" s="97">
        <f t="shared" si="4"/>
        <v>0.97500000000000009</v>
      </c>
    </row>
    <row r="19" spans="1:18">
      <c r="A19" s="49"/>
      <c r="B19" s="49"/>
      <c r="C19" s="49"/>
      <c r="D19" s="49"/>
      <c r="E19" s="49"/>
      <c r="F19" s="65" t="str">
        <f>VLOOKUP('[1]NGWR18W-DATA'!$X$6,'[1]NGWR18W-DATA'!$I$2:$J$6,2,0)</f>
        <v>PS 18W 440mA Maxic New Pcb</v>
      </c>
      <c r="G19" s="70">
        <v>1</v>
      </c>
      <c r="H19" s="60" t="s">
        <v>233</v>
      </c>
      <c r="I19" s="49" t="s">
        <v>9</v>
      </c>
      <c r="J19" s="49"/>
      <c r="K19" s="49"/>
      <c r="L19" s="86">
        <v>0</v>
      </c>
      <c r="M19" s="86">
        <f>L19*G19</f>
        <v>0</v>
      </c>
      <c r="N19" s="93" t="s">
        <v>439</v>
      </c>
    </row>
    <row r="20" spans="1:18" ht="27.75" customHeight="1">
      <c r="M20" s="88">
        <f>SUM(M2:M19)</f>
        <v>649.62708000000009</v>
      </c>
    </row>
    <row r="22" spans="1:18" ht="26.25" customHeight="1">
      <c r="K22" s="118" t="s">
        <v>434</v>
      </c>
      <c r="L22" s="119"/>
      <c r="M22" s="87">
        <f>M20+98</f>
        <v>747.62708000000009</v>
      </c>
    </row>
    <row r="23" spans="1:18" ht="26.25" customHeight="1">
      <c r="K23" s="116" t="s">
        <v>435</v>
      </c>
      <c r="L23" s="117"/>
      <c r="M23" s="103">
        <f>((M20)+(Q23*87))</f>
        <v>1393.4770800000001</v>
      </c>
      <c r="N23" s="99">
        <v>5.7</v>
      </c>
      <c r="O23" s="100">
        <v>0.5</v>
      </c>
      <c r="P23" s="100"/>
      <c r="Q23" s="101">
        <f>N23+(N23*(O23+P23))</f>
        <v>8.5500000000000007</v>
      </c>
      <c r="R23" s="102">
        <f>Q23*87</f>
        <v>743.85</v>
      </c>
    </row>
    <row r="24" spans="1:18" ht="26.25" customHeight="1">
      <c r="K24" s="116" t="s">
        <v>436</v>
      </c>
      <c r="L24" s="117"/>
      <c r="M24" s="87">
        <f>M20+330</f>
        <v>979.62708000000009</v>
      </c>
      <c r="N24" s="99"/>
      <c r="O24" s="100"/>
      <c r="P24" s="100"/>
      <c r="Q24" s="101"/>
      <c r="R24" s="102"/>
    </row>
    <row r="25" spans="1:18" ht="26.25" customHeight="1">
      <c r="K25" s="116" t="s">
        <v>437</v>
      </c>
      <c r="L25" s="117"/>
      <c r="M25" s="103">
        <f>((M20)+(Q25*87))</f>
        <v>1452.2020800000003</v>
      </c>
      <c r="N25" s="99">
        <v>6.15</v>
      </c>
      <c r="O25" s="100">
        <v>0.5</v>
      </c>
      <c r="P25" s="100"/>
      <c r="Q25" s="101">
        <f>N25+(N25*(O25+P25))</f>
        <v>9.2250000000000014</v>
      </c>
      <c r="R25" s="102">
        <f>Q25*87</f>
        <v>802.57500000000016</v>
      </c>
    </row>
    <row r="26" spans="1:18" ht="26.25" customHeight="1">
      <c r="K26" s="116" t="s">
        <v>438</v>
      </c>
      <c r="L26" s="117"/>
      <c r="M26" s="87">
        <f>M20+330</f>
        <v>979.62708000000009</v>
      </c>
    </row>
  </sheetData>
  <mergeCells count="11">
    <mergeCell ref="Q8:Q11"/>
    <mergeCell ref="K25:L25"/>
    <mergeCell ref="K26:L26"/>
    <mergeCell ref="K22:L22"/>
    <mergeCell ref="K23:L23"/>
    <mergeCell ref="K24:L24"/>
    <mergeCell ref="L8:L11"/>
    <mergeCell ref="M8:M11"/>
    <mergeCell ref="N8:N11"/>
    <mergeCell ref="O8:O11"/>
    <mergeCell ref="P8:P11"/>
  </mergeCells>
  <conditionalFormatting sqref="F14:F18 F1:F7 F22:F1048576">
    <cfRule type="containsText" dxfId="18" priority="24" operator="containsText" text="PS-">
      <formula>NOT(ISERROR(SEARCH("PS-",F1)))</formula>
    </cfRule>
    <cfRule type="containsText" dxfId="17" priority="27" operator="containsText" text="COB-">
      <formula>NOT(ISERROR(SEARCH("COB-",F1)))</formula>
    </cfRule>
    <cfRule type="containsText" dxfId="16" priority="29" operator="containsText" text="TRIM">
      <formula>NOT(ISERROR(SEARCH("TRIM",F1)))</formula>
    </cfRule>
  </conditionalFormatting>
  <conditionalFormatting sqref="G19 F14:G18 F1:G7 G8:G11 F22:G1048576">
    <cfRule type="containsText" dxfId="15" priority="23" operator="containsText" text="REFLECTOR">
      <formula>NOT(ISERROR(SEARCH("REFLECTOR",F1)))</formula>
    </cfRule>
  </conditionalFormatting>
  <conditionalFormatting sqref="F9">
    <cfRule type="containsText" dxfId="14" priority="8" operator="containsText" text="PS-">
      <formula>NOT(ISERROR(SEARCH("PS-",F9)))</formula>
    </cfRule>
    <cfRule type="containsText" dxfId="13" priority="9" operator="containsText" text="COB-">
      <formula>NOT(ISERROR(SEARCH("COB-",F9)))</formula>
    </cfRule>
    <cfRule type="containsText" dxfId="12" priority="10" operator="containsText" text="TRIM">
      <formula>NOT(ISERROR(SEARCH("TRIM",F9)))</formula>
    </cfRule>
  </conditionalFormatting>
  <conditionalFormatting sqref="F9">
    <cfRule type="containsText" dxfId="11" priority="7" operator="containsText" text="REFLECTOR">
      <formula>NOT(ISERROR(SEARCH("REFLECTOR",F9)))</formula>
    </cfRule>
  </conditionalFormatting>
  <conditionalFormatting sqref="F8">
    <cfRule type="containsText" dxfId="10" priority="13" operator="containsText" text="PS-">
      <formula>NOT(ISERROR(SEARCH("PS-",F8)))</formula>
    </cfRule>
    <cfRule type="containsText" dxfId="9" priority="14" operator="containsText" text="COB-">
      <formula>NOT(ISERROR(SEARCH("COB-",F8)))</formula>
    </cfRule>
    <cfRule type="containsText" dxfId="8" priority="15" operator="containsText" text="TRIM">
      <formula>NOT(ISERROR(SEARCH("TRIM",F8)))</formula>
    </cfRule>
  </conditionalFormatting>
  <conditionalFormatting sqref="F8">
    <cfRule type="containsText" dxfId="7" priority="12" operator="containsText" text="REFLECTOR">
      <formula>NOT(ISERROR(SEARCH("REFLECTOR",F8)))</formula>
    </cfRule>
  </conditionalFormatting>
  <conditionalFormatting sqref="F11">
    <cfRule type="containsText" dxfId="6" priority="3" operator="containsText" text="PS-">
      <formula>NOT(ISERROR(SEARCH("PS-",F11)))</formula>
    </cfRule>
    <cfRule type="containsText" dxfId="5" priority="4" operator="containsText" text="COB-">
      <formula>NOT(ISERROR(SEARCH("COB-",F11)))</formula>
    </cfRule>
    <cfRule type="containsText" dxfId="4" priority="5" operator="containsText" text="TRIM">
      <formula>NOT(ISERROR(SEARCH("TRIM",F11)))</formula>
    </cfRule>
  </conditionalFormatting>
  <conditionalFormatting sqref="F11">
    <cfRule type="containsText" dxfId="3" priority="2" operator="containsText" text="REFLECTOR">
      <formula>NOT(ISERROR(SEARCH("REFLECTOR",F11)))</formula>
    </cfRule>
  </conditionalFormatting>
  <pageMargins left="0.69930555555555995" right="0.69930555555555995" top="0.75" bottom="0.75" header="0.3" footer="0.3"/>
  <pageSetup orientation="portrait" verticalDpi="0" r:id="rId1"/>
  <ignoredErrors>
    <ignoredError sqref="L17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G19 F22:G1048576 F14:G18 G8:G11 F1:G7</xm:sqref>
        </x14:conditionalFormatting>
        <x14:conditionalFormatting xmlns:xm="http://schemas.microsoft.com/office/excel/2006/main">
          <x14:cfRule type="expression" priority="6" id="{0C2161D8-F1EE-4FCB-B38D-7F39005BAB75}">
            <xm:f>$F:$F='\\Brijesh-pc\d\SURYA- BOM\1) OK BOMs\DRRR06-10W SKU DONE\[DRRR10W-BOM.xlsx]Backend data'!#REF!</xm:f>
            <x14:dxf>
              <fill>
                <patternFill>
                  <bgColor theme="7" tint="0.59996337778862885"/>
                </patternFill>
              </fill>
            </x14:dxf>
          </x14:cfRule>
          <xm:sqref>F8:F9</xm:sqref>
        </x14:conditionalFormatting>
        <x14:conditionalFormatting xmlns:xm="http://schemas.microsoft.com/office/excel/2006/main">
          <x14:cfRule type="expression" priority="1" id="{DF4C1757-30F5-4E99-A0B6-9CFE591F4C7E}">
            <xm:f>$F:$F='\\Brijesh-pc\d\SURYA- BOM\1) OK BOMs\DRRR06-10W SKU DONE\[DRRR10W-BOM.xlsx]Backend data'!#REF!</xm:f>
            <x14:dxf>
              <fill>
                <patternFill>
                  <bgColor theme="7" tint="0.59996337778862885"/>
                </patternFill>
              </fill>
            </x14:dxf>
          </x14:cfRule>
          <xm:sqref>F11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'NGWR18W-SKU'!$C$2:$C$133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21" t="s">
        <v>20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3"/>
    </row>
    <row r="6" spans="1:17" ht="12.6" customHeight="1">
      <c r="A6" s="16" t="s">
        <v>21</v>
      </c>
      <c r="B6" s="12" t="s">
        <v>15</v>
      </c>
      <c r="C6" s="13"/>
      <c r="E6" s="121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3"/>
    </row>
    <row r="7" spans="1:17" ht="12.6" customHeight="1">
      <c r="A7" s="16" t="s">
        <v>22</v>
      </c>
      <c r="B7" s="12" t="s">
        <v>15</v>
      </c>
      <c r="C7" s="13"/>
      <c r="E7" s="121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3"/>
    </row>
    <row r="8" spans="1:17" ht="12.6" customHeight="1">
      <c r="A8" s="16" t="s">
        <v>23</v>
      </c>
      <c r="B8" s="12" t="s">
        <v>15</v>
      </c>
      <c r="C8" s="13"/>
      <c r="E8" s="121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3"/>
    </row>
    <row r="9" spans="1:17" ht="12.95" customHeight="1">
      <c r="A9" s="16" t="s">
        <v>24</v>
      </c>
      <c r="B9" s="12" t="s">
        <v>15</v>
      </c>
      <c r="C9" s="13"/>
      <c r="E9" s="121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3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</row>
    <row r="20" spans="1:17" ht="25.5">
      <c r="A20" s="16" t="s">
        <v>40</v>
      </c>
      <c r="B20" s="12" t="s">
        <v>15</v>
      </c>
      <c r="C20" s="13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</row>
    <row r="21" spans="1:17">
      <c r="A21" s="16" t="s">
        <v>41</v>
      </c>
      <c r="B21" s="12" t="s">
        <v>15</v>
      </c>
      <c r="C21" s="13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</row>
    <row r="22" spans="1:17">
      <c r="A22" s="6" t="s">
        <v>42</v>
      </c>
      <c r="B22" s="30"/>
      <c r="C22" s="31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V19" workbookViewId="0">
      <selection activeCell="AB34" sqref="AB34"/>
    </sheetView>
  </sheetViews>
  <sheetFormatPr defaultRowHeight="15"/>
  <cols>
    <col min="1" max="1" width="2" customWidth="1"/>
    <col min="2" max="2" width="11.5703125" customWidth="1"/>
    <col min="3" max="3" width="57.85546875" style="51" customWidth="1"/>
    <col min="4" max="4" width="10.85546875" customWidth="1"/>
    <col min="5" max="5" width="10.42578125" bestFit="1" customWidth="1"/>
    <col min="6" max="6" width="11.85546875" bestFit="1" customWidth="1"/>
    <col min="7" max="7" width="29" customWidth="1"/>
    <col min="8" max="8" width="31.42578125" style="51" customWidth="1"/>
    <col min="9" max="9" width="12.7109375" customWidth="1"/>
    <col min="11" max="11" width="2.7109375" customWidth="1"/>
    <col min="13" max="13" width="55.42578125" style="51" customWidth="1"/>
    <col min="16" max="16" width="2.28515625" customWidth="1"/>
    <col min="18" max="18" width="57.5703125" style="51" customWidth="1"/>
    <col min="21" max="21" width="1.42578125" customWidth="1"/>
    <col min="22" max="22" width="8.140625" customWidth="1"/>
    <col min="23" max="23" width="67.85546875" customWidth="1"/>
    <col min="24" max="24" width="14.140625" customWidth="1"/>
    <col min="26" max="26" width="1.28515625" customWidth="1"/>
    <col min="28" max="28" width="35.7109375" style="5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195</v>
      </c>
      <c r="D2" s="61" t="s">
        <v>204</v>
      </c>
      <c r="E2" s="55" t="s">
        <v>196</v>
      </c>
      <c r="F2" s="55" t="s">
        <v>197</v>
      </c>
      <c r="G2" s="55" t="s">
        <v>200</v>
      </c>
      <c r="H2" s="54" t="s">
        <v>199</v>
      </c>
      <c r="I2" s="62" t="s">
        <v>205</v>
      </c>
    </row>
    <row r="3" spans="2:9">
      <c r="C3" s="63" t="str">
        <f>MID('Stock Item'!$D$2,4,1)</f>
        <v>R</v>
      </c>
      <c r="D3" s="52" t="str">
        <f>MID('Stock Item'!$D$2,6,2)</f>
        <v>8M</v>
      </c>
      <c r="E3" s="63" t="str">
        <f>MID('Stock Item'!$D$2,3,1)</f>
        <v>W</v>
      </c>
      <c r="F3" s="63" t="str">
        <f>MID('Stock Item'!$D$2,7,1)</f>
        <v>M</v>
      </c>
      <c r="G3" s="51" t="str">
        <f>MID('Stock Item'!$D$2,8,2)</f>
        <v>30</v>
      </c>
      <c r="H3" s="63" t="str">
        <f>MID('Stock Item'!$D$2,10,11)</f>
        <v/>
      </c>
      <c r="I3" t="str">
        <f>MID('Stock Item'!$D$2,2,1)</f>
        <v>G</v>
      </c>
    </row>
    <row r="4" spans="2:9">
      <c r="D4" s="64" t="str">
        <f>CONCATENATE($D$3,$F$3)</f>
        <v>8MM</v>
      </c>
      <c r="G4" s="64" t="str">
        <f>CONCATENATE($G$3,$H$4)</f>
        <v>30-</v>
      </c>
      <c r="H4" s="51" t="str">
        <f>CONCATENATE($H$3,"-")</f>
        <v>-</v>
      </c>
    </row>
    <row r="5" spans="2:9">
      <c r="H5" s="51" t="str">
        <f>CONCATENATE('Stock Item'!D2)</f>
        <v>NGWR18M30</v>
      </c>
    </row>
    <row r="6" spans="2:9">
      <c r="B6" s="54" t="s">
        <v>201</v>
      </c>
      <c r="C6" s="58" t="str">
        <f>VLOOKUP($C$3,$B$23:$E$72,2,0)</f>
        <v>Trim-O-82 I-66 H-33mm 3W White NGWR18W (OUCHI)</v>
      </c>
      <c r="D6" s="57" t="e">
        <f>VLOOKUP($D$4,G23:$J$100,2,0)</f>
        <v>#N/A</v>
      </c>
      <c r="E6" s="57" t="str">
        <f>VLOOKUP($E$3,$L$23:$O$72,2,0)</f>
        <v>Refl-O-70 H-27  L-38mm 3W White-PC NGWR18W (OUCHI)</v>
      </c>
      <c r="F6" s="57" t="e">
        <f>VLOOKUP($F$3,$Q$23:$T$72,2,0)</f>
        <v>#N/A</v>
      </c>
      <c r="G6" s="57" t="str">
        <f>VLOOKUP($G$4,$V$23:$Y$72,2,0)</f>
        <v>COB 30-36W 3000K 12LED 34-38V 890mA 19x19mm L-17mm</v>
      </c>
      <c r="H6" s="56" t="str">
        <f>VLOOKUP($H$4,$AA$23:$AD$72,2,0)</f>
        <v>PS 18W 440mA Maxic New Pcb</v>
      </c>
      <c r="I6" s="56" t="e">
        <f>VLOOKUP($I$3,AF23:$AI$100,2,0)</f>
        <v>#N/A</v>
      </c>
    </row>
    <row r="7" spans="2:9" ht="30">
      <c r="B7" s="54" t="s">
        <v>202</v>
      </c>
      <c r="C7" s="58">
        <f>VLOOKUP($C$3,$B$23:$E$72,4,0)</f>
        <v>0</v>
      </c>
      <c r="D7" s="57" t="e">
        <f>VLOOKUP($D$4,G23:$J$100,4,0)</f>
        <v>#N/A</v>
      </c>
      <c r="E7" s="57">
        <f>VLOOKUP($E$3,$L$23:$O$72,4,0)</f>
        <v>0</v>
      </c>
      <c r="F7" s="57" t="e">
        <f>VLOOKUP($F$3,$Q$23:$T$72,4,0)</f>
        <v>#N/A</v>
      </c>
      <c r="G7" s="57">
        <f>VLOOKUP($G$4,$V$23:$Y$72,4,0)</f>
        <v>0</v>
      </c>
      <c r="H7" s="56">
        <f>VLOOKUP($H$4,$AA$23:$AD$72,4,0)</f>
        <v>0</v>
      </c>
      <c r="I7" s="56" t="e">
        <f>VLOOKUP($I$3,$AF$23:$AI$100,4,0)</f>
        <v>#N/A</v>
      </c>
    </row>
    <row r="8" spans="2:9" ht="45">
      <c r="B8" s="59" t="s">
        <v>203</v>
      </c>
      <c r="C8" s="58">
        <f>VLOOKUP($C$3,$B$23:$E$72,3,0)</f>
        <v>0</v>
      </c>
      <c r="D8" s="57" t="e">
        <f>VLOOKUP($D$4,G23:$J$100,3,0)</f>
        <v>#N/A</v>
      </c>
      <c r="E8" s="57">
        <f>VLOOKUP($E$3,$L$23:$O$72,3,0)</f>
        <v>0</v>
      </c>
      <c r="F8" s="57" t="e">
        <f>VLOOKUP($F$3,$Q$23:$T$72,3,0)</f>
        <v>#N/A</v>
      </c>
      <c r="G8" s="57">
        <f>VLOOKUP($G$4,$V$23:$Y$72,3,0)</f>
        <v>0</v>
      </c>
      <c r="H8" s="56">
        <f>VLOOKUP($H$4,$AA$23:$AD$72,3,0)</f>
        <v>0</v>
      </c>
      <c r="I8" s="56" t="e">
        <f>VLOOKUP($I$3,$AF$23:$AI$100,3,0)</f>
        <v>#N/A</v>
      </c>
    </row>
    <row r="10" spans="2:9">
      <c r="H10" s="73" t="s">
        <v>222</v>
      </c>
    </row>
    <row r="19" spans="2:35" ht="13.9" customHeight="1"/>
    <row r="21" spans="2:35">
      <c r="B21" s="127" t="s">
        <v>195</v>
      </c>
      <c r="C21" s="128"/>
      <c r="D21" s="128"/>
      <c r="E21" s="128"/>
      <c r="G21" s="127" t="s">
        <v>204</v>
      </c>
      <c r="H21" s="128"/>
      <c r="I21" s="128"/>
      <c r="J21" s="128"/>
      <c r="L21" s="127" t="s">
        <v>196</v>
      </c>
      <c r="M21" s="128"/>
      <c r="N21" s="128"/>
      <c r="O21" s="128"/>
      <c r="Q21" s="127" t="s">
        <v>197</v>
      </c>
      <c r="R21" s="128"/>
      <c r="S21" s="128"/>
      <c r="T21" s="128"/>
      <c r="V21" s="127" t="s">
        <v>198</v>
      </c>
      <c r="W21" s="128"/>
      <c r="X21" s="128"/>
      <c r="Y21" s="128"/>
      <c r="AA21" s="124" t="s">
        <v>199</v>
      </c>
      <c r="AB21" s="125"/>
      <c r="AC21" s="125"/>
      <c r="AD21" s="126"/>
      <c r="AF21" s="124" t="s">
        <v>205</v>
      </c>
      <c r="AG21" s="125"/>
      <c r="AH21" s="125"/>
      <c r="AI21" s="126"/>
    </row>
    <row r="22" spans="2:35">
      <c r="B22" s="50" t="s">
        <v>191</v>
      </c>
      <c r="C22" s="53" t="s">
        <v>192</v>
      </c>
      <c r="D22" s="50" t="s">
        <v>193</v>
      </c>
      <c r="E22" s="50" t="s">
        <v>194</v>
      </c>
      <c r="G22" s="50" t="s">
        <v>191</v>
      </c>
      <c r="H22" s="53" t="s">
        <v>192</v>
      </c>
      <c r="I22" s="50" t="s">
        <v>193</v>
      </c>
      <c r="J22" s="50" t="s">
        <v>194</v>
      </c>
      <c r="L22" s="50" t="s">
        <v>191</v>
      </c>
      <c r="M22" s="53" t="s">
        <v>192</v>
      </c>
      <c r="N22" s="50" t="s">
        <v>193</v>
      </c>
      <c r="O22" s="50" t="s">
        <v>194</v>
      </c>
      <c r="Q22" s="50" t="s">
        <v>191</v>
      </c>
      <c r="R22" s="53" t="s">
        <v>192</v>
      </c>
      <c r="S22" s="50" t="s">
        <v>193</v>
      </c>
      <c r="T22" s="50" t="s">
        <v>194</v>
      </c>
      <c r="V22" s="50" t="s">
        <v>191</v>
      </c>
      <c r="W22" s="50" t="s">
        <v>192</v>
      </c>
      <c r="X22" s="50" t="s">
        <v>193</v>
      </c>
      <c r="Y22" s="50" t="s">
        <v>194</v>
      </c>
      <c r="AA22" s="50" t="s">
        <v>191</v>
      </c>
      <c r="AB22" s="53" t="s">
        <v>192</v>
      </c>
      <c r="AC22" s="50" t="s">
        <v>193</v>
      </c>
      <c r="AD22" s="50" t="s">
        <v>194</v>
      </c>
      <c r="AF22" s="50" t="s">
        <v>191</v>
      </c>
      <c r="AG22" s="50" t="s">
        <v>192</v>
      </c>
      <c r="AH22" s="50" t="s">
        <v>193</v>
      </c>
      <c r="AI22" s="50" t="s">
        <v>194</v>
      </c>
    </row>
    <row r="23" spans="2:35">
      <c r="B23" s="75" t="s">
        <v>206</v>
      </c>
      <c r="C23" s="75" t="s">
        <v>234</v>
      </c>
      <c r="L23" s="76" t="s">
        <v>213</v>
      </c>
      <c r="M23" s="75" t="s">
        <v>237</v>
      </c>
      <c r="Q23" s="49"/>
      <c r="R23" s="49"/>
      <c r="V23" s="77" t="s">
        <v>207</v>
      </c>
      <c r="W23" s="49" t="s">
        <v>246</v>
      </c>
      <c r="X23" s="49"/>
      <c r="AA23" s="76" t="s">
        <v>216</v>
      </c>
      <c r="AB23" s="75" t="s">
        <v>241</v>
      </c>
      <c r="AF23" s="60"/>
      <c r="AG23" s="60"/>
    </row>
    <row r="24" spans="2:35">
      <c r="B24" s="49" t="s">
        <v>19</v>
      </c>
      <c r="C24" s="49" t="s">
        <v>235</v>
      </c>
      <c r="L24" s="66" t="s">
        <v>19</v>
      </c>
      <c r="M24" s="49" t="s">
        <v>238</v>
      </c>
      <c r="Q24" s="49"/>
      <c r="R24" s="49"/>
      <c r="V24" s="69" t="s">
        <v>208</v>
      </c>
      <c r="W24" s="49" t="s">
        <v>247</v>
      </c>
      <c r="X24" s="49"/>
      <c r="AA24" s="66" t="s">
        <v>217</v>
      </c>
      <c r="AB24" s="94" t="s">
        <v>242</v>
      </c>
      <c r="AF24" s="60"/>
      <c r="AG24" s="60"/>
    </row>
    <row r="25" spans="2:35">
      <c r="B25" s="49" t="s">
        <v>212</v>
      </c>
      <c r="C25" s="49" t="s">
        <v>236</v>
      </c>
      <c r="L25" s="66" t="s">
        <v>214</v>
      </c>
      <c r="M25" s="67" t="s">
        <v>239</v>
      </c>
      <c r="V25" s="69" t="s">
        <v>209</v>
      </c>
      <c r="W25" s="49" t="s">
        <v>248</v>
      </c>
      <c r="X25" s="49"/>
      <c r="AA25" s="66" t="s">
        <v>218</v>
      </c>
      <c r="AB25" s="94" t="s">
        <v>243</v>
      </c>
      <c r="AF25" s="49"/>
      <c r="AG25" s="60"/>
    </row>
    <row r="26" spans="2:35">
      <c r="L26" s="66" t="s">
        <v>215</v>
      </c>
      <c r="M26" s="49" t="s">
        <v>240</v>
      </c>
      <c r="V26" s="68"/>
      <c r="X26" s="49"/>
      <c r="AA26" s="66" t="s">
        <v>219</v>
      </c>
      <c r="AB26" s="94" t="s">
        <v>244</v>
      </c>
      <c r="AF26" s="49"/>
      <c r="AG26" s="60"/>
    </row>
    <row r="27" spans="2:35">
      <c r="H27"/>
      <c r="V27" s="69" t="s">
        <v>418</v>
      </c>
      <c r="W27" s="49" t="s">
        <v>246</v>
      </c>
      <c r="X27" s="49"/>
      <c r="AA27" s="66" t="s">
        <v>220</v>
      </c>
      <c r="AB27" s="49" t="s">
        <v>245</v>
      </c>
    </row>
    <row r="28" spans="2:35">
      <c r="V28" s="69" t="s">
        <v>419</v>
      </c>
      <c r="W28" s="49" t="s">
        <v>247</v>
      </c>
      <c r="X28" s="49"/>
      <c r="AA28" s="66"/>
      <c r="AB28" s="49"/>
    </row>
    <row r="29" spans="2:35">
      <c r="V29" s="69" t="s">
        <v>420</v>
      </c>
      <c r="W29" s="49" t="s">
        <v>248</v>
      </c>
      <c r="X29" s="49"/>
    </row>
    <row r="30" spans="2:35">
      <c r="V30" s="66" t="s">
        <v>421</v>
      </c>
      <c r="W30" s="60" t="s">
        <v>249</v>
      </c>
      <c r="X30" s="49"/>
      <c r="AB30"/>
    </row>
    <row r="31" spans="2:35">
      <c r="X31" s="49"/>
      <c r="AB31"/>
    </row>
    <row r="32" spans="2:35">
      <c r="V32" s="69" t="s">
        <v>422</v>
      </c>
      <c r="W32" s="49" t="s">
        <v>246</v>
      </c>
      <c r="X32" s="49"/>
      <c r="AB32"/>
    </row>
    <row r="33" spans="22:28">
      <c r="V33" s="72" t="s">
        <v>423</v>
      </c>
      <c r="W33" s="71" t="s">
        <v>247</v>
      </c>
      <c r="X33" s="49"/>
      <c r="AB33"/>
    </row>
    <row r="34" spans="22:28">
      <c r="V34" s="72" t="s">
        <v>424</v>
      </c>
      <c r="W34" s="71" t="s">
        <v>248</v>
      </c>
      <c r="X34" s="49"/>
      <c r="AB34"/>
    </row>
    <row r="35" spans="22:28">
      <c r="V35" s="66" t="s">
        <v>425</v>
      </c>
      <c r="W35" s="60" t="s">
        <v>250</v>
      </c>
      <c r="X35" s="49"/>
      <c r="AB35"/>
    </row>
    <row r="36" spans="22:28">
      <c r="AB36"/>
    </row>
    <row r="37" spans="22:28">
      <c r="AB37"/>
    </row>
    <row r="38" spans="22:28">
      <c r="AB38"/>
    </row>
    <row r="39" spans="22:28">
      <c r="AB39"/>
    </row>
    <row r="40" spans="22:28">
      <c r="AB40"/>
    </row>
    <row r="41" spans="22:28">
      <c r="AB41"/>
    </row>
    <row r="42" spans="22:28">
      <c r="AB42"/>
    </row>
    <row r="43" spans="22:28">
      <c r="AB43"/>
    </row>
    <row r="44" spans="22:28">
      <c r="AB44"/>
    </row>
    <row r="45" spans="22:28">
      <c r="AB45"/>
    </row>
    <row r="46" spans="22:28">
      <c r="AB46"/>
    </row>
    <row r="47" spans="22:28">
      <c r="AB47"/>
    </row>
    <row r="48" spans="22:28">
      <c r="AB48"/>
    </row>
    <row r="49" spans="28:28">
      <c r="AB49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W133"/>
  <sheetViews>
    <sheetView topLeftCell="A73" zoomScale="82" zoomScaleNormal="82" workbookViewId="0">
      <selection activeCell="AB135" sqref="AB135"/>
    </sheetView>
  </sheetViews>
  <sheetFormatPr defaultRowHeight="15"/>
  <cols>
    <col min="1" max="1" width="9.140625" style="78"/>
    <col min="2" max="2" width="16.5703125" style="78" bestFit="1" customWidth="1"/>
    <col min="3" max="3" width="16.85546875" style="80" bestFit="1" customWidth="1"/>
    <col min="4" max="4" width="30.140625" style="78" hidden="1" customWidth="1"/>
    <col min="5" max="5" width="11" style="78" hidden="1" customWidth="1"/>
    <col min="6" max="6" width="11.85546875" style="78" hidden="1" customWidth="1"/>
    <col min="7" max="7" width="7.42578125" style="78" hidden="1" customWidth="1"/>
    <col min="8" max="8" width="6.42578125" style="78" hidden="1" customWidth="1"/>
    <col min="9" max="9" width="6.85546875" style="78" hidden="1" customWidth="1"/>
    <col min="10" max="10" width="6.42578125" style="78" hidden="1" customWidth="1"/>
    <col min="11" max="11" width="13.5703125" style="78" hidden="1" customWidth="1"/>
    <col min="12" max="12" width="49.42578125" style="78" hidden="1" customWidth="1"/>
    <col min="13" max="13" width="35.42578125" style="78" hidden="1" customWidth="1"/>
    <col min="14" max="14" width="11.85546875" style="78" hidden="1" customWidth="1"/>
    <col min="15" max="15" width="19.42578125" style="78" hidden="1" customWidth="1"/>
    <col min="16" max="16" width="20.7109375" style="78" hidden="1" customWidth="1"/>
    <col min="17" max="17" width="0" style="78" hidden="1" customWidth="1"/>
    <col min="18" max="21" width="9.42578125" style="79" hidden="1" customWidth="1"/>
    <col min="22" max="22" width="0" style="79" hidden="1" customWidth="1"/>
    <col min="23" max="16384" width="9.140625" style="78"/>
  </cols>
  <sheetData>
    <row r="1" spans="1:23" s="81" customFormat="1">
      <c r="A1" s="81" t="s">
        <v>417</v>
      </c>
      <c r="B1" s="83" t="s">
        <v>416</v>
      </c>
      <c r="C1" s="81" t="s">
        <v>415</v>
      </c>
      <c r="D1" s="82" t="s">
        <v>414</v>
      </c>
      <c r="E1" s="81" t="s">
        <v>413</v>
      </c>
      <c r="F1" s="81" t="s">
        <v>412</v>
      </c>
      <c r="G1" s="81" t="s">
        <v>411</v>
      </c>
      <c r="H1" s="81" t="s">
        <v>410</v>
      </c>
      <c r="I1" s="81" t="s">
        <v>409</v>
      </c>
      <c r="J1" s="81" t="s">
        <v>408</v>
      </c>
      <c r="K1" s="81" t="s">
        <v>407</v>
      </c>
      <c r="L1" s="81" t="s">
        <v>406</v>
      </c>
      <c r="M1" s="81" t="s">
        <v>405</v>
      </c>
      <c r="N1" s="81" t="s">
        <v>404</v>
      </c>
      <c r="O1" s="81" t="s">
        <v>403</v>
      </c>
      <c r="P1" s="81" t="s">
        <v>402</v>
      </c>
      <c r="Q1" s="83"/>
      <c r="W1" s="82"/>
    </row>
    <row r="2" spans="1:23">
      <c r="A2" s="78">
        <v>186845</v>
      </c>
      <c r="B2" s="78" t="s">
        <v>401</v>
      </c>
      <c r="C2" s="80" t="str">
        <f t="shared" ref="C2:C33" si="0">CONCATENATE(R2,S2,T2,U2,V2)</f>
        <v>NGWR18M30</v>
      </c>
      <c r="D2" s="78" t="e">
        <f>VLOOKUP(C2,'[1]NGWR18W-DATA'!$AC$3:$AD$3,2,0)</f>
        <v>#N/A</v>
      </c>
      <c r="E2" s="78">
        <v>0</v>
      </c>
      <c r="F2" s="78">
        <v>0</v>
      </c>
      <c r="G2" s="78">
        <v>0</v>
      </c>
      <c r="H2" s="78">
        <v>0</v>
      </c>
      <c r="I2" s="78">
        <v>0</v>
      </c>
      <c r="J2" s="78">
        <v>0</v>
      </c>
      <c r="K2" s="78" t="s">
        <v>256</v>
      </c>
      <c r="L2" s="78" t="s">
        <v>297</v>
      </c>
      <c r="M2" s="78" t="s">
        <v>365</v>
      </c>
      <c r="N2" s="78" t="s">
        <v>253</v>
      </c>
      <c r="O2" s="78" t="s">
        <v>270</v>
      </c>
      <c r="P2" s="78" t="s">
        <v>260</v>
      </c>
      <c r="R2" s="79" t="str">
        <f t="shared" ref="R2:R33" si="1">MID(B2,1,2)</f>
        <v>NG</v>
      </c>
      <c r="S2" s="79" t="str">
        <f t="shared" ref="S2:S33" si="2">MID(B2,6,2)</f>
        <v>WR</v>
      </c>
      <c r="T2" s="79" t="str">
        <f t="shared" ref="T2:T33" si="3">MID(B2,4,2)</f>
        <v>18</v>
      </c>
      <c r="U2" s="79" t="str">
        <f t="shared" ref="U2:U33" si="4">MID(B2,8,1)</f>
        <v>M</v>
      </c>
      <c r="V2" s="79" t="str">
        <f t="shared" ref="V2:V37" si="5">MID(B2,9,2)</f>
        <v>30</v>
      </c>
    </row>
    <row r="3" spans="1:23">
      <c r="A3" s="78">
        <v>186846</v>
      </c>
      <c r="B3" s="78" t="s">
        <v>400</v>
      </c>
      <c r="C3" s="80" t="str">
        <f t="shared" si="0"/>
        <v>NGWT18M30</v>
      </c>
      <c r="D3" s="78" t="e">
        <f>VLOOKUP(C3,'[1]NGWR18W-DATA'!$AC$3:$AD$3,2,0)</f>
        <v>#N/A</v>
      </c>
      <c r="E3" s="78">
        <v>0</v>
      </c>
      <c r="F3" s="78">
        <v>0</v>
      </c>
      <c r="G3" s="78">
        <v>0</v>
      </c>
      <c r="H3" s="78">
        <v>0</v>
      </c>
      <c r="I3" s="78">
        <v>0</v>
      </c>
      <c r="J3" s="78">
        <v>0</v>
      </c>
      <c r="K3" s="78" t="s">
        <v>256</v>
      </c>
      <c r="L3" s="78" t="s">
        <v>297</v>
      </c>
      <c r="M3" s="78" t="s">
        <v>365</v>
      </c>
      <c r="N3" s="78" t="s">
        <v>253</v>
      </c>
      <c r="O3" s="78" t="s">
        <v>270</v>
      </c>
      <c r="P3" s="78" t="s">
        <v>258</v>
      </c>
      <c r="R3" s="79" t="str">
        <f t="shared" si="1"/>
        <v>NG</v>
      </c>
      <c r="S3" s="79" t="str">
        <f t="shared" si="2"/>
        <v>WT</v>
      </c>
      <c r="T3" s="79" t="str">
        <f t="shared" si="3"/>
        <v>18</v>
      </c>
      <c r="U3" s="79" t="str">
        <f t="shared" si="4"/>
        <v>M</v>
      </c>
      <c r="V3" s="79" t="str">
        <f t="shared" si="5"/>
        <v>30</v>
      </c>
    </row>
    <row r="4" spans="1:23">
      <c r="A4" s="78">
        <v>186847</v>
      </c>
      <c r="B4" s="78" t="s">
        <v>399</v>
      </c>
      <c r="C4" s="80" t="str">
        <f t="shared" si="0"/>
        <v>NGWB18M30</v>
      </c>
      <c r="D4" s="78" t="e">
        <f>VLOOKUP(C4,'[1]NGWR18W-DATA'!$AC$3:$AD$3,2,0)</f>
        <v>#N/A</v>
      </c>
      <c r="E4" s="78">
        <v>0</v>
      </c>
      <c r="F4" s="78">
        <v>0</v>
      </c>
      <c r="G4" s="78">
        <v>0</v>
      </c>
      <c r="H4" s="78">
        <v>0</v>
      </c>
      <c r="I4" s="78">
        <v>0</v>
      </c>
      <c r="J4" s="78">
        <v>0</v>
      </c>
      <c r="K4" s="78" t="s">
        <v>256</v>
      </c>
      <c r="L4" s="78" t="s">
        <v>297</v>
      </c>
      <c r="M4" s="78" t="s">
        <v>365</v>
      </c>
      <c r="N4" s="78" t="s">
        <v>253</v>
      </c>
      <c r="O4" s="78" t="s">
        <v>270</v>
      </c>
      <c r="P4" s="78" t="s">
        <v>251</v>
      </c>
      <c r="R4" s="79" t="str">
        <f t="shared" si="1"/>
        <v>NG</v>
      </c>
      <c r="S4" s="79" t="str">
        <f t="shared" si="2"/>
        <v>WB</v>
      </c>
      <c r="T4" s="79" t="str">
        <f t="shared" si="3"/>
        <v>18</v>
      </c>
      <c r="U4" s="79" t="str">
        <f t="shared" si="4"/>
        <v>M</v>
      </c>
      <c r="V4" s="79" t="str">
        <f t="shared" si="5"/>
        <v>30</v>
      </c>
    </row>
    <row r="5" spans="1:23">
      <c r="A5" s="78">
        <v>186848</v>
      </c>
      <c r="B5" s="78" t="s">
        <v>398</v>
      </c>
      <c r="C5" s="80" t="str">
        <f t="shared" si="0"/>
        <v>NGWR18M40</v>
      </c>
      <c r="D5" s="78" t="e">
        <f>VLOOKUP(C5,'[1]NGWR18W-DATA'!$AC$3:$AD$3,2,0)</f>
        <v>#N/A</v>
      </c>
      <c r="E5" s="78">
        <v>0</v>
      </c>
      <c r="F5" s="78">
        <v>0</v>
      </c>
      <c r="G5" s="78">
        <v>0</v>
      </c>
      <c r="H5" s="78">
        <v>0</v>
      </c>
      <c r="I5" s="78">
        <v>0</v>
      </c>
      <c r="J5" s="78">
        <v>0</v>
      </c>
      <c r="K5" s="78" t="s">
        <v>256</v>
      </c>
      <c r="L5" s="78" t="s">
        <v>293</v>
      </c>
      <c r="M5" s="78" t="s">
        <v>365</v>
      </c>
      <c r="N5" s="78" t="s">
        <v>253</v>
      </c>
      <c r="O5" s="78" t="s">
        <v>270</v>
      </c>
      <c r="P5" s="78" t="s">
        <v>260</v>
      </c>
      <c r="R5" s="79" t="str">
        <f t="shared" si="1"/>
        <v>NG</v>
      </c>
      <c r="S5" s="79" t="str">
        <f t="shared" si="2"/>
        <v>WR</v>
      </c>
      <c r="T5" s="79" t="str">
        <f t="shared" si="3"/>
        <v>18</v>
      </c>
      <c r="U5" s="79" t="str">
        <f t="shared" si="4"/>
        <v>M</v>
      </c>
      <c r="V5" s="79" t="str">
        <f t="shared" si="5"/>
        <v>40</v>
      </c>
    </row>
    <row r="6" spans="1:23">
      <c r="A6" s="78">
        <v>186849</v>
      </c>
      <c r="B6" s="78" t="s">
        <v>397</v>
      </c>
      <c r="C6" s="80" t="str">
        <f t="shared" si="0"/>
        <v>NGWT18M40</v>
      </c>
      <c r="D6" s="78" t="e">
        <f>VLOOKUP(C6,'[1]NGWR18W-DATA'!$AC$3:$AD$3,2,0)</f>
        <v>#N/A</v>
      </c>
      <c r="E6" s="78">
        <v>0</v>
      </c>
      <c r="F6" s="78">
        <v>0</v>
      </c>
      <c r="G6" s="78">
        <v>0</v>
      </c>
      <c r="H6" s="78">
        <v>0</v>
      </c>
      <c r="I6" s="78">
        <v>0</v>
      </c>
      <c r="J6" s="78">
        <v>0</v>
      </c>
      <c r="K6" s="78" t="s">
        <v>256</v>
      </c>
      <c r="L6" s="78" t="s">
        <v>293</v>
      </c>
      <c r="M6" s="78" t="s">
        <v>365</v>
      </c>
      <c r="N6" s="78" t="s">
        <v>253</v>
      </c>
      <c r="O6" s="78" t="s">
        <v>270</v>
      </c>
      <c r="P6" s="78" t="s">
        <v>258</v>
      </c>
      <c r="R6" s="79" t="str">
        <f t="shared" si="1"/>
        <v>NG</v>
      </c>
      <c r="S6" s="79" t="str">
        <f t="shared" si="2"/>
        <v>WT</v>
      </c>
      <c r="T6" s="79" t="str">
        <f t="shared" si="3"/>
        <v>18</v>
      </c>
      <c r="U6" s="79" t="str">
        <f t="shared" si="4"/>
        <v>M</v>
      </c>
      <c r="V6" s="79" t="str">
        <f t="shared" si="5"/>
        <v>40</v>
      </c>
    </row>
    <row r="7" spans="1:23">
      <c r="A7" s="78">
        <v>186850</v>
      </c>
      <c r="B7" s="78" t="s">
        <v>396</v>
      </c>
      <c r="C7" s="80" t="str">
        <f t="shared" si="0"/>
        <v>NGWB18M40</v>
      </c>
      <c r="D7" s="78" t="e">
        <f>VLOOKUP(C7,'[1]NGWR18W-DATA'!$AC$3:$AD$3,2,0)</f>
        <v>#N/A</v>
      </c>
      <c r="E7" s="78">
        <v>0</v>
      </c>
      <c r="F7" s="78">
        <v>0</v>
      </c>
      <c r="G7" s="78">
        <v>0</v>
      </c>
      <c r="H7" s="78">
        <v>0</v>
      </c>
      <c r="I7" s="78">
        <v>0</v>
      </c>
      <c r="J7" s="78">
        <v>0</v>
      </c>
      <c r="K7" s="78" t="s">
        <v>256</v>
      </c>
      <c r="L7" s="78" t="s">
        <v>293</v>
      </c>
      <c r="M7" s="78" t="s">
        <v>365</v>
      </c>
      <c r="N7" s="78" t="s">
        <v>253</v>
      </c>
      <c r="O7" s="78" t="s">
        <v>270</v>
      </c>
      <c r="P7" s="78" t="s">
        <v>251</v>
      </c>
      <c r="R7" s="79" t="str">
        <f t="shared" si="1"/>
        <v>NG</v>
      </c>
      <c r="S7" s="79" t="str">
        <f t="shared" si="2"/>
        <v>WB</v>
      </c>
      <c r="T7" s="79" t="str">
        <f t="shared" si="3"/>
        <v>18</v>
      </c>
      <c r="U7" s="79" t="str">
        <f t="shared" si="4"/>
        <v>M</v>
      </c>
      <c r="V7" s="79" t="str">
        <f t="shared" si="5"/>
        <v>40</v>
      </c>
    </row>
    <row r="8" spans="1:23">
      <c r="A8" s="78">
        <v>186851</v>
      </c>
      <c r="B8" s="78" t="s">
        <v>395</v>
      </c>
      <c r="C8" s="80" t="str">
        <f t="shared" si="0"/>
        <v>NGWR18M60</v>
      </c>
      <c r="D8" s="78" t="e">
        <f>VLOOKUP(C8,'[1]NGWR18W-DATA'!$AC$3:$AD$3,2,0)</f>
        <v>#N/A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 t="s">
        <v>256</v>
      </c>
      <c r="L8" s="78" t="s">
        <v>289</v>
      </c>
      <c r="M8" s="78" t="s">
        <v>365</v>
      </c>
      <c r="N8" s="78" t="s">
        <v>253</v>
      </c>
      <c r="O8" s="78" t="s">
        <v>270</v>
      </c>
      <c r="P8" s="78" t="s">
        <v>260</v>
      </c>
      <c r="R8" s="79" t="str">
        <f t="shared" si="1"/>
        <v>NG</v>
      </c>
      <c r="S8" s="79" t="str">
        <f t="shared" si="2"/>
        <v>WR</v>
      </c>
      <c r="T8" s="79" t="str">
        <f t="shared" si="3"/>
        <v>18</v>
      </c>
      <c r="U8" s="79" t="str">
        <f t="shared" si="4"/>
        <v>M</v>
      </c>
      <c r="V8" s="79" t="str">
        <f t="shared" si="5"/>
        <v>60</v>
      </c>
    </row>
    <row r="9" spans="1:23">
      <c r="A9" s="78">
        <v>186852</v>
      </c>
      <c r="B9" s="78" t="s">
        <v>394</v>
      </c>
      <c r="C9" s="80" t="str">
        <f t="shared" si="0"/>
        <v>NGWT18M60</v>
      </c>
      <c r="D9" s="78" t="e">
        <f>VLOOKUP(C9,'[1]NGWR18W-DATA'!$AC$3:$AD$3,2,0)</f>
        <v>#N/A</v>
      </c>
      <c r="E9" s="78">
        <v>0</v>
      </c>
      <c r="F9" s="78">
        <v>0</v>
      </c>
      <c r="G9" s="78">
        <v>0</v>
      </c>
      <c r="H9" s="78">
        <v>0</v>
      </c>
      <c r="I9" s="78">
        <v>0</v>
      </c>
      <c r="J9" s="78">
        <v>0</v>
      </c>
      <c r="K9" s="78" t="s">
        <v>256</v>
      </c>
      <c r="L9" s="78" t="s">
        <v>289</v>
      </c>
      <c r="M9" s="78" t="s">
        <v>365</v>
      </c>
      <c r="N9" s="78" t="s">
        <v>253</v>
      </c>
      <c r="O9" s="78" t="s">
        <v>270</v>
      </c>
      <c r="P9" s="78" t="s">
        <v>258</v>
      </c>
      <c r="R9" s="79" t="str">
        <f t="shared" si="1"/>
        <v>NG</v>
      </c>
      <c r="S9" s="79" t="str">
        <f t="shared" si="2"/>
        <v>WT</v>
      </c>
      <c r="T9" s="79" t="str">
        <f t="shared" si="3"/>
        <v>18</v>
      </c>
      <c r="U9" s="79" t="str">
        <f t="shared" si="4"/>
        <v>M</v>
      </c>
      <c r="V9" s="79" t="str">
        <f t="shared" si="5"/>
        <v>60</v>
      </c>
    </row>
    <row r="10" spans="1:23">
      <c r="A10" s="78">
        <v>186853</v>
      </c>
      <c r="B10" s="78" t="s">
        <v>393</v>
      </c>
      <c r="C10" s="80" t="str">
        <f t="shared" si="0"/>
        <v>NGWB18M60</v>
      </c>
      <c r="D10" s="78" t="e">
        <f>VLOOKUP(C10,'[1]NGWR18W-DATA'!$AC$3:$AD$3,2,0)</f>
        <v>#N/A</v>
      </c>
      <c r="E10" s="78">
        <v>0</v>
      </c>
      <c r="F10" s="78">
        <v>0</v>
      </c>
      <c r="G10" s="78">
        <v>0</v>
      </c>
      <c r="H10" s="78">
        <v>0</v>
      </c>
      <c r="I10" s="78">
        <v>0</v>
      </c>
      <c r="J10" s="78">
        <v>0</v>
      </c>
      <c r="K10" s="78" t="s">
        <v>256</v>
      </c>
      <c r="L10" s="78" t="s">
        <v>289</v>
      </c>
      <c r="M10" s="78" t="s">
        <v>365</v>
      </c>
      <c r="N10" s="78" t="s">
        <v>253</v>
      </c>
      <c r="O10" s="78" t="s">
        <v>270</v>
      </c>
      <c r="P10" s="78" t="s">
        <v>251</v>
      </c>
      <c r="R10" s="79" t="str">
        <f t="shared" si="1"/>
        <v>NG</v>
      </c>
      <c r="S10" s="79" t="str">
        <f t="shared" si="2"/>
        <v>WB</v>
      </c>
      <c r="T10" s="79" t="str">
        <f t="shared" si="3"/>
        <v>18</v>
      </c>
      <c r="U10" s="79" t="str">
        <f t="shared" si="4"/>
        <v>M</v>
      </c>
      <c r="V10" s="79" t="str">
        <f t="shared" si="5"/>
        <v>60</v>
      </c>
    </row>
    <row r="11" spans="1:23">
      <c r="A11" s="78">
        <v>186863</v>
      </c>
      <c r="B11" s="78" t="s">
        <v>392</v>
      </c>
      <c r="C11" s="80" t="str">
        <f t="shared" si="0"/>
        <v>NGBR18M30</v>
      </c>
      <c r="D11" s="78" t="e">
        <f>VLOOKUP(C11,'[1]NGWR18W-DATA'!$AC$3:$AD$3,2,0)</f>
        <v>#N/A</v>
      </c>
      <c r="E11" s="78">
        <v>0</v>
      </c>
      <c r="F11" s="78">
        <v>0</v>
      </c>
      <c r="G11" s="78">
        <v>0</v>
      </c>
      <c r="H11" s="78">
        <v>0</v>
      </c>
      <c r="I11" s="78">
        <v>0</v>
      </c>
      <c r="J11" s="78">
        <v>0</v>
      </c>
      <c r="K11" s="78" t="s">
        <v>256</v>
      </c>
      <c r="L11" s="78" t="s">
        <v>297</v>
      </c>
      <c r="M11" s="78" t="s">
        <v>365</v>
      </c>
      <c r="N11" s="78" t="s">
        <v>253</v>
      </c>
      <c r="O11" s="78" t="s">
        <v>266</v>
      </c>
      <c r="P11" s="78" t="s">
        <v>260</v>
      </c>
      <c r="R11" s="79" t="str">
        <f t="shared" si="1"/>
        <v>NG</v>
      </c>
      <c r="S11" s="79" t="str">
        <f t="shared" si="2"/>
        <v>BR</v>
      </c>
      <c r="T11" s="79" t="str">
        <f t="shared" si="3"/>
        <v>18</v>
      </c>
      <c r="U11" s="79" t="str">
        <f t="shared" si="4"/>
        <v>M</v>
      </c>
      <c r="V11" s="79" t="str">
        <f t="shared" si="5"/>
        <v>30</v>
      </c>
    </row>
    <row r="12" spans="1:23">
      <c r="A12" s="78">
        <v>186864</v>
      </c>
      <c r="B12" s="78" t="s">
        <v>391</v>
      </c>
      <c r="C12" s="80" t="str">
        <f t="shared" si="0"/>
        <v>NGBT18M30</v>
      </c>
      <c r="D12" s="78" t="e">
        <f>VLOOKUP(C12,'[1]NGWR18W-DATA'!$AC$3:$AD$3,2,0)</f>
        <v>#N/A</v>
      </c>
      <c r="E12" s="78">
        <v>0</v>
      </c>
      <c r="F12" s="78">
        <v>0</v>
      </c>
      <c r="G12" s="78">
        <v>0</v>
      </c>
      <c r="H12" s="78">
        <v>0</v>
      </c>
      <c r="I12" s="78">
        <v>0</v>
      </c>
      <c r="J12" s="78">
        <v>0</v>
      </c>
      <c r="K12" s="78" t="s">
        <v>256</v>
      </c>
      <c r="L12" s="78" t="s">
        <v>297</v>
      </c>
      <c r="M12" s="78" t="s">
        <v>365</v>
      </c>
      <c r="N12" s="78" t="s">
        <v>253</v>
      </c>
      <c r="O12" s="78" t="s">
        <v>266</v>
      </c>
      <c r="P12" s="78" t="s">
        <v>258</v>
      </c>
      <c r="R12" s="79" t="str">
        <f t="shared" si="1"/>
        <v>NG</v>
      </c>
      <c r="S12" s="79" t="str">
        <f t="shared" si="2"/>
        <v>BT</v>
      </c>
      <c r="T12" s="79" t="str">
        <f t="shared" si="3"/>
        <v>18</v>
      </c>
      <c r="U12" s="79" t="str">
        <f t="shared" si="4"/>
        <v>M</v>
      </c>
      <c r="V12" s="79" t="str">
        <f t="shared" si="5"/>
        <v>30</v>
      </c>
    </row>
    <row r="13" spans="1:23">
      <c r="A13" s="78">
        <v>186865</v>
      </c>
      <c r="B13" s="78" t="s">
        <v>390</v>
      </c>
      <c r="C13" s="80" t="str">
        <f t="shared" si="0"/>
        <v>NGBB18M30</v>
      </c>
      <c r="D13" s="78" t="e">
        <f>VLOOKUP(C13,'[1]NGWR18W-DATA'!$AC$3:$AD$3,2,0)</f>
        <v>#N/A</v>
      </c>
      <c r="E13" s="78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 t="s">
        <v>256</v>
      </c>
      <c r="L13" s="78" t="s">
        <v>297</v>
      </c>
      <c r="M13" s="78" t="s">
        <v>365</v>
      </c>
      <c r="N13" s="78" t="s">
        <v>253</v>
      </c>
      <c r="O13" s="78" t="s">
        <v>266</v>
      </c>
      <c r="P13" s="78" t="s">
        <v>251</v>
      </c>
      <c r="R13" s="79" t="str">
        <f t="shared" si="1"/>
        <v>NG</v>
      </c>
      <c r="S13" s="79" t="str">
        <f t="shared" si="2"/>
        <v>BB</v>
      </c>
      <c r="T13" s="79" t="str">
        <f t="shared" si="3"/>
        <v>18</v>
      </c>
      <c r="U13" s="79" t="str">
        <f t="shared" si="4"/>
        <v>M</v>
      </c>
      <c r="V13" s="79" t="str">
        <f t="shared" si="5"/>
        <v>30</v>
      </c>
    </row>
    <row r="14" spans="1:23">
      <c r="A14" s="78">
        <v>186866</v>
      </c>
      <c r="B14" s="78" t="s">
        <v>389</v>
      </c>
      <c r="C14" s="80" t="str">
        <f t="shared" si="0"/>
        <v>NGBR18M40</v>
      </c>
      <c r="D14" s="78" t="str">
        <f>VLOOKUP(C14,'[1]NGWR18W-DATA'!$AC$3:$AD$3,2,0)</f>
        <v>CC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 t="s">
        <v>256</v>
      </c>
      <c r="L14" s="78" t="s">
        <v>293</v>
      </c>
      <c r="M14" s="78" t="s">
        <v>365</v>
      </c>
      <c r="N14" s="78" t="s">
        <v>253</v>
      </c>
      <c r="O14" s="78" t="s">
        <v>266</v>
      </c>
      <c r="P14" s="78" t="s">
        <v>260</v>
      </c>
      <c r="R14" s="79" t="str">
        <f t="shared" si="1"/>
        <v>NG</v>
      </c>
      <c r="S14" s="79" t="str">
        <f t="shared" si="2"/>
        <v>BR</v>
      </c>
      <c r="T14" s="79" t="str">
        <f t="shared" si="3"/>
        <v>18</v>
      </c>
      <c r="U14" s="79" t="str">
        <f t="shared" si="4"/>
        <v>M</v>
      </c>
      <c r="V14" s="79" t="str">
        <f t="shared" si="5"/>
        <v>40</v>
      </c>
    </row>
    <row r="15" spans="1:23">
      <c r="A15" s="78">
        <v>186867</v>
      </c>
      <c r="B15" s="78" t="s">
        <v>388</v>
      </c>
      <c r="C15" s="80" t="str">
        <f t="shared" si="0"/>
        <v>NGBT18M40</v>
      </c>
      <c r="D15" s="78" t="e">
        <f>VLOOKUP(C15,'[1]NGWR18W-DATA'!$AC$3:$AD$3,2,0)</f>
        <v>#N/A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 t="s">
        <v>256</v>
      </c>
      <c r="L15" s="78" t="s">
        <v>293</v>
      </c>
      <c r="M15" s="78" t="s">
        <v>365</v>
      </c>
      <c r="N15" s="78" t="s">
        <v>253</v>
      </c>
      <c r="O15" s="78" t="s">
        <v>266</v>
      </c>
      <c r="P15" s="78" t="s">
        <v>258</v>
      </c>
      <c r="R15" s="79" t="str">
        <f t="shared" si="1"/>
        <v>NG</v>
      </c>
      <c r="S15" s="79" t="str">
        <f t="shared" si="2"/>
        <v>BT</v>
      </c>
      <c r="T15" s="79" t="str">
        <f t="shared" si="3"/>
        <v>18</v>
      </c>
      <c r="U15" s="79" t="str">
        <f t="shared" si="4"/>
        <v>M</v>
      </c>
      <c r="V15" s="79" t="str">
        <f t="shared" si="5"/>
        <v>40</v>
      </c>
    </row>
    <row r="16" spans="1:23">
      <c r="A16" s="78">
        <v>186868</v>
      </c>
      <c r="B16" s="78" t="s">
        <v>387</v>
      </c>
      <c r="C16" s="80" t="str">
        <f t="shared" si="0"/>
        <v>NGBB18M40</v>
      </c>
      <c r="D16" s="78" t="e">
        <f>VLOOKUP(C16,'[1]NGWR18W-DATA'!$AC$3:$AD$3,2,0)</f>
        <v>#N/A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 t="s">
        <v>256</v>
      </c>
      <c r="L16" s="78" t="s">
        <v>293</v>
      </c>
      <c r="M16" s="78" t="s">
        <v>365</v>
      </c>
      <c r="N16" s="78" t="s">
        <v>253</v>
      </c>
      <c r="O16" s="78" t="s">
        <v>266</v>
      </c>
      <c r="P16" s="78" t="s">
        <v>251</v>
      </c>
      <c r="R16" s="79" t="str">
        <f t="shared" si="1"/>
        <v>NG</v>
      </c>
      <c r="S16" s="79" t="str">
        <f t="shared" si="2"/>
        <v>BB</v>
      </c>
      <c r="T16" s="79" t="str">
        <f t="shared" si="3"/>
        <v>18</v>
      </c>
      <c r="U16" s="79" t="str">
        <f t="shared" si="4"/>
        <v>M</v>
      </c>
      <c r="V16" s="79" t="str">
        <f t="shared" si="5"/>
        <v>40</v>
      </c>
    </row>
    <row r="17" spans="1:22">
      <c r="A17" s="78">
        <v>186869</v>
      </c>
      <c r="B17" s="78" t="s">
        <v>386</v>
      </c>
      <c r="C17" s="80" t="str">
        <f t="shared" si="0"/>
        <v>NGBR18M60</v>
      </c>
      <c r="D17" s="78" t="e">
        <f>VLOOKUP(C17,'[1]NGWR18W-DATA'!$AC$3:$AD$3,2,0)</f>
        <v>#N/A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 t="s">
        <v>256</v>
      </c>
      <c r="L17" s="78" t="s">
        <v>289</v>
      </c>
      <c r="M17" s="78" t="s">
        <v>365</v>
      </c>
      <c r="N17" s="78" t="s">
        <v>253</v>
      </c>
      <c r="O17" s="78" t="s">
        <v>266</v>
      </c>
      <c r="P17" s="78" t="s">
        <v>260</v>
      </c>
      <c r="R17" s="79" t="str">
        <f t="shared" si="1"/>
        <v>NG</v>
      </c>
      <c r="S17" s="79" t="str">
        <f t="shared" si="2"/>
        <v>BR</v>
      </c>
      <c r="T17" s="79" t="str">
        <f t="shared" si="3"/>
        <v>18</v>
      </c>
      <c r="U17" s="79" t="str">
        <f t="shared" si="4"/>
        <v>M</v>
      </c>
      <c r="V17" s="79" t="str">
        <f t="shared" si="5"/>
        <v>60</v>
      </c>
    </row>
    <row r="18" spans="1:22">
      <c r="A18" s="78">
        <v>186870</v>
      </c>
      <c r="B18" s="78" t="s">
        <v>385</v>
      </c>
      <c r="C18" s="80" t="str">
        <f t="shared" si="0"/>
        <v>NGBT18M60</v>
      </c>
      <c r="D18" s="78" t="e">
        <f>VLOOKUP(C18,'[1]NGWR18W-DATA'!$AC$3:$AD$3,2,0)</f>
        <v>#N/A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 t="s">
        <v>256</v>
      </c>
      <c r="L18" s="78" t="s">
        <v>289</v>
      </c>
      <c r="M18" s="78" t="s">
        <v>365</v>
      </c>
      <c r="N18" s="78" t="s">
        <v>253</v>
      </c>
      <c r="O18" s="78" t="s">
        <v>266</v>
      </c>
      <c r="P18" s="78" t="s">
        <v>258</v>
      </c>
      <c r="R18" s="79" t="str">
        <f t="shared" si="1"/>
        <v>NG</v>
      </c>
      <c r="S18" s="79" t="str">
        <f t="shared" si="2"/>
        <v>BT</v>
      </c>
      <c r="T18" s="79" t="str">
        <f t="shared" si="3"/>
        <v>18</v>
      </c>
      <c r="U18" s="79" t="str">
        <f t="shared" si="4"/>
        <v>M</v>
      </c>
      <c r="V18" s="79" t="str">
        <f t="shared" si="5"/>
        <v>60</v>
      </c>
    </row>
    <row r="19" spans="1:22">
      <c r="A19" s="78">
        <v>186871</v>
      </c>
      <c r="B19" s="78" t="s">
        <v>384</v>
      </c>
      <c r="C19" s="80" t="str">
        <f t="shared" si="0"/>
        <v>NGBB18M60</v>
      </c>
      <c r="D19" s="78" t="e">
        <f>VLOOKUP(C19,'[1]NGWR18W-DATA'!$AC$3:$AD$3,2,0)</f>
        <v>#N/A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 t="s">
        <v>256</v>
      </c>
      <c r="L19" s="78" t="s">
        <v>289</v>
      </c>
      <c r="M19" s="78" t="s">
        <v>365</v>
      </c>
      <c r="N19" s="78" t="s">
        <v>253</v>
      </c>
      <c r="O19" s="78" t="s">
        <v>266</v>
      </c>
      <c r="P19" s="78" t="s">
        <v>251</v>
      </c>
      <c r="R19" s="79" t="str">
        <f t="shared" si="1"/>
        <v>NG</v>
      </c>
      <c r="S19" s="79" t="str">
        <f t="shared" si="2"/>
        <v>BB</v>
      </c>
      <c r="T19" s="79" t="str">
        <f t="shared" si="3"/>
        <v>18</v>
      </c>
      <c r="U19" s="79" t="str">
        <f t="shared" si="4"/>
        <v>M</v>
      </c>
      <c r="V19" s="79" t="str">
        <f t="shared" si="5"/>
        <v>60</v>
      </c>
    </row>
    <row r="20" spans="1:22">
      <c r="A20" s="78">
        <v>186881</v>
      </c>
      <c r="B20" s="78" t="s">
        <v>383</v>
      </c>
      <c r="C20" s="80" t="str">
        <f t="shared" si="0"/>
        <v>NGAR18M30</v>
      </c>
      <c r="D20" s="78" t="e">
        <f>VLOOKUP(C20,'[1]NGWR18W-DATA'!$AC$3:$AD$3,2,0)</f>
        <v>#N/A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 t="s">
        <v>256</v>
      </c>
      <c r="L20" s="78" t="s">
        <v>297</v>
      </c>
      <c r="M20" s="78" t="s">
        <v>365</v>
      </c>
      <c r="N20" s="78" t="s">
        <v>253</v>
      </c>
      <c r="O20" s="78" t="s">
        <v>262</v>
      </c>
      <c r="P20" s="78" t="s">
        <v>260</v>
      </c>
      <c r="R20" s="79" t="str">
        <f t="shared" si="1"/>
        <v>NG</v>
      </c>
      <c r="S20" s="79" t="str">
        <f t="shared" si="2"/>
        <v>AR</v>
      </c>
      <c r="T20" s="79" t="str">
        <f t="shared" si="3"/>
        <v>18</v>
      </c>
      <c r="U20" s="79" t="str">
        <f t="shared" si="4"/>
        <v>M</v>
      </c>
      <c r="V20" s="79" t="str">
        <f t="shared" si="5"/>
        <v>30</v>
      </c>
    </row>
    <row r="21" spans="1:22">
      <c r="A21" s="78">
        <v>186882</v>
      </c>
      <c r="B21" s="78" t="s">
        <v>382</v>
      </c>
      <c r="C21" s="80" t="str">
        <f t="shared" si="0"/>
        <v>NGAT18M30</v>
      </c>
      <c r="D21" s="78" t="e">
        <f>VLOOKUP(C21,'[1]NGWR18W-DATA'!$AC$3:$AD$3,2,0)</f>
        <v>#N/A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 t="s">
        <v>256</v>
      </c>
      <c r="L21" s="78" t="s">
        <v>297</v>
      </c>
      <c r="M21" s="78" t="s">
        <v>365</v>
      </c>
      <c r="N21" s="78" t="s">
        <v>253</v>
      </c>
      <c r="O21" s="78" t="s">
        <v>262</v>
      </c>
      <c r="P21" s="78" t="s">
        <v>258</v>
      </c>
      <c r="R21" s="79" t="str">
        <f t="shared" si="1"/>
        <v>NG</v>
      </c>
      <c r="S21" s="79" t="str">
        <f t="shared" si="2"/>
        <v>AT</v>
      </c>
      <c r="T21" s="79" t="str">
        <f t="shared" si="3"/>
        <v>18</v>
      </c>
      <c r="U21" s="79" t="str">
        <f t="shared" si="4"/>
        <v>M</v>
      </c>
      <c r="V21" s="79" t="str">
        <f t="shared" si="5"/>
        <v>30</v>
      </c>
    </row>
    <row r="22" spans="1:22">
      <c r="A22" s="78">
        <v>186883</v>
      </c>
      <c r="B22" s="78" t="s">
        <v>381</v>
      </c>
      <c r="C22" s="80" t="str">
        <f t="shared" si="0"/>
        <v>NGAB18M30</v>
      </c>
      <c r="D22" s="78" t="e">
        <f>VLOOKUP(C22,'[1]NGWR18W-DATA'!$AC$3:$AD$3,2,0)</f>
        <v>#N/A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 t="s">
        <v>256</v>
      </c>
      <c r="L22" s="78" t="s">
        <v>297</v>
      </c>
      <c r="M22" s="78" t="s">
        <v>365</v>
      </c>
      <c r="N22" s="78" t="s">
        <v>253</v>
      </c>
      <c r="O22" s="78" t="s">
        <v>262</v>
      </c>
      <c r="P22" s="78" t="s">
        <v>251</v>
      </c>
      <c r="R22" s="79" t="str">
        <f t="shared" si="1"/>
        <v>NG</v>
      </c>
      <c r="S22" s="79" t="str">
        <f t="shared" si="2"/>
        <v>AB</v>
      </c>
      <c r="T22" s="79" t="str">
        <f t="shared" si="3"/>
        <v>18</v>
      </c>
      <c r="U22" s="79" t="str">
        <f t="shared" si="4"/>
        <v>M</v>
      </c>
      <c r="V22" s="79" t="str">
        <f t="shared" si="5"/>
        <v>30</v>
      </c>
    </row>
    <row r="23" spans="1:22">
      <c r="A23" s="78">
        <v>186884</v>
      </c>
      <c r="B23" s="78" t="s">
        <v>380</v>
      </c>
      <c r="C23" s="80" t="str">
        <f t="shared" si="0"/>
        <v>NGAR18M40</v>
      </c>
      <c r="D23" s="78" t="e">
        <f>VLOOKUP(C23,'[1]NGWR18W-DATA'!$AC$3:$AD$3,2,0)</f>
        <v>#N/A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 t="s">
        <v>256</v>
      </c>
      <c r="L23" s="78" t="s">
        <v>293</v>
      </c>
      <c r="M23" s="78" t="s">
        <v>365</v>
      </c>
      <c r="N23" s="78" t="s">
        <v>253</v>
      </c>
      <c r="O23" s="78" t="s">
        <v>262</v>
      </c>
      <c r="P23" s="78" t="s">
        <v>260</v>
      </c>
      <c r="R23" s="79" t="str">
        <f t="shared" si="1"/>
        <v>NG</v>
      </c>
      <c r="S23" s="79" t="str">
        <f t="shared" si="2"/>
        <v>AR</v>
      </c>
      <c r="T23" s="79" t="str">
        <f t="shared" si="3"/>
        <v>18</v>
      </c>
      <c r="U23" s="79" t="str">
        <f t="shared" si="4"/>
        <v>M</v>
      </c>
      <c r="V23" s="79" t="str">
        <f t="shared" si="5"/>
        <v>40</v>
      </c>
    </row>
    <row r="24" spans="1:22">
      <c r="A24" s="78">
        <v>186885</v>
      </c>
      <c r="B24" s="78" t="s">
        <v>379</v>
      </c>
      <c r="C24" s="80" t="str">
        <f t="shared" si="0"/>
        <v>NGAT18M40</v>
      </c>
      <c r="D24" s="78" t="e">
        <f>VLOOKUP(C24,'[1]NGWR18W-DATA'!$AC$3:$AD$3,2,0)</f>
        <v>#N/A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 t="s">
        <v>256</v>
      </c>
      <c r="L24" s="78" t="s">
        <v>293</v>
      </c>
      <c r="M24" s="78" t="s">
        <v>365</v>
      </c>
      <c r="N24" s="78" t="s">
        <v>253</v>
      </c>
      <c r="O24" s="78" t="s">
        <v>262</v>
      </c>
      <c r="P24" s="78" t="s">
        <v>258</v>
      </c>
      <c r="R24" s="79" t="str">
        <f t="shared" si="1"/>
        <v>NG</v>
      </c>
      <c r="S24" s="79" t="str">
        <f t="shared" si="2"/>
        <v>AT</v>
      </c>
      <c r="T24" s="79" t="str">
        <f t="shared" si="3"/>
        <v>18</v>
      </c>
      <c r="U24" s="79" t="str">
        <f t="shared" si="4"/>
        <v>M</v>
      </c>
      <c r="V24" s="79" t="str">
        <f t="shared" si="5"/>
        <v>40</v>
      </c>
    </row>
    <row r="25" spans="1:22">
      <c r="A25" s="78">
        <v>186886</v>
      </c>
      <c r="B25" s="78" t="s">
        <v>378</v>
      </c>
      <c r="C25" s="80" t="str">
        <f t="shared" si="0"/>
        <v>NGAB18M40</v>
      </c>
      <c r="D25" s="78" t="e">
        <f>VLOOKUP(C25,'[1]NGWR18W-DATA'!$AC$3:$AD$3,2,0)</f>
        <v>#N/A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 t="s">
        <v>256</v>
      </c>
      <c r="L25" s="78" t="s">
        <v>293</v>
      </c>
      <c r="M25" s="78" t="s">
        <v>365</v>
      </c>
      <c r="N25" s="78" t="s">
        <v>253</v>
      </c>
      <c r="O25" s="78" t="s">
        <v>262</v>
      </c>
      <c r="P25" s="78" t="s">
        <v>251</v>
      </c>
      <c r="R25" s="79" t="str">
        <f t="shared" si="1"/>
        <v>NG</v>
      </c>
      <c r="S25" s="79" t="str">
        <f t="shared" si="2"/>
        <v>AB</v>
      </c>
      <c r="T25" s="79" t="str">
        <f t="shared" si="3"/>
        <v>18</v>
      </c>
      <c r="U25" s="79" t="str">
        <f t="shared" si="4"/>
        <v>M</v>
      </c>
      <c r="V25" s="79" t="str">
        <f t="shared" si="5"/>
        <v>40</v>
      </c>
    </row>
    <row r="26" spans="1:22">
      <c r="A26" s="78">
        <v>186887</v>
      </c>
      <c r="B26" s="78" t="s">
        <v>377</v>
      </c>
      <c r="C26" s="80" t="str">
        <f t="shared" si="0"/>
        <v>NGAR18M60</v>
      </c>
      <c r="D26" s="78" t="e">
        <f>VLOOKUP(C26,'[1]NGWR18W-DATA'!$AC$3:$AD$3,2,0)</f>
        <v>#N/A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 t="s">
        <v>256</v>
      </c>
      <c r="L26" s="78" t="s">
        <v>289</v>
      </c>
      <c r="M26" s="78" t="s">
        <v>365</v>
      </c>
      <c r="N26" s="78" t="s">
        <v>253</v>
      </c>
      <c r="O26" s="78" t="s">
        <v>262</v>
      </c>
      <c r="P26" s="78" t="s">
        <v>260</v>
      </c>
      <c r="R26" s="79" t="str">
        <f t="shared" si="1"/>
        <v>NG</v>
      </c>
      <c r="S26" s="79" t="str">
        <f t="shared" si="2"/>
        <v>AR</v>
      </c>
      <c r="T26" s="79" t="str">
        <f t="shared" si="3"/>
        <v>18</v>
      </c>
      <c r="U26" s="79" t="str">
        <f t="shared" si="4"/>
        <v>M</v>
      </c>
      <c r="V26" s="79" t="str">
        <f t="shared" si="5"/>
        <v>60</v>
      </c>
    </row>
    <row r="27" spans="1:22">
      <c r="A27" s="78">
        <v>186888</v>
      </c>
      <c r="B27" s="78" t="s">
        <v>376</v>
      </c>
      <c r="C27" s="80" t="str">
        <f t="shared" si="0"/>
        <v>NGAT18M60</v>
      </c>
      <c r="D27" s="78" t="e">
        <f>VLOOKUP(C27,'[1]NGWR18W-DATA'!$AC$3:$AD$3,2,0)</f>
        <v>#N/A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 t="s">
        <v>256</v>
      </c>
      <c r="L27" s="78" t="s">
        <v>289</v>
      </c>
      <c r="M27" s="78" t="s">
        <v>365</v>
      </c>
      <c r="N27" s="78" t="s">
        <v>253</v>
      </c>
      <c r="O27" s="78" t="s">
        <v>262</v>
      </c>
      <c r="P27" s="78" t="s">
        <v>258</v>
      </c>
      <c r="R27" s="79" t="str">
        <f t="shared" si="1"/>
        <v>NG</v>
      </c>
      <c r="S27" s="79" t="str">
        <f t="shared" si="2"/>
        <v>AT</v>
      </c>
      <c r="T27" s="79" t="str">
        <f t="shared" si="3"/>
        <v>18</v>
      </c>
      <c r="U27" s="79" t="str">
        <f t="shared" si="4"/>
        <v>M</v>
      </c>
      <c r="V27" s="79" t="str">
        <f t="shared" si="5"/>
        <v>60</v>
      </c>
    </row>
    <row r="28" spans="1:22">
      <c r="A28" s="78">
        <v>186889</v>
      </c>
      <c r="B28" s="78" t="s">
        <v>375</v>
      </c>
      <c r="C28" s="80" t="str">
        <f t="shared" si="0"/>
        <v>NGAB18M60</v>
      </c>
      <c r="D28" s="78" t="e">
        <f>VLOOKUP(C28,'[1]NGWR18W-DATA'!$AC$3:$AD$3,2,0)</f>
        <v>#N/A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 t="s">
        <v>256</v>
      </c>
      <c r="L28" s="78" t="s">
        <v>289</v>
      </c>
      <c r="M28" s="78" t="s">
        <v>365</v>
      </c>
      <c r="N28" s="78" t="s">
        <v>253</v>
      </c>
      <c r="O28" s="78" t="s">
        <v>262</v>
      </c>
      <c r="P28" s="78" t="s">
        <v>251</v>
      </c>
      <c r="R28" s="79" t="str">
        <f t="shared" si="1"/>
        <v>NG</v>
      </c>
      <c r="S28" s="79" t="str">
        <f t="shared" si="2"/>
        <v>AB</v>
      </c>
      <c r="T28" s="79" t="str">
        <f t="shared" si="3"/>
        <v>18</v>
      </c>
      <c r="U28" s="79" t="str">
        <f t="shared" si="4"/>
        <v>M</v>
      </c>
      <c r="V28" s="79" t="str">
        <f t="shared" si="5"/>
        <v>60</v>
      </c>
    </row>
    <row r="29" spans="1:22">
      <c r="A29" s="78">
        <v>186899</v>
      </c>
      <c r="B29" s="78" t="s">
        <v>374</v>
      </c>
      <c r="C29" s="80" t="str">
        <f t="shared" si="0"/>
        <v>NGCR18M30</v>
      </c>
      <c r="D29" s="78" t="e">
        <f>VLOOKUP(C29,'[1]NGWR18W-DATA'!$AC$3:$AD$3,2,0)</f>
        <v>#N/A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 t="s">
        <v>256</v>
      </c>
      <c r="L29" s="78" t="s">
        <v>297</v>
      </c>
      <c r="M29" s="78" t="s">
        <v>365</v>
      </c>
      <c r="N29" s="78" t="s">
        <v>253</v>
      </c>
      <c r="O29" s="78" t="s">
        <v>252</v>
      </c>
      <c r="P29" s="78" t="s">
        <v>260</v>
      </c>
      <c r="R29" s="79" t="str">
        <f t="shared" si="1"/>
        <v>NG</v>
      </c>
      <c r="S29" s="79" t="str">
        <f t="shared" si="2"/>
        <v>CR</v>
      </c>
      <c r="T29" s="79" t="str">
        <f t="shared" si="3"/>
        <v>18</v>
      </c>
      <c r="U29" s="79" t="str">
        <f t="shared" si="4"/>
        <v>M</v>
      </c>
      <c r="V29" s="79" t="str">
        <f t="shared" si="5"/>
        <v>30</v>
      </c>
    </row>
    <row r="30" spans="1:22">
      <c r="A30" s="78">
        <v>186900</v>
      </c>
      <c r="B30" s="78" t="s">
        <v>373</v>
      </c>
      <c r="C30" s="80" t="str">
        <f t="shared" si="0"/>
        <v>NGCT18M30</v>
      </c>
      <c r="D30" s="78" t="e">
        <f>VLOOKUP(C30,'[1]NGWR18W-DATA'!$AC$3:$AD$3,2,0)</f>
        <v>#N/A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 t="s">
        <v>256</v>
      </c>
      <c r="L30" s="78" t="s">
        <v>297</v>
      </c>
      <c r="M30" s="78" t="s">
        <v>365</v>
      </c>
      <c r="N30" s="78" t="s">
        <v>253</v>
      </c>
      <c r="O30" s="78" t="s">
        <v>252</v>
      </c>
      <c r="P30" s="78" t="s">
        <v>258</v>
      </c>
      <c r="R30" s="79" t="str">
        <f t="shared" si="1"/>
        <v>NG</v>
      </c>
      <c r="S30" s="79" t="str">
        <f t="shared" si="2"/>
        <v>CT</v>
      </c>
      <c r="T30" s="79" t="str">
        <f t="shared" si="3"/>
        <v>18</v>
      </c>
      <c r="U30" s="79" t="str">
        <f t="shared" si="4"/>
        <v>M</v>
      </c>
      <c r="V30" s="79" t="str">
        <f t="shared" si="5"/>
        <v>30</v>
      </c>
    </row>
    <row r="31" spans="1:22">
      <c r="A31" s="78">
        <v>186901</v>
      </c>
      <c r="B31" s="78" t="s">
        <v>372</v>
      </c>
      <c r="C31" s="80" t="str">
        <f t="shared" si="0"/>
        <v>NGCB18M30</v>
      </c>
      <c r="D31" s="78" t="e">
        <f>VLOOKUP(C31,'[1]NGWR18W-DATA'!$AC$3:$AD$3,2,0)</f>
        <v>#N/A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 t="s">
        <v>256</v>
      </c>
      <c r="L31" s="78" t="s">
        <v>297</v>
      </c>
      <c r="M31" s="78" t="s">
        <v>365</v>
      </c>
      <c r="N31" s="78" t="s">
        <v>253</v>
      </c>
      <c r="O31" s="78" t="s">
        <v>252</v>
      </c>
      <c r="P31" s="78" t="s">
        <v>251</v>
      </c>
      <c r="R31" s="79" t="str">
        <f t="shared" si="1"/>
        <v>NG</v>
      </c>
      <c r="S31" s="79" t="str">
        <f t="shared" si="2"/>
        <v>CB</v>
      </c>
      <c r="T31" s="79" t="str">
        <f t="shared" si="3"/>
        <v>18</v>
      </c>
      <c r="U31" s="79" t="str">
        <f t="shared" si="4"/>
        <v>M</v>
      </c>
      <c r="V31" s="79" t="str">
        <f t="shared" si="5"/>
        <v>30</v>
      </c>
    </row>
    <row r="32" spans="1:22">
      <c r="A32" s="78">
        <v>186902</v>
      </c>
      <c r="B32" s="78" t="s">
        <v>371</v>
      </c>
      <c r="C32" s="80" t="str">
        <f t="shared" si="0"/>
        <v>NGCR18M40</v>
      </c>
      <c r="D32" s="78" t="e">
        <f>VLOOKUP(C32,'[1]NGWR18W-DATA'!$AC$3:$AD$3,2,0)</f>
        <v>#N/A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 t="s">
        <v>256</v>
      </c>
      <c r="L32" s="78" t="s">
        <v>293</v>
      </c>
      <c r="M32" s="78" t="s">
        <v>365</v>
      </c>
      <c r="N32" s="78" t="s">
        <v>253</v>
      </c>
      <c r="O32" s="78" t="s">
        <v>252</v>
      </c>
      <c r="P32" s="78" t="s">
        <v>260</v>
      </c>
      <c r="R32" s="79" t="str">
        <f t="shared" si="1"/>
        <v>NG</v>
      </c>
      <c r="S32" s="79" t="str">
        <f t="shared" si="2"/>
        <v>CR</v>
      </c>
      <c r="T32" s="79" t="str">
        <f t="shared" si="3"/>
        <v>18</v>
      </c>
      <c r="U32" s="79" t="str">
        <f t="shared" si="4"/>
        <v>M</v>
      </c>
      <c r="V32" s="79" t="str">
        <f t="shared" si="5"/>
        <v>40</v>
      </c>
    </row>
    <row r="33" spans="1:22">
      <c r="A33" s="78">
        <v>186903</v>
      </c>
      <c r="B33" s="78" t="s">
        <v>370</v>
      </c>
      <c r="C33" s="80" t="str">
        <f t="shared" si="0"/>
        <v>NGCT18M40</v>
      </c>
      <c r="D33" s="78" t="e">
        <f>VLOOKUP(C33,'[1]NGWR18W-DATA'!$AC$3:$AD$3,2,0)</f>
        <v>#N/A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 t="s">
        <v>256</v>
      </c>
      <c r="L33" s="78" t="s">
        <v>293</v>
      </c>
      <c r="M33" s="78" t="s">
        <v>365</v>
      </c>
      <c r="N33" s="78" t="s">
        <v>253</v>
      </c>
      <c r="O33" s="78" t="s">
        <v>252</v>
      </c>
      <c r="P33" s="78" t="s">
        <v>258</v>
      </c>
      <c r="R33" s="79" t="str">
        <f t="shared" si="1"/>
        <v>NG</v>
      </c>
      <c r="S33" s="79" t="str">
        <f t="shared" si="2"/>
        <v>CT</v>
      </c>
      <c r="T33" s="79" t="str">
        <f t="shared" si="3"/>
        <v>18</v>
      </c>
      <c r="U33" s="79" t="str">
        <f t="shared" si="4"/>
        <v>M</v>
      </c>
      <c r="V33" s="79" t="str">
        <f t="shared" si="5"/>
        <v>40</v>
      </c>
    </row>
    <row r="34" spans="1:22">
      <c r="A34" s="78">
        <v>186904</v>
      </c>
      <c r="B34" s="78" t="s">
        <v>369</v>
      </c>
      <c r="C34" s="80" t="str">
        <f t="shared" ref="C34:C65" si="6">CONCATENATE(R34,S34,T34,U34,V34)</f>
        <v>NGCB18M40</v>
      </c>
      <c r="D34" s="78" t="e">
        <f>VLOOKUP(C34,'[1]NGWR18W-DATA'!$AC$3:$AD$3,2,0)</f>
        <v>#N/A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 t="s">
        <v>256</v>
      </c>
      <c r="L34" s="78" t="s">
        <v>293</v>
      </c>
      <c r="M34" s="78" t="s">
        <v>365</v>
      </c>
      <c r="N34" s="78" t="s">
        <v>253</v>
      </c>
      <c r="O34" s="78" t="s">
        <v>252</v>
      </c>
      <c r="P34" s="78" t="s">
        <v>251</v>
      </c>
      <c r="R34" s="79" t="str">
        <f t="shared" ref="R34:R65" si="7">MID(B34,1,2)</f>
        <v>NG</v>
      </c>
      <c r="S34" s="79" t="str">
        <f t="shared" ref="S34:S65" si="8">MID(B34,6,2)</f>
        <v>CB</v>
      </c>
      <c r="T34" s="79" t="str">
        <f t="shared" ref="T34:T65" si="9">MID(B34,4,2)</f>
        <v>18</v>
      </c>
      <c r="U34" s="79" t="str">
        <f t="shared" ref="U34:U65" si="10">MID(B34,8,1)</f>
        <v>M</v>
      </c>
      <c r="V34" s="79" t="str">
        <f t="shared" si="5"/>
        <v>40</v>
      </c>
    </row>
    <row r="35" spans="1:22">
      <c r="A35" s="78">
        <v>186905</v>
      </c>
      <c r="B35" s="78" t="s">
        <v>368</v>
      </c>
      <c r="C35" s="80" t="str">
        <f t="shared" si="6"/>
        <v>NGCR18M60</v>
      </c>
      <c r="D35" s="78" t="e">
        <f>VLOOKUP(C35,'[1]NGWR18W-DATA'!$AC$3:$AD$3,2,0)</f>
        <v>#N/A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 t="s">
        <v>256</v>
      </c>
      <c r="L35" s="78" t="s">
        <v>289</v>
      </c>
      <c r="M35" s="78" t="s">
        <v>365</v>
      </c>
      <c r="N35" s="78" t="s">
        <v>253</v>
      </c>
      <c r="O35" s="78" t="s">
        <v>252</v>
      </c>
      <c r="P35" s="78" t="s">
        <v>260</v>
      </c>
      <c r="R35" s="79" t="str">
        <f t="shared" si="7"/>
        <v>NG</v>
      </c>
      <c r="S35" s="79" t="str">
        <f t="shared" si="8"/>
        <v>CR</v>
      </c>
      <c r="T35" s="79" t="str">
        <f t="shared" si="9"/>
        <v>18</v>
      </c>
      <c r="U35" s="79" t="str">
        <f t="shared" si="10"/>
        <v>M</v>
      </c>
      <c r="V35" s="79" t="str">
        <f t="shared" si="5"/>
        <v>60</v>
      </c>
    </row>
    <row r="36" spans="1:22">
      <c r="A36" s="78">
        <v>186906</v>
      </c>
      <c r="B36" s="78" t="s">
        <v>367</v>
      </c>
      <c r="C36" s="80" t="str">
        <f t="shared" si="6"/>
        <v>NGCT18M60</v>
      </c>
      <c r="D36" s="78" t="e">
        <f>VLOOKUP(C36,'[1]NGWR18W-DATA'!$AC$3:$AD$3,2,0)</f>
        <v>#N/A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 t="s">
        <v>256</v>
      </c>
      <c r="L36" s="78" t="s">
        <v>289</v>
      </c>
      <c r="M36" s="78" t="s">
        <v>365</v>
      </c>
      <c r="N36" s="78" t="s">
        <v>253</v>
      </c>
      <c r="O36" s="78" t="s">
        <v>252</v>
      </c>
      <c r="P36" s="78" t="s">
        <v>258</v>
      </c>
      <c r="R36" s="79" t="str">
        <f t="shared" si="7"/>
        <v>NG</v>
      </c>
      <c r="S36" s="79" t="str">
        <f t="shared" si="8"/>
        <v>CT</v>
      </c>
      <c r="T36" s="79" t="str">
        <f t="shared" si="9"/>
        <v>18</v>
      </c>
      <c r="U36" s="79" t="str">
        <f t="shared" si="10"/>
        <v>M</v>
      </c>
      <c r="V36" s="79" t="str">
        <f t="shared" si="5"/>
        <v>60</v>
      </c>
    </row>
    <row r="37" spans="1:22">
      <c r="A37" s="78">
        <v>186907</v>
      </c>
      <c r="B37" s="78" t="s">
        <v>366</v>
      </c>
      <c r="C37" s="80" t="str">
        <f t="shared" si="6"/>
        <v>NGCB18M60</v>
      </c>
      <c r="D37" s="78" t="e">
        <f>VLOOKUP(C37,'[1]NGWR18W-DATA'!$AC$3:$AD$3,2,0)</f>
        <v>#N/A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 t="s">
        <v>256</v>
      </c>
      <c r="L37" s="78" t="s">
        <v>289</v>
      </c>
      <c r="M37" s="78" t="s">
        <v>365</v>
      </c>
      <c r="N37" s="78" t="s">
        <v>253</v>
      </c>
      <c r="O37" s="78" t="s">
        <v>252</v>
      </c>
      <c r="P37" s="78" t="s">
        <v>251</v>
      </c>
      <c r="R37" s="79" t="str">
        <f t="shared" si="7"/>
        <v>NG</v>
      </c>
      <c r="S37" s="79" t="str">
        <f t="shared" si="8"/>
        <v>CB</v>
      </c>
      <c r="T37" s="79" t="str">
        <f t="shared" si="9"/>
        <v>18</v>
      </c>
      <c r="U37" s="79" t="str">
        <f t="shared" si="10"/>
        <v>M</v>
      </c>
      <c r="V37" s="79" t="str">
        <f t="shared" si="5"/>
        <v>60</v>
      </c>
    </row>
    <row r="38" spans="1:22">
      <c r="A38" s="78">
        <v>186989</v>
      </c>
      <c r="B38" s="78" t="s">
        <v>364</v>
      </c>
      <c r="C38" s="80" t="str">
        <f t="shared" si="6"/>
        <v>NGWR18M30I</v>
      </c>
      <c r="D38" s="78" t="e">
        <f>VLOOKUP(C38,'[1]NGWR18W-DATA'!$AC$3:$AD$3,2,0)</f>
        <v>#N/A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 t="s">
        <v>256</v>
      </c>
      <c r="L38" s="78" t="s">
        <v>297</v>
      </c>
      <c r="M38" s="78" t="s">
        <v>328</v>
      </c>
      <c r="N38" s="78" t="s">
        <v>253</v>
      </c>
      <c r="O38" s="78" t="s">
        <v>270</v>
      </c>
      <c r="P38" s="78" t="s">
        <v>260</v>
      </c>
      <c r="R38" s="79" t="str">
        <f t="shared" si="7"/>
        <v>NG</v>
      </c>
      <c r="S38" s="79" t="str">
        <f t="shared" si="8"/>
        <v>WR</v>
      </c>
      <c r="T38" s="79" t="str">
        <f t="shared" si="9"/>
        <v>18</v>
      </c>
      <c r="U38" s="79" t="str">
        <f t="shared" si="10"/>
        <v>M</v>
      </c>
      <c r="V38" s="79" t="str">
        <f t="shared" ref="V38:V69" si="11">MID(B38,9,5)</f>
        <v>30I</v>
      </c>
    </row>
    <row r="39" spans="1:22">
      <c r="A39" s="78">
        <v>186990</v>
      </c>
      <c r="B39" s="78" t="s">
        <v>363</v>
      </c>
      <c r="C39" s="80" t="str">
        <f t="shared" si="6"/>
        <v>NGWT18M30I</v>
      </c>
      <c r="D39" s="78" t="e">
        <f>VLOOKUP(C39,'[1]NGWR18W-DATA'!$AC$3:$AD$3,2,0)</f>
        <v>#N/A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 t="s">
        <v>256</v>
      </c>
      <c r="L39" s="78" t="s">
        <v>297</v>
      </c>
      <c r="M39" s="78" t="s">
        <v>328</v>
      </c>
      <c r="N39" s="78" t="s">
        <v>253</v>
      </c>
      <c r="O39" s="78" t="s">
        <v>270</v>
      </c>
      <c r="P39" s="78" t="s">
        <v>258</v>
      </c>
      <c r="R39" s="79" t="str">
        <f t="shared" si="7"/>
        <v>NG</v>
      </c>
      <c r="S39" s="79" t="str">
        <f t="shared" si="8"/>
        <v>WT</v>
      </c>
      <c r="T39" s="79" t="str">
        <f t="shared" si="9"/>
        <v>18</v>
      </c>
      <c r="U39" s="79" t="str">
        <f t="shared" si="10"/>
        <v>M</v>
      </c>
      <c r="V39" s="79" t="str">
        <f t="shared" si="11"/>
        <v>30I</v>
      </c>
    </row>
    <row r="40" spans="1:22">
      <c r="A40" s="78">
        <v>186991</v>
      </c>
      <c r="B40" s="78" t="s">
        <v>362</v>
      </c>
      <c r="C40" s="80" t="str">
        <f t="shared" si="6"/>
        <v>NGWB18M30I</v>
      </c>
      <c r="D40" s="78" t="e">
        <f>VLOOKUP(C40,'[1]NGWR18W-DATA'!$AC$3:$AD$3,2,0)</f>
        <v>#N/A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 t="s">
        <v>256</v>
      </c>
      <c r="L40" s="78" t="s">
        <v>297</v>
      </c>
      <c r="M40" s="78" t="s">
        <v>328</v>
      </c>
      <c r="N40" s="78" t="s">
        <v>253</v>
      </c>
      <c r="O40" s="78" t="s">
        <v>270</v>
      </c>
      <c r="P40" s="78" t="s">
        <v>251</v>
      </c>
      <c r="R40" s="79" t="str">
        <f t="shared" si="7"/>
        <v>NG</v>
      </c>
      <c r="S40" s="79" t="str">
        <f t="shared" si="8"/>
        <v>WB</v>
      </c>
      <c r="T40" s="79" t="str">
        <f t="shared" si="9"/>
        <v>18</v>
      </c>
      <c r="U40" s="79" t="str">
        <f t="shared" si="10"/>
        <v>M</v>
      </c>
      <c r="V40" s="79" t="str">
        <f t="shared" si="11"/>
        <v>30I</v>
      </c>
    </row>
    <row r="41" spans="1:22">
      <c r="A41" s="78">
        <v>186992</v>
      </c>
      <c r="B41" s="78" t="s">
        <v>361</v>
      </c>
      <c r="C41" s="80" t="str">
        <f t="shared" si="6"/>
        <v>NGWR18M40I</v>
      </c>
      <c r="D41" s="78" t="e">
        <f>VLOOKUP(C41,'[1]NGWR18W-DATA'!$AC$3:$AD$3,2,0)</f>
        <v>#N/A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 t="s">
        <v>256</v>
      </c>
      <c r="L41" s="78" t="s">
        <v>293</v>
      </c>
      <c r="M41" s="78" t="s">
        <v>328</v>
      </c>
      <c r="N41" s="78" t="s">
        <v>253</v>
      </c>
      <c r="O41" s="78" t="s">
        <v>270</v>
      </c>
      <c r="P41" s="78" t="s">
        <v>260</v>
      </c>
      <c r="R41" s="79" t="str">
        <f t="shared" si="7"/>
        <v>NG</v>
      </c>
      <c r="S41" s="79" t="str">
        <f t="shared" si="8"/>
        <v>WR</v>
      </c>
      <c r="T41" s="79" t="str">
        <f t="shared" si="9"/>
        <v>18</v>
      </c>
      <c r="U41" s="79" t="str">
        <f t="shared" si="10"/>
        <v>M</v>
      </c>
      <c r="V41" s="79" t="str">
        <f t="shared" si="11"/>
        <v>40I</v>
      </c>
    </row>
    <row r="42" spans="1:22">
      <c r="A42" s="78">
        <v>186993</v>
      </c>
      <c r="B42" s="78" t="s">
        <v>360</v>
      </c>
      <c r="C42" s="80" t="str">
        <f t="shared" si="6"/>
        <v>NGWT18M40I</v>
      </c>
      <c r="D42" s="78" t="e">
        <f>VLOOKUP(C42,'[1]NGWR18W-DATA'!$AC$3:$AD$3,2,0)</f>
        <v>#N/A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 t="s">
        <v>256</v>
      </c>
      <c r="L42" s="78" t="s">
        <v>293</v>
      </c>
      <c r="M42" s="78" t="s">
        <v>328</v>
      </c>
      <c r="N42" s="78" t="s">
        <v>253</v>
      </c>
      <c r="O42" s="78" t="s">
        <v>270</v>
      </c>
      <c r="P42" s="78" t="s">
        <v>258</v>
      </c>
      <c r="R42" s="79" t="str">
        <f t="shared" si="7"/>
        <v>NG</v>
      </c>
      <c r="S42" s="79" t="str">
        <f t="shared" si="8"/>
        <v>WT</v>
      </c>
      <c r="T42" s="79" t="str">
        <f t="shared" si="9"/>
        <v>18</v>
      </c>
      <c r="U42" s="79" t="str">
        <f t="shared" si="10"/>
        <v>M</v>
      </c>
      <c r="V42" s="79" t="str">
        <f t="shared" si="11"/>
        <v>40I</v>
      </c>
    </row>
    <row r="43" spans="1:22">
      <c r="A43" s="78">
        <v>186994</v>
      </c>
      <c r="B43" s="78" t="s">
        <v>359</v>
      </c>
      <c r="C43" s="80" t="str">
        <f t="shared" si="6"/>
        <v>NGWB18M40I</v>
      </c>
      <c r="D43" s="78" t="e">
        <f>VLOOKUP(C43,'[1]NGWR18W-DATA'!$AC$3:$AD$3,2,0)</f>
        <v>#N/A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 t="s">
        <v>256</v>
      </c>
      <c r="L43" s="78" t="s">
        <v>293</v>
      </c>
      <c r="M43" s="78" t="s">
        <v>328</v>
      </c>
      <c r="N43" s="78" t="s">
        <v>253</v>
      </c>
      <c r="O43" s="78" t="s">
        <v>270</v>
      </c>
      <c r="P43" s="78" t="s">
        <v>251</v>
      </c>
      <c r="R43" s="79" t="str">
        <f t="shared" si="7"/>
        <v>NG</v>
      </c>
      <c r="S43" s="79" t="str">
        <f t="shared" si="8"/>
        <v>WB</v>
      </c>
      <c r="T43" s="79" t="str">
        <f t="shared" si="9"/>
        <v>18</v>
      </c>
      <c r="U43" s="79" t="str">
        <f t="shared" si="10"/>
        <v>M</v>
      </c>
      <c r="V43" s="79" t="str">
        <f t="shared" si="11"/>
        <v>40I</v>
      </c>
    </row>
    <row r="44" spans="1:22">
      <c r="A44" s="78">
        <v>186995</v>
      </c>
      <c r="B44" s="78" t="s">
        <v>358</v>
      </c>
      <c r="C44" s="80" t="str">
        <f t="shared" si="6"/>
        <v>NGWR18M60I</v>
      </c>
      <c r="D44" s="78" t="e">
        <f>VLOOKUP(C44,'[1]NGWR18W-DATA'!$AC$3:$AD$3,2,0)</f>
        <v>#N/A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 t="s">
        <v>256</v>
      </c>
      <c r="L44" s="78" t="s">
        <v>289</v>
      </c>
      <c r="M44" s="78" t="s">
        <v>328</v>
      </c>
      <c r="N44" s="78" t="s">
        <v>253</v>
      </c>
      <c r="O44" s="78" t="s">
        <v>270</v>
      </c>
      <c r="P44" s="78" t="s">
        <v>260</v>
      </c>
      <c r="R44" s="79" t="str">
        <f t="shared" si="7"/>
        <v>NG</v>
      </c>
      <c r="S44" s="79" t="str">
        <f t="shared" si="8"/>
        <v>WR</v>
      </c>
      <c r="T44" s="79" t="str">
        <f t="shared" si="9"/>
        <v>18</v>
      </c>
      <c r="U44" s="79" t="str">
        <f t="shared" si="10"/>
        <v>M</v>
      </c>
      <c r="V44" s="79" t="str">
        <f t="shared" si="11"/>
        <v>60I</v>
      </c>
    </row>
    <row r="45" spans="1:22">
      <c r="A45" s="78">
        <v>186996</v>
      </c>
      <c r="B45" s="78" t="s">
        <v>357</v>
      </c>
      <c r="C45" s="80" t="str">
        <f t="shared" si="6"/>
        <v>NGWT18M60I</v>
      </c>
      <c r="D45" s="78" t="e">
        <f>VLOOKUP(C45,'[1]NGWR18W-DATA'!$AC$3:$AD$3,2,0)</f>
        <v>#N/A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 t="s">
        <v>256</v>
      </c>
      <c r="L45" s="78" t="s">
        <v>289</v>
      </c>
      <c r="M45" s="78" t="s">
        <v>328</v>
      </c>
      <c r="N45" s="78" t="s">
        <v>253</v>
      </c>
      <c r="O45" s="78" t="s">
        <v>270</v>
      </c>
      <c r="P45" s="78" t="s">
        <v>258</v>
      </c>
      <c r="R45" s="79" t="str">
        <f t="shared" si="7"/>
        <v>NG</v>
      </c>
      <c r="S45" s="79" t="str">
        <f t="shared" si="8"/>
        <v>WT</v>
      </c>
      <c r="T45" s="79" t="str">
        <f t="shared" si="9"/>
        <v>18</v>
      </c>
      <c r="U45" s="79" t="str">
        <f t="shared" si="10"/>
        <v>M</v>
      </c>
      <c r="V45" s="79" t="str">
        <f t="shared" si="11"/>
        <v>60I</v>
      </c>
    </row>
    <row r="46" spans="1:22">
      <c r="A46" s="78">
        <v>186997</v>
      </c>
      <c r="B46" s="78" t="s">
        <v>356</v>
      </c>
      <c r="C46" s="80" t="str">
        <f t="shared" si="6"/>
        <v>NGWB18M60I</v>
      </c>
      <c r="D46" s="78" t="e">
        <f>VLOOKUP(C46,'[1]NGWR18W-DATA'!$AC$3:$AD$3,2,0)</f>
        <v>#N/A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 t="s">
        <v>256</v>
      </c>
      <c r="L46" s="78" t="s">
        <v>289</v>
      </c>
      <c r="M46" s="78" t="s">
        <v>328</v>
      </c>
      <c r="N46" s="78" t="s">
        <v>253</v>
      </c>
      <c r="O46" s="78" t="s">
        <v>270</v>
      </c>
      <c r="P46" s="78" t="s">
        <v>251</v>
      </c>
      <c r="R46" s="79" t="str">
        <f t="shared" si="7"/>
        <v>NG</v>
      </c>
      <c r="S46" s="79" t="str">
        <f t="shared" si="8"/>
        <v>WB</v>
      </c>
      <c r="T46" s="79" t="str">
        <f t="shared" si="9"/>
        <v>18</v>
      </c>
      <c r="U46" s="79" t="str">
        <f t="shared" si="10"/>
        <v>M</v>
      </c>
      <c r="V46" s="79" t="str">
        <f t="shared" si="11"/>
        <v>60I</v>
      </c>
    </row>
    <row r="47" spans="1:22">
      <c r="A47" s="78">
        <v>187007</v>
      </c>
      <c r="B47" s="78" t="s">
        <v>355</v>
      </c>
      <c r="C47" s="80" t="str">
        <f t="shared" si="6"/>
        <v>NGBR18M30I</v>
      </c>
      <c r="D47" s="78" t="e">
        <f>VLOOKUP(C47,'[1]NGWR18W-DATA'!$AC$3:$AD$3,2,0)</f>
        <v>#N/A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 t="s">
        <v>256</v>
      </c>
      <c r="L47" s="78" t="s">
        <v>297</v>
      </c>
      <c r="M47" s="78" t="s">
        <v>328</v>
      </c>
      <c r="N47" s="78" t="s">
        <v>253</v>
      </c>
      <c r="O47" s="78" t="s">
        <v>266</v>
      </c>
      <c r="P47" s="78" t="s">
        <v>260</v>
      </c>
      <c r="R47" s="79" t="str">
        <f t="shared" si="7"/>
        <v>NG</v>
      </c>
      <c r="S47" s="79" t="str">
        <f t="shared" si="8"/>
        <v>BR</v>
      </c>
      <c r="T47" s="79" t="str">
        <f t="shared" si="9"/>
        <v>18</v>
      </c>
      <c r="U47" s="79" t="str">
        <f t="shared" si="10"/>
        <v>M</v>
      </c>
      <c r="V47" s="79" t="str">
        <f t="shared" si="11"/>
        <v>30I</v>
      </c>
    </row>
    <row r="48" spans="1:22">
      <c r="A48" s="78">
        <v>187008</v>
      </c>
      <c r="B48" s="78" t="s">
        <v>354</v>
      </c>
      <c r="C48" s="80" t="str">
        <f t="shared" si="6"/>
        <v>NGBT18M30I</v>
      </c>
      <c r="D48" s="78" t="e">
        <f>VLOOKUP(C48,'[1]NGWR18W-DATA'!$AC$3:$AD$3,2,0)</f>
        <v>#N/A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 t="s">
        <v>256</v>
      </c>
      <c r="L48" s="78" t="s">
        <v>297</v>
      </c>
      <c r="M48" s="78" t="s">
        <v>328</v>
      </c>
      <c r="N48" s="78" t="s">
        <v>253</v>
      </c>
      <c r="O48" s="78" t="s">
        <v>266</v>
      </c>
      <c r="P48" s="78" t="s">
        <v>258</v>
      </c>
      <c r="R48" s="79" t="str">
        <f t="shared" si="7"/>
        <v>NG</v>
      </c>
      <c r="S48" s="79" t="str">
        <f t="shared" si="8"/>
        <v>BT</v>
      </c>
      <c r="T48" s="79" t="str">
        <f t="shared" si="9"/>
        <v>18</v>
      </c>
      <c r="U48" s="79" t="str">
        <f t="shared" si="10"/>
        <v>M</v>
      </c>
      <c r="V48" s="79" t="str">
        <f t="shared" si="11"/>
        <v>30I</v>
      </c>
    </row>
    <row r="49" spans="1:22">
      <c r="A49" s="78">
        <v>187009</v>
      </c>
      <c r="B49" s="78" t="s">
        <v>353</v>
      </c>
      <c r="C49" s="80" t="str">
        <f t="shared" si="6"/>
        <v>NGBB18M30I</v>
      </c>
      <c r="D49" s="78" t="e">
        <f>VLOOKUP(C49,'[1]NGWR18W-DATA'!$AC$3:$AD$3,2,0)</f>
        <v>#N/A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 t="s">
        <v>256</v>
      </c>
      <c r="L49" s="78" t="s">
        <v>297</v>
      </c>
      <c r="M49" s="78" t="s">
        <v>328</v>
      </c>
      <c r="N49" s="78" t="s">
        <v>253</v>
      </c>
      <c r="O49" s="78" t="s">
        <v>266</v>
      </c>
      <c r="P49" s="78" t="s">
        <v>251</v>
      </c>
      <c r="R49" s="79" t="str">
        <f t="shared" si="7"/>
        <v>NG</v>
      </c>
      <c r="S49" s="79" t="str">
        <f t="shared" si="8"/>
        <v>BB</v>
      </c>
      <c r="T49" s="79" t="str">
        <f t="shared" si="9"/>
        <v>18</v>
      </c>
      <c r="U49" s="79" t="str">
        <f t="shared" si="10"/>
        <v>M</v>
      </c>
      <c r="V49" s="79" t="str">
        <f t="shared" si="11"/>
        <v>30I</v>
      </c>
    </row>
    <row r="50" spans="1:22">
      <c r="A50" s="78">
        <v>187010</v>
      </c>
      <c r="B50" s="78" t="s">
        <v>352</v>
      </c>
      <c r="C50" s="80" t="str">
        <f t="shared" si="6"/>
        <v>NGBR18M40I</v>
      </c>
      <c r="D50" s="78" t="e">
        <f>VLOOKUP(C50,'[1]NGWR18W-DATA'!$AC$3:$AD$3,2,0)</f>
        <v>#N/A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 t="s">
        <v>256</v>
      </c>
      <c r="L50" s="78" t="s">
        <v>293</v>
      </c>
      <c r="M50" s="78" t="s">
        <v>328</v>
      </c>
      <c r="N50" s="78" t="s">
        <v>253</v>
      </c>
      <c r="O50" s="78" t="s">
        <v>266</v>
      </c>
      <c r="P50" s="78" t="s">
        <v>260</v>
      </c>
      <c r="R50" s="79" t="str">
        <f t="shared" si="7"/>
        <v>NG</v>
      </c>
      <c r="S50" s="79" t="str">
        <f t="shared" si="8"/>
        <v>BR</v>
      </c>
      <c r="T50" s="79" t="str">
        <f t="shared" si="9"/>
        <v>18</v>
      </c>
      <c r="U50" s="79" t="str">
        <f t="shared" si="10"/>
        <v>M</v>
      </c>
      <c r="V50" s="79" t="str">
        <f t="shared" si="11"/>
        <v>40I</v>
      </c>
    </row>
    <row r="51" spans="1:22">
      <c r="A51" s="78">
        <v>187011</v>
      </c>
      <c r="B51" s="78" t="s">
        <v>351</v>
      </c>
      <c r="C51" s="80" t="str">
        <f t="shared" si="6"/>
        <v>NGBT18M40I</v>
      </c>
      <c r="D51" s="78" t="e">
        <f>VLOOKUP(C51,'[1]NGWR18W-DATA'!$AC$3:$AD$3,2,0)</f>
        <v>#N/A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 t="s">
        <v>256</v>
      </c>
      <c r="L51" s="78" t="s">
        <v>293</v>
      </c>
      <c r="M51" s="78" t="s">
        <v>328</v>
      </c>
      <c r="N51" s="78" t="s">
        <v>253</v>
      </c>
      <c r="O51" s="78" t="s">
        <v>266</v>
      </c>
      <c r="P51" s="78" t="s">
        <v>258</v>
      </c>
      <c r="R51" s="79" t="str">
        <f t="shared" si="7"/>
        <v>NG</v>
      </c>
      <c r="S51" s="79" t="str">
        <f t="shared" si="8"/>
        <v>BT</v>
      </c>
      <c r="T51" s="79" t="str">
        <f t="shared" si="9"/>
        <v>18</v>
      </c>
      <c r="U51" s="79" t="str">
        <f t="shared" si="10"/>
        <v>M</v>
      </c>
      <c r="V51" s="79" t="str">
        <f t="shared" si="11"/>
        <v>40I</v>
      </c>
    </row>
    <row r="52" spans="1:22">
      <c r="A52" s="78">
        <v>187012</v>
      </c>
      <c r="B52" s="78" t="s">
        <v>350</v>
      </c>
      <c r="C52" s="80" t="str">
        <f t="shared" si="6"/>
        <v>NGBB18M40I</v>
      </c>
      <c r="D52" s="78" t="e">
        <f>VLOOKUP(C52,'[1]NGWR18W-DATA'!$AC$3:$AD$3,2,0)</f>
        <v>#N/A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 t="s">
        <v>256</v>
      </c>
      <c r="L52" s="78" t="s">
        <v>293</v>
      </c>
      <c r="M52" s="78" t="s">
        <v>328</v>
      </c>
      <c r="N52" s="78" t="s">
        <v>253</v>
      </c>
      <c r="O52" s="78" t="s">
        <v>266</v>
      </c>
      <c r="P52" s="78" t="s">
        <v>251</v>
      </c>
      <c r="R52" s="79" t="str">
        <f t="shared" si="7"/>
        <v>NG</v>
      </c>
      <c r="S52" s="79" t="str">
        <f t="shared" si="8"/>
        <v>BB</v>
      </c>
      <c r="T52" s="79" t="str">
        <f t="shared" si="9"/>
        <v>18</v>
      </c>
      <c r="U52" s="79" t="str">
        <f t="shared" si="10"/>
        <v>M</v>
      </c>
      <c r="V52" s="79" t="str">
        <f t="shared" si="11"/>
        <v>40I</v>
      </c>
    </row>
    <row r="53" spans="1:22">
      <c r="A53" s="78">
        <v>187013</v>
      </c>
      <c r="B53" s="78" t="s">
        <v>349</v>
      </c>
      <c r="C53" s="80" t="str">
        <f t="shared" si="6"/>
        <v>NGBR18M60I</v>
      </c>
      <c r="D53" s="78" t="e">
        <f>VLOOKUP(C53,'[1]NGWR18W-DATA'!$AC$3:$AD$3,2,0)</f>
        <v>#N/A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 t="s">
        <v>256</v>
      </c>
      <c r="L53" s="78" t="s">
        <v>289</v>
      </c>
      <c r="M53" s="78" t="s">
        <v>328</v>
      </c>
      <c r="N53" s="78" t="s">
        <v>253</v>
      </c>
      <c r="O53" s="78" t="s">
        <v>266</v>
      </c>
      <c r="P53" s="78" t="s">
        <v>260</v>
      </c>
      <c r="R53" s="79" t="str">
        <f t="shared" si="7"/>
        <v>NG</v>
      </c>
      <c r="S53" s="79" t="str">
        <f t="shared" si="8"/>
        <v>BR</v>
      </c>
      <c r="T53" s="79" t="str">
        <f t="shared" si="9"/>
        <v>18</v>
      </c>
      <c r="U53" s="79" t="str">
        <f t="shared" si="10"/>
        <v>M</v>
      </c>
      <c r="V53" s="79" t="str">
        <f t="shared" si="11"/>
        <v>60I</v>
      </c>
    </row>
    <row r="54" spans="1:22">
      <c r="A54" s="78">
        <v>187014</v>
      </c>
      <c r="B54" s="78" t="s">
        <v>348</v>
      </c>
      <c r="C54" s="80" t="str">
        <f t="shared" si="6"/>
        <v>NGBT18M60I</v>
      </c>
      <c r="D54" s="78" t="e">
        <f>VLOOKUP(C54,'[1]NGWR18W-DATA'!$AC$3:$AD$3,2,0)</f>
        <v>#N/A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 t="s">
        <v>256</v>
      </c>
      <c r="L54" s="78" t="s">
        <v>289</v>
      </c>
      <c r="M54" s="78" t="s">
        <v>328</v>
      </c>
      <c r="N54" s="78" t="s">
        <v>253</v>
      </c>
      <c r="O54" s="78" t="s">
        <v>266</v>
      </c>
      <c r="P54" s="78" t="s">
        <v>258</v>
      </c>
      <c r="R54" s="79" t="str">
        <f t="shared" si="7"/>
        <v>NG</v>
      </c>
      <c r="S54" s="79" t="str">
        <f t="shared" si="8"/>
        <v>BT</v>
      </c>
      <c r="T54" s="79" t="str">
        <f t="shared" si="9"/>
        <v>18</v>
      </c>
      <c r="U54" s="79" t="str">
        <f t="shared" si="10"/>
        <v>M</v>
      </c>
      <c r="V54" s="79" t="str">
        <f t="shared" si="11"/>
        <v>60I</v>
      </c>
    </row>
    <row r="55" spans="1:22">
      <c r="A55" s="78">
        <v>187015</v>
      </c>
      <c r="B55" s="78" t="s">
        <v>347</v>
      </c>
      <c r="C55" s="80" t="str">
        <f t="shared" si="6"/>
        <v>NGBB18M60I</v>
      </c>
      <c r="D55" s="78" t="e">
        <f>VLOOKUP(C55,'[1]NGWR18W-DATA'!$AC$3:$AD$3,2,0)</f>
        <v>#N/A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 t="s">
        <v>256</v>
      </c>
      <c r="L55" s="78" t="s">
        <v>289</v>
      </c>
      <c r="M55" s="78" t="s">
        <v>328</v>
      </c>
      <c r="N55" s="78" t="s">
        <v>253</v>
      </c>
      <c r="O55" s="78" t="s">
        <v>266</v>
      </c>
      <c r="P55" s="78" t="s">
        <v>251</v>
      </c>
      <c r="R55" s="79" t="str">
        <f t="shared" si="7"/>
        <v>NG</v>
      </c>
      <c r="S55" s="79" t="str">
        <f t="shared" si="8"/>
        <v>BB</v>
      </c>
      <c r="T55" s="79" t="str">
        <f t="shared" si="9"/>
        <v>18</v>
      </c>
      <c r="U55" s="79" t="str">
        <f t="shared" si="10"/>
        <v>M</v>
      </c>
      <c r="V55" s="79" t="str">
        <f t="shared" si="11"/>
        <v>60I</v>
      </c>
    </row>
    <row r="56" spans="1:22">
      <c r="A56" s="78">
        <v>187025</v>
      </c>
      <c r="B56" s="78" t="s">
        <v>346</v>
      </c>
      <c r="C56" s="80" t="str">
        <f t="shared" si="6"/>
        <v>NGAR18M30I</v>
      </c>
      <c r="D56" s="78" t="e">
        <f>VLOOKUP(C56,'[1]NGWR18W-DATA'!$AC$3:$AD$3,2,0)</f>
        <v>#N/A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 t="s">
        <v>256</v>
      </c>
      <c r="L56" s="78" t="s">
        <v>297</v>
      </c>
      <c r="M56" s="78" t="s">
        <v>328</v>
      </c>
      <c r="N56" s="78" t="s">
        <v>253</v>
      </c>
      <c r="O56" s="78" t="s">
        <v>262</v>
      </c>
      <c r="P56" s="78" t="s">
        <v>260</v>
      </c>
      <c r="R56" s="79" t="str">
        <f t="shared" si="7"/>
        <v>NG</v>
      </c>
      <c r="S56" s="79" t="str">
        <f t="shared" si="8"/>
        <v>AR</v>
      </c>
      <c r="T56" s="79" t="str">
        <f t="shared" si="9"/>
        <v>18</v>
      </c>
      <c r="U56" s="79" t="str">
        <f t="shared" si="10"/>
        <v>M</v>
      </c>
      <c r="V56" s="79" t="str">
        <f t="shared" si="11"/>
        <v>30I</v>
      </c>
    </row>
    <row r="57" spans="1:22">
      <c r="A57" s="78">
        <v>187026</v>
      </c>
      <c r="B57" s="78" t="s">
        <v>345</v>
      </c>
      <c r="C57" s="80" t="str">
        <f t="shared" si="6"/>
        <v>NGAT18M30I</v>
      </c>
      <c r="D57" s="78" t="e">
        <f>VLOOKUP(C57,'[1]NGWR18W-DATA'!$AC$3:$AD$3,2,0)</f>
        <v>#N/A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 t="s">
        <v>256</v>
      </c>
      <c r="L57" s="78" t="s">
        <v>297</v>
      </c>
      <c r="M57" s="78" t="s">
        <v>328</v>
      </c>
      <c r="N57" s="78" t="s">
        <v>253</v>
      </c>
      <c r="O57" s="78" t="s">
        <v>262</v>
      </c>
      <c r="P57" s="78" t="s">
        <v>258</v>
      </c>
      <c r="R57" s="79" t="str">
        <f t="shared" si="7"/>
        <v>NG</v>
      </c>
      <c r="S57" s="79" t="str">
        <f t="shared" si="8"/>
        <v>AT</v>
      </c>
      <c r="T57" s="79" t="str">
        <f t="shared" si="9"/>
        <v>18</v>
      </c>
      <c r="U57" s="79" t="str">
        <f t="shared" si="10"/>
        <v>M</v>
      </c>
      <c r="V57" s="79" t="str">
        <f t="shared" si="11"/>
        <v>30I</v>
      </c>
    </row>
    <row r="58" spans="1:22">
      <c r="A58" s="78">
        <v>187027</v>
      </c>
      <c r="B58" s="78" t="s">
        <v>344</v>
      </c>
      <c r="C58" s="80" t="str">
        <f t="shared" si="6"/>
        <v>NGAB18M30I</v>
      </c>
      <c r="D58" s="78" t="e">
        <f>VLOOKUP(C58,'[1]NGWR18W-DATA'!$AC$3:$AD$3,2,0)</f>
        <v>#N/A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 t="s">
        <v>256</v>
      </c>
      <c r="L58" s="78" t="s">
        <v>297</v>
      </c>
      <c r="M58" s="78" t="s">
        <v>328</v>
      </c>
      <c r="N58" s="78" t="s">
        <v>253</v>
      </c>
      <c r="O58" s="78" t="s">
        <v>262</v>
      </c>
      <c r="P58" s="78" t="s">
        <v>251</v>
      </c>
      <c r="R58" s="79" t="str">
        <f t="shared" si="7"/>
        <v>NG</v>
      </c>
      <c r="S58" s="79" t="str">
        <f t="shared" si="8"/>
        <v>AB</v>
      </c>
      <c r="T58" s="79" t="str">
        <f t="shared" si="9"/>
        <v>18</v>
      </c>
      <c r="U58" s="79" t="str">
        <f t="shared" si="10"/>
        <v>M</v>
      </c>
      <c r="V58" s="79" t="str">
        <f t="shared" si="11"/>
        <v>30I</v>
      </c>
    </row>
    <row r="59" spans="1:22">
      <c r="A59" s="78">
        <v>187028</v>
      </c>
      <c r="B59" s="78" t="s">
        <v>343</v>
      </c>
      <c r="C59" s="80" t="str">
        <f t="shared" si="6"/>
        <v>NGAR18M40I</v>
      </c>
      <c r="D59" s="78" t="e">
        <f>VLOOKUP(C59,'[1]NGWR18W-DATA'!$AC$3:$AD$3,2,0)</f>
        <v>#N/A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 t="s">
        <v>256</v>
      </c>
      <c r="L59" s="78" t="s">
        <v>293</v>
      </c>
      <c r="M59" s="78" t="s">
        <v>328</v>
      </c>
      <c r="N59" s="78" t="s">
        <v>253</v>
      </c>
      <c r="O59" s="78" t="s">
        <v>262</v>
      </c>
      <c r="P59" s="78" t="s">
        <v>260</v>
      </c>
      <c r="R59" s="79" t="str">
        <f t="shared" si="7"/>
        <v>NG</v>
      </c>
      <c r="S59" s="79" t="str">
        <f t="shared" si="8"/>
        <v>AR</v>
      </c>
      <c r="T59" s="79" t="str">
        <f t="shared" si="9"/>
        <v>18</v>
      </c>
      <c r="U59" s="79" t="str">
        <f t="shared" si="10"/>
        <v>M</v>
      </c>
      <c r="V59" s="79" t="str">
        <f t="shared" si="11"/>
        <v>40I</v>
      </c>
    </row>
    <row r="60" spans="1:22">
      <c r="A60" s="78">
        <v>187029</v>
      </c>
      <c r="B60" s="78" t="s">
        <v>342</v>
      </c>
      <c r="C60" s="80" t="str">
        <f t="shared" si="6"/>
        <v>NGAT18M40I</v>
      </c>
      <c r="D60" s="78" t="e">
        <f>VLOOKUP(C60,'[1]NGWR18W-DATA'!$AC$3:$AD$3,2,0)</f>
        <v>#N/A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 t="s">
        <v>256</v>
      </c>
      <c r="L60" s="78" t="s">
        <v>293</v>
      </c>
      <c r="M60" s="78" t="s">
        <v>328</v>
      </c>
      <c r="N60" s="78" t="s">
        <v>253</v>
      </c>
      <c r="O60" s="78" t="s">
        <v>262</v>
      </c>
      <c r="P60" s="78" t="s">
        <v>258</v>
      </c>
      <c r="R60" s="79" t="str">
        <f t="shared" si="7"/>
        <v>NG</v>
      </c>
      <c r="S60" s="79" t="str">
        <f t="shared" si="8"/>
        <v>AT</v>
      </c>
      <c r="T60" s="79" t="str">
        <f t="shared" si="9"/>
        <v>18</v>
      </c>
      <c r="U60" s="79" t="str">
        <f t="shared" si="10"/>
        <v>M</v>
      </c>
      <c r="V60" s="79" t="str">
        <f t="shared" si="11"/>
        <v>40I</v>
      </c>
    </row>
    <row r="61" spans="1:22">
      <c r="A61" s="78">
        <v>187030</v>
      </c>
      <c r="B61" s="78" t="s">
        <v>341</v>
      </c>
      <c r="C61" s="80" t="str">
        <f t="shared" si="6"/>
        <v>NGAB18M40I</v>
      </c>
      <c r="D61" s="78" t="e">
        <f>VLOOKUP(C61,'[1]NGWR18W-DATA'!$AC$3:$AD$3,2,0)</f>
        <v>#N/A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 t="s">
        <v>256</v>
      </c>
      <c r="L61" s="78" t="s">
        <v>293</v>
      </c>
      <c r="M61" s="78" t="s">
        <v>328</v>
      </c>
      <c r="N61" s="78" t="s">
        <v>253</v>
      </c>
      <c r="O61" s="78" t="s">
        <v>262</v>
      </c>
      <c r="P61" s="78" t="s">
        <v>251</v>
      </c>
      <c r="R61" s="79" t="str">
        <f t="shared" si="7"/>
        <v>NG</v>
      </c>
      <c r="S61" s="79" t="str">
        <f t="shared" si="8"/>
        <v>AB</v>
      </c>
      <c r="T61" s="79" t="str">
        <f t="shared" si="9"/>
        <v>18</v>
      </c>
      <c r="U61" s="79" t="str">
        <f t="shared" si="10"/>
        <v>M</v>
      </c>
      <c r="V61" s="79" t="str">
        <f t="shared" si="11"/>
        <v>40I</v>
      </c>
    </row>
    <row r="62" spans="1:22">
      <c r="A62" s="78">
        <v>187031</v>
      </c>
      <c r="B62" s="78" t="s">
        <v>340</v>
      </c>
      <c r="C62" s="80" t="str">
        <f t="shared" si="6"/>
        <v>NGAR18M60I</v>
      </c>
      <c r="D62" s="78" t="e">
        <f>VLOOKUP(C62,'[1]NGWR18W-DATA'!$AC$3:$AD$3,2,0)</f>
        <v>#N/A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 t="s">
        <v>256</v>
      </c>
      <c r="L62" s="78" t="s">
        <v>289</v>
      </c>
      <c r="M62" s="78" t="s">
        <v>328</v>
      </c>
      <c r="N62" s="78" t="s">
        <v>253</v>
      </c>
      <c r="O62" s="78" t="s">
        <v>262</v>
      </c>
      <c r="P62" s="78" t="s">
        <v>260</v>
      </c>
      <c r="R62" s="79" t="str">
        <f t="shared" si="7"/>
        <v>NG</v>
      </c>
      <c r="S62" s="79" t="str">
        <f t="shared" si="8"/>
        <v>AR</v>
      </c>
      <c r="T62" s="79" t="str">
        <f t="shared" si="9"/>
        <v>18</v>
      </c>
      <c r="U62" s="79" t="str">
        <f t="shared" si="10"/>
        <v>M</v>
      </c>
      <c r="V62" s="79" t="str">
        <f t="shared" si="11"/>
        <v>60I</v>
      </c>
    </row>
    <row r="63" spans="1:22">
      <c r="A63" s="78">
        <v>187032</v>
      </c>
      <c r="B63" s="78" t="s">
        <v>339</v>
      </c>
      <c r="C63" s="80" t="str">
        <f t="shared" si="6"/>
        <v>NGAT18M60I</v>
      </c>
      <c r="D63" s="78" t="e">
        <f>VLOOKUP(C63,'[1]NGWR18W-DATA'!$AC$3:$AD$3,2,0)</f>
        <v>#N/A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 t="s">
        <v>256</v>
      </c>
      <c r="L63" s="78" t="s">
        <v>289</v>
      </c>
      <c r="M63" s="78" t="s">
        <v>328</v>
      </c>
      <c r="N63" s="78" t="s">
        <v>253</v>
      </c>
      <c r="O63" s="78" t="s">
        <v>262</v>
      </c>
      <c r="P63" s="78" t="s">
        <v>258</v>
      </c>
      <c r="R63" s="79" t="str">
        <f t="shared" si="7"/>
        <v>NG</v>
      </c>
      <c r="S63" s="79" t="str">
        <f t="shared" si="8"/>
        <v>AT</v>
      </c>
      <c r="T63" s="79" t="str">
        <f t="shared" si="9"/>
        <v>18</v>
      </c>
      <c r="U63" s="79" t="str">
        <f t="shared" si="10"/>
        <v>M</v>
      </c>
      <c r="V63" s="79" t="str">
        <f t="shared" si="11"/>
        <v>60I</v>
      </c>
    </row>
    <row r="64" spans="1:22">
      <c r="A64" s="78">
        <v>187033</v>
      </c>
      <c r="B64" s="78" t="s">
        <v>338</v>
      </c>
      <c r="C64" s="80" t="str">
        <f t="shared" si="6"/>
        <v>NGAB18M60I</v>
      </c>
      <c r="D64" s="78" t="e">
        <f>VLOOKUP(C64,'[1]NGWR18W-DATA'!$AC$3:$AD$3,2,0)</f>
        <v>#N/A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 t="s">
        <v>256</v>
      </c>
      <c r="L64" s="78" t="s">
        <v>289</v>
      </c>
      <c r="M64" s="78" t="s">
        <v>328</v>
      </c>
      <c r="N64" s="78" t="s">
        <v>253</v>
      </c>
      <c r="O64" s="78" t="s">
        <v>262</v>
      </c>
      <c r="P64" s="78" t="s">
        <v>251</v>
      </c>
      <c r="R64" s="79" t="str">
        <f t="shared" si="7"/>
        <v>NG</v>
      </c>
      <c r="S64" s="79" t="str">
        <f t="shared" si="8"/>
        <v>AB</v>
      </c>
      <c r="T64" s="79" t="str">
        <f t="shared" si="9"/>
        <v>18</v>
      </c>
      <c r="U64" s="79" t="str">
        <f t="shared" si="10"/>
        <v>M</v>
      </c>
      <c r="V64" s="79" t="str">
        <f t="shared" si="11"/>
        <v>60I</v>
      </c>
    </row>
    <row r="65" spans="1:22">
      <c r="A65" s="78">
        <v>187043</v>
      </c>
      <c r="B65" s="78" t="s">
        <v>337</v>
      </c>
      <c r="C65" s="80" t="str">
        <f t="shared" si="6"/>
        <v>NGCR18M30I</v>
      </c>
      <c r="D65" s="78" t="e">
        <f>VLOOKUP(C65,'[1]NGWR18W-DATA'!$AC$3:$AD$3,2,0)</f>
        <v>#N/A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 t="s">
        <v>256</v>
      </c>
      <c r="L65" s="78" t="s">
        <v>297</v>
      </c>
      <c r="M65" s="78" t="s">
        <v>328</v>
      </c>
      <c r="N65" s="78" t="s">
        <v>253</v>
      </c>
      <c r="O65" s="78" t="s">
        <v>252</v>
      </c>
      <c r="P65" s="78" t="s">
        <v>260</v>
      </c>
      <c r="R65" s="79" t="str">
        <f t="shared" si="7"/>
        <v>NG</v>
      </c>
      <c r="S65" s="79" t="str">
        <f t="shared" si="8"/>
        <v>CR</v>
      </c>
      <c r="T65" s="79" t="str">
        <f t="shared" si="9"/>
        <v>18</v>
      </c>
      <c r="U65" s="79" t="str">
        <f t="shared" si="10"/>
        <v>M</v>
      </c>
      <c r="V65" s="79" t="str">
        <f t="shared" si="11"/>
        <v>30I</v>
      </c>
    </row>
    <row r="66" spans="1:22">
      <c r="A66" s="78">
        <v>187044</v>
      </c>
      <c r="B66" s="78" t="s">
        <v>336</v>
      </c>
      <c r="C66" s="80" t="str">
        <f t="shared" ref="C66:C97" si="12">CONCATENATE(R66,S66,T66,U66,V66)</f>
        <v>NGCT18M30I</v>
      </c>
      <c r="D66" s="78" t="e">
        <f>VLOOKUP(C66,'[1]NGWR18W-DATA'!$AC$3:$AD$3,2,0)</f>
        <v>#N/A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 t="s">
        <v>256</v>
      </c>
      <c r="L66" s="78" t="s">
        <v>297</v>
      </c>
      <c r="M66" s="78" t="s">
        <v>328</v>
      </c>
      <c r="N66" s="78" t="s">
        <v>253</v>
      </c>
      <c r="O66" s="78" t="s">
        <v>252</v>
      </c>
      <c r="P66" s="78" t="s">
        <v>258</v>
      </c>
      <c r="R66" s="79" t="str">
        <f t="shared" ref="R66:R97" si="13">MID(B66,1,2)</f>
        <v>NG</v>
      </c>
      <c r="S66" s="79" t="str">
        <f t="shared" ref="S66:S97" si="14">MID(B66,6,2)</f>
        <v>CT</v>
      </c>
      <c r="T66" s="79" t="str">
        <f t="shared" ref="T66:T97" si="15">MID(B66,4,2)</f>
        <v>18</v>
      </c>
      <c r="U66" s="79" t="str">
        <f t="shared" ref="U66:U97" si="16">MID(B66,8,1)</f>
        <v>M</v>
      </c>
      <c r="V66" s="79" t="str">
        <f t="shared" si="11"/>
        <v>30I</v>
      </c>
    </row>
    <row r="67" spans="1:22">
      <c r="A67" s="78">
        <v>187045</v>
      </c>
      <c r="B67" s="78" t="s">
        <v>335</v>
      </c>
      <c r="C67" s="80" t="str">
        <f t="shared" si="12"/>
        <v>NGCB18M30I</v>
      </c>
      <c r="D67" s="78" t="e">
        <f>VLOOKUP(C67,'[1]NGWR18W-DATA'!$AC$3:$AD$3,2,0)</f>
        <v>#N/A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 t="s">
        <v>256</v>
      </c>
      <c r="L67" s="78" t="s">
        <v>297</v>
      </c>
      <c r="M67" s="78" t="s">
        <v>328</v>
      </c>
      <c r="N67" s="78" t="s">
        <v>253</v>
      </c>
      <c r="O67" s="78" t="s">
        <v>252</v>
      </c>
      <c r="P67" s="78" t="s">
        <v>251</v>
      </c>
      <c r="R67" s="79" t="str">
        <f t="shared" si="13"/>
        <v>NG</v>
      </c>
      <c r="S67" s="79" t="str">
        <f t="shared" si="14"/>
        <v>CB</v>
      </c>
      <c r="T67" s="79" t="str">
        <f t="shared" si="15"/>
        <v>18</v>
      </c>
      <c r="U67" s="79" t="str">
        <f t="shared" si="16"/>
        <v>M</v>
      </c>
      <c r="V67" s="79" t="str">
        <f t="shared" si="11"/>
        <v>30I</v>
      </c>
    </row>
    <row r="68" spans="1:22">
      <c r="A68" s="78">
        <v>187046</v>
      </c>
      <c r="B68" s="78" t="s">
        <v>334</v>
      </c>
      <c r="C68" s="80" t="str">
        <f t="shared" si="12"/>
        <v>NGCR18M40I</v>
      </c>
      <c r="D68" s="78" t="e">
        <f>VLOOKUP(C68,'[1]NGWR18W-DATA'!$AC$3:$AD$3,2,0)</f>
        <v>#N/A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 t="s">
        <v>256</v>
      </c>
      <c r="L68" s="78" t="s">
        <v>293</v>
      </c>
      <c r="M68" s="78" t="s">
        <v>328</v>
      </c>
      <c r="N68" s="78" t="s">
        <v>253</v>
      </c>
      <c r="O68" s="78" t="s">
        <v>252</v>
      </c>
      <c r="P68" s="78" t="s">
        <v>260</v>
      </c>
      <c r="R68" s="79" t="str">
        <f t="shared" si="13"/>
        <v>NG</v>
      </c>
      <c r="S68" s="79" t="str">
        <f t="shared" si="14"/>
        <v>CR</v>
      </c>
      <c r="T68" s="79" t="str">
        <f t="shared" si="15"/>
        <v>18</v>
      </c>
      <c r="U68" s="79" t="str">
        <f t="shared" si="16"/>
        <v>M</v>
      </c>
      <c r="V68" s="79" t="str">
        <f t="shared" si="11"/>
        <v>40I</v>
      </c>
    </row>
    <row r="69" spans="1:22">
      <c r="A69" s="78">
        <v>187047</v>
      </c>
      <c r="B69" s="78" t="s">
        <v>333</v>
      </c>
      <c r="C69" s="80" t="str">
        <f t="shared" si="12"/>
        <v>NGCT18M40I</v>
      </c>
      <c r="D69" s="78" t="e">
        <f>VLOOKUP(C69,'[1]NGWR18W-DATA'!$AC$3:$AD$3,2,0)</f>
        <v>#N/A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 t="s">
        <v>256</v>
      </c>
      <c r="L69" s="78" t="s">
        <v>293</v>
      </c>
      <c r="M69" s="78" t="s">
        <v>328</v>
      </c>
      <c r="N69" s="78" t="s">
        <v>253</v>
      </c>
      <c r="O69" s="78" t="s">
        <v>252</v>
      </c>
      <c r="P69" s="78" t="s">
        <v>258</v>
      </c>
      <c r="R69" s="79" t="str">
        <f t="shared" si="13"/>
        <v>NG</v>
      </c>
      <c r="S69" s="79" t="str">
        <f t="shared" si="14"/>
        <v>CT</v>
      </c>
      <c r="T69" s="79" t="str">
        <f t="shared" si="15"/>
        <v>18</v>
      </c>
      <c r="U69" s="79" t="str">
        <f t="shared" si="16"/>
        <v>M</v>
      </c>
      <c r="V69" s="79" t="str">
        <f t="shared" si="11"/>
        <v>40I</v>
      </c>
    </row>
    <row r="70" spans="1:22">
      <c r="A70" s="78">
        <v>187048</v>
      </c>
      <c r="B70" s="78" t="s">
        <v>332</v>
      </c>
      <c r="C70" s="80" t="str">
        <f t="shared" si="12"/>
        <v>NGCB18M40I</v>
      </c>
      <c r="D70" s="78" t="e">
        <f>VLOOKUP(C70,'[1]NGWR18W-DATA'!$AC$3:$AD$3,2,0)</f>
        <v>#N/A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 t="s">
        <v>256</v>
      </c>
      <c r="L70" s="78" t="s">
        <v>293</v>
      </c>
      <c r="M70" s="78" t="s">
        <v>328</v>
      </c>
      <c r="N70" s="78" t="s">
        <v>253</v>
      </c>
      <c r="O70" s="78" t="s">
        <v>252</v>
      </c>
      <c r="P70" s="78" t="s">
        <v>251</v>
      </c>
      <c r="R70" s="79" t="str">
        <f t="shared" si="13"/>
        <v>NG</v>
      </c>
      <c r="S70" s="79" t="str">
        <f t="shared" si="14"/>
        <v>CB</v>
      </c>
      <c r="T70" s="79" t="str">
        <f t="shared" si="15"/>
        <v>18</v>
      </c>
      <c r="U70" s="79" t="str">
        <f t="shared" si="16"/>
        <v>M</v>
      </c>
      <c r="V70" s="79" t="str">
        <f t="shared" ref="V70:V101" si="17">MID(B70,9,5)</f>
        <v>40I</v>
      </c>
    </row>
    <row r="71" spans="1:22">
      <c r="A71" s="78">
        <v>187049</v>
      </c>
      <c r="B71" s="78" t="s">
        <v>331</v>
      </c>
      <c r="C71" s="80" t="str">
        <f t="shared" si="12"/>
        <v>NGCR18M60I</v>
      </c>
      <c r="D71" s="78" t="e">
        <f>VLOOKUP(C71,'[1]NGWR18W-DATA'!$AC$3:$AD$3,2,0)</f>
        <v>#N/A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 t="s">
        <v>256</v>
      </c>
      <c r="L71" s="78" t="s">
        <v>289</v>
      </c>
      <c r="M71" s="78" t="s">
        <v>328</v>
      </c>
      <c r="N71" s="78" t="s">
        <v>253</v>
      </c>
      <c r="O71" s="78" t="s">
        <v>252</v>
      </c>
      <c r="P71" s="78" t="s">
        <v>260</v>
      </c>
      <c r="R71" s="79" t="str">
        <f t="shared" si="13"/>
        <v>NG</v>
      </c>
      <c r="S71" s="79" t="str">
        <f t="shared" si="14"/>
        <v>CR</v>
      </c>
      <c r="T71" s="79" t="str">
        <f t="shared" si="15"/>
        <v>18</v>
      </c>
      <c r="U71" s="79" t="str">
        <f t="shared" si="16"/>
        <v>M</v>
      </c>
      <c r="V71" s="79" t="str">
        <f t="shared" si="17"/>
        <v>60I</v>
      </c>
    </row>
    <row r="72" spans="1:22">
      <c r="A72" s="78">
        <v>187050</v>
      </c>
      <c r="B72" s="78" t="s">
        <v>330</v>
      </c>
      <c r="C72" s="80" t="str">
        <f t="shared" si="12"/>
        <v>NGCT18M60I</v>
      </c>
      <c r="D72" s="78" t="e">
        <f>VLOOKUP(C72,'[1]NGWR18W-DATA'!$AC$3:$AD$3,2,0)</f>
        <v>#N/A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 t="s">
        <v>256</v>
      </c>
      <c r="L72" s="78" t="s">
        <v>289</v>
      </c>
      <c r="M72" s="78" t="s">
        <v>328</v>
      </c>
      <c r="N72" s="78" t="s">
        <v>253</v>
      </c>
      <c r="O72" s="78" t="s">
        <v>252</v>
      </c>
      <c r="P72" s="78" t="s">
        <v>258</v>
      </c>
      <c r="R72" s="79" t="str">
        <f t="shared" si="13"/>
        <v>NG</v>
      </c>
      <c r="S72" s="79" t="str">
        <f t="shared" si="14"/>
        <v>CT</v>
      </c>
      <c r="T72" s="79" t="str">
        <f t="shared" si="15"/>
        <v>18</v>
      </c>
      <c r="U72" s="79" t="str">
        <f t="shared" si="16"/>
        <v>M</v>
      </c>
      <c r="V72" s="79" t="str">
        <f t="shared" si="17"/>
        <v>60I</v>
      </c>
    </row>
    <row r="73" spans="1:22">
      <c r="A73" s="78">
        <v>187051</v>
      </c>
      <c r="B73" s="78" t="s">
        <v>329</v>
      </c>
      <c r="C73" s="80" t="str">
        <f t="shared" si="12"/>
        <v>NGCB18M60I</v>
      </c>
      <c r="D73" s="78" t="e">
        <f>VLOOKUP(C73,'[1]NGWR18W-DATA'!$AC$3:$AD$3,2,0)</f>
        <v>#N/A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 t="s">
        <v>256</v>
      </c>
      <c r="L73" s="78" t="s">
        <v>289</v>
      </c>
      <c r="M73" s="78" t="s">
        <v>328</v>
      </c>
      <c r="N73" s="78" t="s">
        <v>253</v>
      </c>
      <c r="O73" s="78" t="s">
        <v>252</v>
      </c>
      <c r="P73" s="78" t="s">
        <v>251</v>
      </c>
      <c r="R73" s="79" t="str">
        <f t="shared" si="13"/>
        <v>NG</v>
      </c>
      <c r="S73" s="79" t="str">
        <f t="shared" si="14"/>
        <v>CB</v>
      </c>
      <c r="T73" s="79" t="str">
        <f t="shared" si="15"/>
        <v>18</v>
      </c>
      <c r="U73" s="79" t="str">
        <f t="shared" si="16"/>
        <v>M</v>
      </c>
      <c r="V73" s="79" t="str">
        <f t="shared" si="17"/>
        <v>60I</v>
      </c>
    </row>
    <row r="74" spans="1:22">
      <c r="A74" s="78">
        <v>187061</v>
      </c>
      <c r="B74" s="78" t="s">
        <v>327</v>
      </c>
      <c r="C74" s="80" t="str">
        <f t="shared" si="12"/>
        <v>NGWR18M30BT</v>
      </c>
      <c r="D74" s="78" t="e">
        <f>VLOOKUP(C74,'[1]NGWR18W-DATA'!$AC$3:$AD$3,2,0)</f>
        <v>#N/A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 t="s">
        <v>256</v>
      </c>
      <c r="L74" s="78" t="s">
        <v>297</v>
      </c>
      <c r="M74" s="78" t="s">
        <v>288</v>
      </c>
      <c r="N74" s="78" t="s">
        <v>253</v>
      </c>
      <c r="O74" s="78" t="s">
        <v>270</v>
      </c>
      <c r="P74" s="78" t="s">
        <v>260</v>
      </c>
      <c r="R74" s="79" t="str">
        <f t="shared" si="13"/>
        <v>NG</v>
      </c>
      <c r="S74" s="79" t="str">
        <f t="shared" si="14"/>
        <v>WR</v>
      </c>
      <c r="T74" s="79" t="str">
        <f t="shared" si="15"/>
        <v>18</v>
      </c>
      <c r="U74" s="79" t="str">
        <f t="shared" si="16"/>
        <v>M</v>
      </c>
      <c r="V74" s="79" t="str">
        <f t="shared" si="17"/>
        <v>30BT</v>
      </c>
    </row>
    <row r="75" spans="1:22">
      <c r="A75" s="78">
        <v>187062</v>
      </c>
      <c r="B75" s="78" t="s">
        <v>326</v>
      </c>
      <c r="C75" s="80" t="str">
        <f t="shared" si="12"/>
        <v>NGWT18M30BT</v>
      </c>
      <c r="D75" s="78" t="e">
        <f>VLOOKUP(C75,'[1]NGWR18W-DATA'!$AC$3:$AD$3,2,0)</f>
        <v>#N/A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 t="s">
        <v>256</v>
      </c>
      <c r="L75" s="78" t="s">
        <v>297</v>
      </c>
      <c r="M75" s="78" t="s">
        <v>288</v>
      </c>
      <c r="N75" s="78" t="s">
        <v>253</v>
      </c>
      <c r="O75" s="78" t="s">
        <v>270</v>
      </c>
      <c r="P75" s="78" t="s">
        <v>258</v>
      </c>
      <c r="R75" s="79" t="str">
        <f t="shared" si="13"/>
        <v>NG</v>
      </c>
      <c r="S75" s="79" t="str">
        <f t="shared" si="14"/>
        <v>WT</v>
      </c>
      <c r="T75" s="79" t="str">
        <f t="shared" si="15"/>
        <v>18</v>
      </c>
      <c r="U75" s="79" t="str">
        <f t="shared" si="16"/>
        <v>M</v>
      </c>
      <c r="V75" s="79" t="str">
        <f t="shared" si="17"/>
        <v>30BT</v>
      </c>
    </row>
    <row r="76" spans="1:22">
      <c r="A76" s="78">
        <v>187063</v>
      </c>
      <c r="B76" s="78" t="s">
        <v>325</v>
      </c>
      <c r="C76" s="80" t="str">
        <f t="shared" si="12"/>
        <v>NGWB18M30BT</v>
      </c>
      <c r="D76" s="78" t="e">
        <f>VLOOKUP(C76,'[1]NGWR18W-DATA'!$AC$3:$AD$3,2,0)</f>
        <v>#N/A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 t="s">
        <v>256</v>
      </c>
      <c r="L76" s="78" t="s">
        <v>297</v>
      </c>
      <c r="M76" s="78" t="s">
        <v>288</v>
      </c>
      <c r="N76" s="78" t="s">
        <v>253</v>
      </c>
      <c r="O76" s="78" t="s">
        <v>270</v>
      </c>
      <c r="P76" s="78" t="s">
        <v>251</v>
      </c>
      <c r="R76" s="79" t="str">
        <f t="shared" si="13"/>
        <v>NG</v>
      </c>
      <c r="S76" s="79" t="str">
        <f t="shared" si="14"/>
        <v>WB</v>
      </c>
      <c r="T76" s="79" t="str">
        <f t="shared" si="15"/>
        <v>18</v>
      </c>
      <c r="U76" s="79" t="str">
        <f t="shared" si="16"/>
        <v>M</v>
      </c>
      <c r="V76" s="79" t="str">
        <f t="shared" si="17"/>
        <v>30BT</v>
      </c>
    </row>
    <row r="77" spans="1:22">
      <c r="A77" s="78">
        <v>187064</v>
      </c>
      <c r="B77" s="78" t="s">
        <v>324</v>
      </c>
      <c r="C77" s="80" t="str">
        <f t="shared" si="12"/>
        <v>NGWR18M40BT</v>
      </c>
      <c r="D77" s="78" t="e">
        <f>VLOOKUP(C77,'[1]NGWR18W-DATA'!$AC$3:$AD$3,2,0)</f>
        <v>#N/A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 t="s">
        <v>256</v>
      </c>
      <c r="L77" s="78" t="s">
        <v>293</v>
      </c>
      <c r="M77" s="78" t="s">
        <v>288</v>
      </c>
      <c r="N77" s="78" t="s">
        <v>253</v>
      </c>
      <c r="O77" s="78" t="s">
        <v>270</v>
      </c>
      <c r="P77" s="78" t="s">
        <v>260</v>
      </c>
      <c r="R77" s="79" t="str">
        <f t="shared" si="13"/>
        <v>NG</v>
      </c>
      <c r="S77" s="79" t="str">
        <f t="shared" si="14"/>
        <v>WR</v>
      </c>
      <c r="T77" s="79" t="str">
        <f t="shared" si="15"/>
        <v>18</v>
      </c>
      <c r="U77" s="79" t="str">
        <f t="shared" si="16"/>
        <v>M</v>
      </c>
      <c r="V77" s="79" t="str">
        <f t="shared" si="17"/>
        <v>40BT</v>
      </c>
    </row>
    <row r="78" spans="1:22">
      <c r="A78" s="78">
        <v>187065</v>
      </c>
      <c r="B78" s="78" t="s">
        <v>323</v>
      </c>
      <c r="C78" s="80" t="str">
        <f t="shared" si="12"/>
        <v>NGWT18M40BT</v>
      </c>
      <c r="D78" s="78" t="e">
        <f>VLOOKUP(C78,'[1]NGWR18W-DATA'!$AC$3:$AD$3,2,0)</f>
        <v>#N/A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 t="s">
        <v>256</v>
      </c>
      <c r="L78" s="78" t="s">
        <v>293</v>
      </c>
      <c r="M78" s="78" t="s">
        <v>288</v>
      </c>
      <c r="N78" s="78" t="s">
        <v>253</v>
      </c>
      <c r="O78" s="78" t="s">
        <v>270</v>
      </c>
      <c r="P78" s="78" t="s">
        <v>258</v>
      </c>
      <c r="R78" s="79" t="str">
        <f t="shared" si="13"/>
        <v>NG</v>
      </c>
      <c r="S78" s="79" t="str">
        <f t="shared" si="14"/>
        <v>WT</v>
      </c>
      <c r="T78" s="79" t="str">
        <f t="shared" si="15"/>
        <v>18</v>
      </c>
      <c r="U78" s="79" t="str">
        <f t="shared" si="16"/>
        <v>M</v>
      </c>
      <c r="V78" s="79" t="str">
        <f t="shared" si="17"/>
        <v>40BT</v>
      </c>
    </row>
    <row r="79" spans="1:22">
      <c r="A79" s="78">
        <v>187066</v>
      </c>
      <c r="B79" s="78" t="s">
        <v>322</v>
      </c>
      <c r="C79" s="80" t="str">
        <f t="shared" si="12"/>
        <v>NGWB18M40BT</v>
      </c>
      <c r="D79" s="78" t="e">
        <f>VLOOKUP(C79,'[1]NGWR18W-DATA'!$AC$3:$AD$3,2,0)</f>
        <v>#N/A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 t="s">
        <v>256</v>
      </c>
      <c r="L79" s="78" t="s">
        <v>293</v>
      </c>
      <c r="M79" s="78" t="s">
        <v>288</v>
      </c>
      <c r="N79" s="78" t="s">
        <v>253</v>
      </c>
      <c r="O79" s="78" t="s">
        <v>270</v>
      </c>
      <c r="P79" s="78" t="s">
        <v>251</v>
      </c>
      <c r="R79" s="79" t="str">
        <f t="shared" si="13"/>
        <v>NG</v>
      </c>
      <c r="S79" s="79" t="str">
        <f t="shared" si="14"/>
        <v>WB</v>
      </c>
      <c r="T79" s="79" t="str">
        <f t="shared" si="15"/>
        <v>18</v>
      </c>
      <c r="U79" s="79" t="str">
        <f t="shared" si="16"/>
        <v>M</v>
      </c>
      <c r="V79" s="79" t="str">
        <f t="shared" si="17"/>
        <v>40BT</v>
      </c>
    </row>
    <row r="80" spans="1:22">
      <c r="A80" s="78">
        <v>187067</v>
      </c>
      <c r="B80" s="78" t="s">
        <v>321</v>
      </c>
      <c r="C80" s="80" t="str">
        <f t="shared" si="12"/>
        <v>NGWR18M60BT</v>
      </c>
      <c r="D80" s="78" t="e">
        <f>VLOOKUP(C80,'[1]NGWR18W-DATA'!$AC$3:$AD$3,2,0)</f>
        <v>#N/A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 t="s">
        <v>256</v>
      </c>
      <c r="L80" s="78" t="s">
        <v>289</v>
      </c>
      <c r="M80" s="78" t="s">
        <v>288</v>
      </c>
      <c r="N80" s="78" t="s">
        <v>253</v>
      </c>
      <c r="O80" s="78" t="s">
        <v>270</v>
      </c>
      <c r="P80" s="78" t="s">
        <v>260</v>
      </c>
      <c r="R80" s="79" t="str">
        <f t="shared" si="13"/>
        <v>NG</v>
      </c>
      <c r="S80" s="79" t="str">
        <f t="shared" si="14"/>
        <v>WR</v>
      </c>
      <c r="T80" s="79" t="str">
        <f t="shared" si="15"/>
        <v>18</v>
      </c>
      <c r="U80" s="79" t="str">
        <f t="shared" si="16"/>
        <v>M</v>
      </c>
      <c r="V80" s="79" t="str">
        <f t="shared" si="17"/>
        <v>60BT</v>
      </c>
    </row>
    <row r="81" spans="1:22">
      <c r="A81" s="78">
        <v>187068</v>
      </c>
      <c r="B81" s="78" t="s">
        <v>320</v>
      </c>
      <c r="C81" s="80" t="str">
        <f t="shared" si="12"/>
        <v>NGWT18M60BT</v>
      </c>
      <c r="D81" s="78" t="e">
        <f>VLOOKUP(C81,'[1]NGWR18W-DATA'!$AC$3:$AD$3,2,0)</f>
        <v>#N/A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 t="s">
        <v>256</v>
      </c>
      <c r="L81" s="78" t="s">
        <v>289</v>
      </c>
      <c r="M81" s="78" t="s">
        <v>288</v>
      </c>
      <c r="N81" s="78" t="s">
        <v>253</v>
      </c>
      <c r="O81" s="78" t="s">
        <v>270</v>
      </c>
      <c r="P81" s="78" t="s">
        <v>258</v>
      </c>
      <c r="R81" s="79" t="str">
        <f t="shared" si="13"/>
        <v>NG</v>
      </c>
      <c r="S81" s="79" t="str">
        <f t="shared" si="14"/>
        <v>WT</v>
      </c>
      <c r="T81" s="79" t="str">
        <f t="shared" si="15"/>
        <v>18</v>
      </c>
      <c r="U81" s="79" t="str">
        <f t="shared" si="16"/>
        <v>M</v>
      </c>
      <c r="V81" s="79" t="str">
        <f t="shared" si="17"/>
        <v>60BT</v>
      </c>
    </row>
    <row r="82" spans="1:22">
      <c r="A82" s="78">
        <v>187069</v>
      </c>
      <c r="B82" s="78" t="s">
        <v>319</v>
      </c>
      <c r="C82" s="80" t="str">
        <f t="shared" si="12"/>
        <v>NGWB18M60BT</v>
      </c>
      <c r="D82" s="78" t="e">
        <f>VLOOKUP(C82,'[1]NGWR18W-DATA'!$AC$3:$AD$3,2,0)</f>
        <v>#N/A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 t="s">
        <v>256</v>
      </c>
      <c r="L82" s="78" t="s">
        <v>289</v>
      </c>
      <c r="M82" s="78" t="s">
        <v>288</v>
      </c>
      <c r="N82" s="78" t="s">
        <v>253</v>
      </c>
      <c r="O82" s="78" t="s">
        <v>270</v>
      </c>
      <c r="P82" s="78" t="s">
        <v>251</v>
      </c>
      <c r="R82" s="79" t="str">
        <f t="shared" si="13"/>
        <v>NG</v>
      </c>
      <c r="S82" s="79" t="str">
        <f t="shared" si="14"/>
        <v>WB</v>
      </c>
      <c r="T82" s="79" t="str">
        <f t="shared" si="15"/>
        <v>18</v>
      </c>
      <c r="U82" s="79" t="str">
        <f t="shared" si="16"/>
        <v>M</v>
      </c>
      <c r="V82" s="79" t="str">
        <f t="shared" si="17"/>
        <v>60BT</v>
      </c>
    </row>
    <row r="83" spans="1:22">
      <c r="A83" s="78">
        <v>187079</v>
      </c>
      <c r="B83" s="78" t="s">
        <v>318</v>
      </c>
      <c r="C83" s="80" t="str">
        <f t="shared" si="12"/>
        <v>NGBR18M30BT</v>
      </c>
      <c r="D83" s="78" t="e">
        <f>VLOOKUP(C83,'[1]NGWR18W-DATA'!$AC$3:$AD$3,2,0)</f>
        <v>#N/A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 t="s">
        <v>256</v>
      </c>
      <c r="L83" s="78" t="s">
        <v>297</v>
      </c>
      <c r="M83" s="78" t="s">
        <v>288</v>
      </c>
      <c r="N83" s="78" t="s">
        <v>253</v>
      </c>
      <c r="O83" s="78" t="s">
        <v>266</v>
      </c>
      <c r="P83" s="78" t="s">
        <v>260</v>
      </c>
      <c r="R83" s="79" t="str">
        <f t="shared" si="13"/>
        <v>NG</v>
      </c>
      <c r="S83" s="79" t="str">
        <f t="shared" si="14"/>
        <v>BR</v>
      </c>
      <c r="T83" s="79" t="str">
        <f t="shared" si="15"/>
        <v>18</v>
      </c>
      <c r="U83" s="79" t="str">
        <f t="shared" si="16"/>
        <v>M</v>
      </c>
      <c r="V83" s="79" t="str">
        <f t="shared" si="17"/>
        <v>30BT</v>
      </c>
    </row>
    <row r="84" spans="1:22">
      <c r="A84" s="78">
        <v>187080</v>
      </c>
      <c r="B84" s="78" t="s">
        <v>317</v>
      </c>
      <c r="C84" s="80" t="str">
        <f t="shared" si="12"/>
        <v>NGBT18M30BT</v>
      </c>
      <c r="D84" s="78" t="e">
        <f>VLOOKUP(C84,'[1]NGWR18W-DATA'!$AC$3:$AD$3,2,0)</f>
        <v>#N/A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 t="s">
        <v>256</v>
      </c>
      <c r="L84" s="78" t="s">
        <v>297</v>
      </c>
      <c r="M84" s="78" t="s">
        <v>288</v>
      </c>
      <c r="N84" s="78" t="s">
        <v>253</v>
      </c>
      <c r="O84" s="78" t="s">
        <v>266</v>
      </c>
      <c r="P84" s="78" t="s">
        <v>258</v>
      </c>
      <c r="R84" s="79" t="str">
        <f t="shared" si="13"/>
        <v>NG</v>
      </c>
      <c r="S84" s="79" t="str">
        <f t="shared" si="14"/>
        <v>BT</v>
      </c>
      <c r="T84" s="79" t="str">
        <f t="shared" si="15"/>
        <v>18</v>
      </c>
      <c r="U84" s="79" t="str">
        <f t="shared" si="16"/>
        <v>M</v>
      </c>
      <c r="V84" s="79" t="str">
        <f t="shared" si="17"/>
        <v>30BT</v>
      </c>
    </row>
    <row r="85" spans="1:22">
      <c r="A85" s="78">
        <v>187081</v>
      </c>
      <c r="B85" s="78" t="s">
        <v>316</v>
      </c>
      <c r="C85" s="80" t="str">
        <f t="shared" si="12"/>
        <v>NGBB18M30BT</v>
      </c>
      <c r="D85" s="78" t="e">
        <f>VLOOKUP(C85,'[1]NGWR18W-DATA'!$AC$3:$AD$3,2,0)</f>
        <v>#N/A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 t="s">
        <v>256</v>
      </c>
      <c r="L85" s="78" t="s">
        <v>297</v>
      </c>
      <c r="M85" s="78" t="s">
        <v>288</v>
      </c>
      <c r="N85" s="78" t="s">
        <v>253</v>
      </c>
      <c r="O85" s="78" t="s">
        <v>266</v>
      </c>
      <c r="P85" s="78" t="s">
        <v>251</v>
      </c>
      <c r="R85" s="79" t="str">
        <f t="shared" si="13"/>
        <v>NG</v>
      </c>
      <c r="S85" s="79" t="str">
        <f t="shared" si="14"/>
        <v>BB</v>
      </c>
      <c r="T85" s="79" t="str">
        <f t="shared" si="15"/>
        <v>18</v>
      </c>
      <c r="U85" s="79" t="str">
        <f t="shared" si="16"/>
        <v>M</v>
      </c>
      <c r="V85" s="79" t="str">
        <f t="shared" si="17"/>
        <v>30BT</v>
      </c>
    </row>
    <row r="86" spans="1:22">
      <c r="A86" s="78">
        <v>187082</v>
      </c>
      <c r="B86" s="78" t="s">
        <v>315</v>
      </c>
      <c r="C86" s="80" t="str">
        <f t="shared" si="12"/>
        <v>NGBR18M40BT</v>
      </c>
      <c r="D86" s="78" t="e">
        <f>VLOOKUP(C86,'[1]NGWR18W-DATA'!$AC$3:$AD$3,2,0)</f>
        <v>#N/A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 t="s">
        <v>256</v>
      </c>
      <c r="L86" s="78" t="s">
        <v>293</v>
      </c>
      <c r="M86" s="78" t="s">
        <v>288</v>
      </c>
      <c r="N86" s="78" t="s">
        <v>253</v>
      </c>
      <c r="O86" s="78" t="s">
        <v>266</v>
      </c>
      <c r="P86" s="78" t="s">
        <v>260</v>
      </c>
      <c r="R86" s="79" t="str">
        <f t="shared" si="13"/>
        <v>NG</v>
      </c>
      <c r="S86" s="79" t="str">
        <f t="shared" si="14"/>
        <v>BR</v>
      </c>
      <c r="T86" s="79" t="str">
        <f t="shared" si="15"/>
        <v>18</v>
      </c>
      <c r="U86" s="79" t="str">
        <f t="shared" si="16"/>
        <v>M</v>
      </c>
      <c r="V86" s="79" t="str">
        <f t="shared" si="17"/>
        <v>40BT</v>
      </c>
    </row>
    <row r="87" spans="1:22">
      <c r="A87" s="78">
        <v>187083</v>
      </c>
      <c r="B87" s="78" t="s">
        <v>314</v>
      </c>
      <c r="C87" s="80" t="str">
        <f t="shared" si="12"/>
        <v>NGBT18M40BT</v>
      </c>
      <c r="D87" s="78" t="e">
        <f>VLOOKUP(C87,'[1]NGWR18W-DATA'!$AC$3:$AD$3,2,0)</f>
        <v>#N/A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 t="s">
        <v>256</v>
      </c>
      <c r="L87" s="78" t="s">
        <v>293</v>
      </c>
      <c r="M87" s="78" t="s">
        <v>288</v>
      </c>
      <c r="N87" s="78" t="s">
        <v>253</v>
      </c>
      <c r="O87" s="78" t="s">
        <v>266</v>
      </c>
      <c r="P87" s="78" t="s">
        <v>258</v>
      </c>
      <c r="R87" s="79" t="str">
        <f t="shared" si="13"/>
        <v>NG</v>
      </c>
      <c r="S87" s="79" t="str">
        <f t="shared" si="14"/>
        <v>BT</v>
      </c>
      <c r="T87" s="79" t="str">
        <f t="shared" si="15"/>
        <v>18</v>
      </c>
      <c r="U87" s="79" t="str">
        <f t="shared" si="16"/>
        <v>M</v>
      </c>
      <c r="V87" s="79" t="str">
        <f t="shared" si="17"/>
        <v>40BT</v>
      </c>
    </row>
    <row r="88" spans="1:22">
      <c r="A88" s="78">
        <v>187084</v>
      </c>
      <c r="B88" s="78" t="s">
        <v>313</v>
      </c>
      <c r="C88" s="80" t="str">
        <f t="shared" si="12"/>
        <v>NGBB18M40BT</v>
      </c>
      <c r="D88" s="78" t="e">
        <f>VLOOKUP(C88,'[1]NGWR18W-DATA'!$AC$3:$AD$3,2,0)</f>
        <v>#N/A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 t="s">
        <v>256</v>
      </c>
      <c r="L88" s="78" t="s">
        <v>293</v>
      </c>
      <c r="M88" s="78" t="s">
        <v>288</v>
      </c>
      <c r="N88" s="78" t="s">
        <v>253</v>
      </c>
      <c r="O88" s="78" t="s">
        <v>266</v>
      </c>
      <c r="P88" s="78" t="s">
        <v>251</v>
      </c>
      <c r="R88" s="79" t="str">
        <f t="shared" si="13"/>
        <v>NG</v>
      </c>
      <c r="S88" s="79" t="str">
        <f t="shared" si="14"/>
        <v>BB</v>
      </c>
      <c r="T88" s="79" t="str">
        <f t="shared" si="15"/>
        <v>18</v>
      </c>
      <c r="U88" s="79" t="str">
        <f t="shared" si="16"/>
        <v>M</v>
      </c>
      <c r="V88" s="79" t="str">
        <f t="shared" si="17"/>
        <v>40BT</v>
      </c>
    </row>
    <row r="89" spans="1:22">
      <c r="A89" s="78">
        <v>187085</v>
      </c>
      <c r="B89" s="78" t="s">
        <v>312</v>
      </c>
      <c r="C89" s="80" t="str">
        <f t="shared" si="12"/>
        <v>NGBR18M60BT</v>
      </c>
      <c r="D89" s="78" t="e">
        <f>VLOOKUP(C89,'[1]NGWR18W-DATA'!$AC$3:$AD$3,2,0)</f>
        <v>#N/A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 t="s">
        <v>256</v>
      </c>
      <c r="L89" s="78" t="s">
        <v>289</v>
      </c>
      <c r="M89" s="78" t="s">
        <v>288</v>
      </c>
      <c r="N89" s="78" t="s">
        <v>253</v>
      </c>
      <c r="O89" s="78" t="s">
        <v>266</v>
      </c>
      <c r="P89" s="78" t="s">
        <v>260</v>
      </c>
      <c r="R89" s="79" t="str">
        <f t="shared" si="13"/>
        <v>NG</v>
      </c>
      <c r="S89" s="79" t="str">
        <f t="shared" si="14"/>
        <v>BR</v>
      </c>
      <c r="T89" s="79" t="str">
        <f t="shared" si="15"/>
        <v>18</v>
      </c>
      <c r="U89" s="79" t="str">
        <f t="shared" si="16"/>
        <v>M</v>
      </c>
      <c r="V89" s="79" t="str">
        <f t="shared" si="17"/>
        <v>60BT</v>
      </c>
    </row>
    <row r="90" spans="1:22">
      <c r="A90" s="78">
        <v>187086</v>
      </c>
      <c r="B90" s="78" t="s">
        <v>311</v>
      </c>
      <c r="C90" s="80" t="str">
        <f t="shared" si="12"/>
        <v>NGBT18M60BT</v>
      </c>
      <c r="D90" s="78" t="e">
        <f>VLOOKUP(C90,'[1]NGWR18W-DATA'!$AC$3:$AD$3,2,0)</f>
        <v>#N/A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 t="s">
        <v>256</v>
      </c>
      <c r="L90" s="78" t="s">
        <v>289</v>
      </c>
      <c r="M90" s="78" t="s">
        <v>288</v>
      </c>
      <c r="N90" s="78" t="s">
        <v>253</v>
      </c>
      <c r="O90" s="78" t="s">
        <v>266</v>
      </c>
      <c r="P90" s="78" t="s">
        <v>258</v>
      </c>
      <c r="R90" s="79" t="str">
        <f t="shared" si="13"/>
        <v>NG</v>
      </c>
      <c r="S90" s="79" t="str">
        <f t="shared" si="14"/>
        <v>BT</v>
      </c>
      <c r="T90" s="79" t="str">
        <f t="shared" si="15"/>
        <v>18</v>
      </c>
      <c r="U90" s="79" t="str">
        <f t="shared" si="16"/>
        <v>M</v>
      </c>
      <c r="V90" s="79" t="str">
        <f t="shared" si="17"/>
        <v>60BT</v>
      </c>
    </row>
    <row r="91" spans="1:22">
      <c r="A91" s="78">
        <v>187087</v>
      </c>
      <c r="B91" s="78" t="s">
        <v>310</v>
      </c>
      <c r="C91" s="80" t="str">
        <f t="shared" si="12"/>
        <v>NGBB18M60BT</v>
      </c>
      <c r="D91" s="78" t="e">
        <f>VLOOKUP(C91,'[1]NGWR18W-DATA'!$AC$3:$AD$3,2,0)</f>
        <v>#N/A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 t="s">
        <v>256</v>
      </c>
      <c r="L91" s="78" t="s">
        <v>289</v>
      </c>
      <c r="M91" s="78" t="s">
        <v>288</v>
      </c>
      <c r="N91" s="78" t="s">
        <v>253</v>
      </c>
      <c r="O91" s="78" t="s">
        <v>266</v>
      </c>
      <c r="P91" s="78" t="s">
        <v>251</v>
      </c>
      <c r="R91" s="79" t="str">
        <f t="shared" si="13"/>
        <v>NG</v>
      </c>
      <c r="S91" s="79" t="str">
        <f t="shared" si="14"/>
        <v>BB</v>
      </c>
      <c r="T91" s="79" t="str">
        <f t="shared" si="15"/>
        <v>18</v>
      </c>
      <c r="U91" s="79" t="str">
        <f t="shared" si="16"/>
        <v>M</v>
      </c>
      <c r="V91" s="79" t="str">
        <f t="shared" si="17"/>
        <v>60BT</v>
      </c>
    </row>
    <row r="92" spans="1:22">
      <c r="A92" s="78">
        <v>187097</v>
      </c>
      <c r="B92" s="78" t="s">
        <v>309</v>
      </c>
      <c r="C92" s="80" t="str">
        <f t="shared" si="12"/>
        <v>NGAR18M30BT</v>
      </c>
      <c r="D92" s="78" t="e">
        <f>VLOOKUP(C92,'[1]NGWR18W-DATA'!$AC$3:$AD$3,2,0)</f>
        <v>#N/A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 t="s">
        <v>256</v>
      </c>
      <c r="L92" s="78" t="s">
        <v>297</v>
      </c>
      <c r="M92" s="78" t="s">
        <v>288</v>
      </c>
      <c r="N92" s="78" t="s">
        <v>253</v>
      </c>
      <c r="O92" s="78" t="s">
        <v>262</v>
      </c>
      <c r="P92" s="78" t="s">
        <v>260</v>
      </c>
      <c r="R92" s="79" t="str">
        <f t="shared" si="13"/>
        <v>NG</v>
      </c>
      <c r="S92" s="79" t="str">
        <f t="shared" si="14"/>
        <v>AR</v>
      </c>
      <c r="T92" s="79" t="str">
        <f t="shared" si="15"/>
        <v>18</v>
      </c>
      <c r="U92" s="79" t="str">
        <f t="shared" si="16"/>
        <v>M</v>
      </c>
      <c r="V92" s="79" t="str">
        <f t="shared" si="17"/>
        <v>30BT</v>
      </c>
    </row>
    <row r="93" spans="1:22">
      <c r="A93" s="78">
        <v>187098</v>
      </c>
      <c r="B93" s="78" t="s">
        <v>308</v>
      </c>
      <c r="C93" s="80" t="str">
        <f t="shared" si="12"/>
        <v>NGAT18M30BT</v>
      </c>
      <c r="D93" s="78" t="e">
        <f>VLOOKUP(C93,'[1]NGWR18W-DATA'!$AC$3:$AD$3,2,0)</f>
        <v>#N/A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 t="s">
        <v>256</v>
      </c>
      <c r="L93" s="78" t="s">
        <v>297</v>
      </c>
      <c r="M93" s="78" t="s">
        <v>288</v>
      </c>
      <c r="N93" s="78" t="s">
        <v>253</v>
      </c>
      <c r="O93" s="78" t="s">
        <v>262</v>
      </c>
      <c r="P93" s="78" t="s">
        <v>258</v>
      </c>
      <c r="R93" s="79" t="str">
        <f t="shared" si="13"/>
        <v>NG</v>
      </c>
      <c r="S93" s="79" t="str">
        <f t="shared" si="14"/>
        <v>AT</v>
      </c>
      <c r="T93" s="79" t="str">
        <f t="shared" si="15"/>
        <v>18</v>
      </c>
      <c r="U93" s="79" t="str">
        <f t="shared" si="16"/>
        <v>M</v>
      </c>
      <c r="V93" s="79" t="str">
        <f t="shared" si="17"/>
        <v>30BT</v>
      </c>
    </row>
    <row r="94" spans="1:22">
      <c r="A94" s="78">
        <v>187099</v>
      </c>
      <c r="B94" s="78" t="s">
        <v>307</v>
      </c>
      <c r="C94" s="80" t="str">
        <f t="shared" si="12"/>
        <v>NGAB18M30BT</v>
      </c>
      <c r="D94" s="78" t="e">
        <f>VLOOKUP(C94,'[1]NGWR18W-DATA'!$AC$3:$AD$3,2,0)</f>
        <v>#N/A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 t="s">
        <v>256</v>
      </c>
      <c r="L94" s="78" t="s">
        <v>297</v>
      </c>
      <c r="M94" s="78" t="s">
        <v>288</v>
      </c>
      <c r="N94" s="78" t="s">
        <v>253</v>
      </c>
      <c r="O94" s="78" t="s">
        <v>262</v>
      </c>
      <c r="P94" s="78" t="s">
        <v>251</v>
      </c>
      <c r="R94" s="79" t="str">
        <f t="shared" si="13"/>
        <v>NG</v>
      </c>
      <c r="S94" s="79" t="str">
        <f t="shared" si="14"/>
        <v>AB</v>
      </c>
      <c r="T94" s="79" t="str">
        <f t="shared" si="15"/>
        <v>18</v>
      </c>
      <c r="U94" s="79" t="str">
        <f t="shared" si="16"/>
        <v>M</v>
      </c>
      <c r="V94" s="79" t="str">
        <f t="shared" si="17"/>
        <v>30BT</v>
      </c>
    </row>
    <row r="95" spans="1:22">
      <c r="A95" s="78">
        <v>187100</v>
      </c>
      <c r="B95" s="78" t="s">
        <v>306</v>
      </c>
      <c r="C95" s="80" t="str">
        <f t="shared" si="12"/>
        <v>NGAR18M40BT</v>
      </c>
      <c r="D95" s="78" t="e">
        <f>VLOOKUP(C95,'[1]NGWR18W-DATA'!$AC$3:$AD$3,2,0)</f>
        <v>#N/A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 t="s">
        <v>256</v>
      </c>
      <c r="L95" s="78" t="s">
        <v>293</v>
      </c>
      <c r="M95" s="78" t="s">
        <v>288</v>
      </c>
      <c r="N95" s="78" t="s">
        <v>253</v>
      </c>
      <c r="O95" s="78" t="s">
        <v>262</v>
      </c>
      <c r="P95" s="78" t="s">
        <v>260</v>
      </c>
      <c r="R95" s="79" t="str">
        <f t="shared" si="13"/>
        <v>NG</v>
      </c>
      <c r="S95" s="79" t="str">
        <f t="shared" si="14"/>
        <v>AR</v>
      </c>
      <c r="T95" s="79" t="str">
        <f t="shared" si="15"/>
        <v>18</v>
      </c>
      <c r="U95" s="79" t="str">
        <f t="shared" si="16"/>
        <v>M</v>
      </c>
      <c r="V95" s="79" t="str">
        <f t="shared" si="17"/>
        <v>40BT</v>
      </c>
    </row>
    <row r="96" spans="1:22">
      <c r="A96" s="78">
        <v>187101</v>
      </c>
      <c r="B96" s="78" t="s">
        <v>305</v>
      </c>
      <c r="C96" s="80" t="str">
        <f t="shared" si="12"/>
        <v>NGAT18M40BT</v>
      </c>
      <c r="D96" s="78" t="e">
        <f>VLOOKUP(C96,'[1]NGWR18W-DATA'!$AC$3:$AD$3,2,0)</f>
        <v>#N/A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 t="s">
        <v>256</v>
      </c>
      <c r="L96" s="78" t="s">
        <v>293</v>
      </c>
      <c r="M96" s="78" t="s">
        <v>288</v>
      </c>
      <c r="N96" s="78" t="s">
        <v>253</v>
      </c>
      <c r="O96" s="78" t="s">
        <v>262</v>
      </c>
      <c r="P96" s="78" t="s">
        <v>258</v>
      </c>
      <c r="R96" s="79" t="str">
        <f t="shared" si="13"/>
        <v>NG</v>
      </c>
      <c r="S96" s="79" t="str">
        <f t="shared" si="14"/>
        <v>AT</v>
      </c>
      <c r="T96" s="79" t="str">
        <f t="shared" si="15"/>
        <v>18</v>
      </c>
      <c r="U96" s="79" t="str">
        <f t="shared" si="16"/>
        <v>M</v>
      </c>
      <c r="V96" s="79" t="str">
        <f t="shared" si="17"/>
        <v>40BT</v>
      </c>
    </row>
    <row r="97" spans="1:22">
      <c r="A97" s="78">
        <v>187102</v>
      </c>
      <c r="B97" s="78" t="s">
        <v>304</v>
      </c>
      <c r="C97" s="80" t="str">
        <f t="shared" si="12"/>
        <v>NGAB18M40BT</v>
      </c>
      <c r="D97" s="78" t="e">
        <f>VLOOKUP(C97,'[1]NGWR18W-DATA'!$AC$3:$AD$3,2,0)</f>
        <v>#N/A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 t="s">
        <v>256</v>
      </c>
      <c r="L97" s="78" t="s">
        <v>293</v>
      </c>
      <c r="M97" s="78" t="s">
        <v>288</v>
      </c>
      <c r="N97" s="78" t="s">
        <v>253</v>
      </c>
      <c r="O97" s="78" t="s">
        <v>262</v>
      </c>
      <c r="P97" s="78" t="s">
        <v>251</v>
      </c>
      <c r="R97" s="79" t="str">
        <f t="shared" si="13"/>
        <v>NG</v>
      </c>
      <c r="S97" s="79" t="str">
        <f t="shared" si="14"/>
        <v>AB</v>
      </c>
      <c r="T97" s="79" t="str">
        <f t="shared" si="15"/>
        <v>18</v>
      </c>
      <c r="U97" s="79" t="str">
        <f t="shared" si="16"/>
        <v>M</v>
      </c>
      <c r="V97" s="79" t="str">
        <f t="shared" si="17"/>
        <v>40BT</v>
      </c>
    </row>
    <row r="98" spans="1:22">
      <c r="A98" s="78">
        <v>187103</v>
      </c>
      <c r="B98" s="78" t="s">
        <v>303</v>
      </c>
      <c r="C98" s="80" t="str">
        <f t="shared" ref="C98:C133" si="18">CONCATENATE(R98,S98,T98,U98,V98)</f>
        <v>NGAR18M60BT</v>
      </c>
      <c r="D98" s="78" t="e">
        <f>VLOOKUP(C98,'[1]NGWR18W-DATA'!$AC$3:$AD$3,2,0)</f>
        <v>#N/A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 t="s">
        <v>256</v>
      </c>
      <c r="L98" s="78" t="s">
        <v>289</v>
      </c>
      <c r="M98" s="78" t="s">
        <v>288</v>
      </c>
      <c r="N98" s="78" t="s">
        <v>253</v>
      </c>
      <c r="O98" s="78" t="s">
        <v>262</v>
      </c>
      <c r="P98" s="78" t="s">
        <v>260</v>
      </c>
      <c r="R98" s="79" t="str">
        <f t="shared" ref="R98:R133" si="19">MID(B98,1,2)</f>
        <v>NG</v>
      </c>
      <c r="S98" s="79" t="str">
        <f t="shared" ref="S98:S133" si="20">MID(B98,6,2)</f>
        <v>AR</v>
      </c>
      <c r="T98" s="79" t="str">
        <f t="shared" ref="T98:T133" si="21">MID(B98,4,2)</f>
        <v>18</v>
      </c>
      <c r="U98" s="79" t="str">
        <f t="shared" ref="U98:U133" si="22">MID(B98,8,1)</f>
        <v>M</v>
      </c>
      <c r="V98" s="79" t="str">
        <f t="shared" si="17"/>
        <v>60BT</v>
      </c>
    </row>
    <row r="99" spans="1:22">
      <c r="A99" s="78">
        <v>187104</v>
      </c>
      <c r="B99" s="78" t="s">
        <v>302</v>
      </c>
      <c r="C99" s="80" t="str">
        <f t="shared" si="18"/>
        <v>NGAT18M60BT</v>
      </c>
      <c r="D99" s="78" t="e">
        <f>VLOOKUP(C99,'[1]NGWR18W-DATA'!$AC$3:$AD$3,2,0)</f>
        <v>#N/A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 t="s">
        <v>256</v>
      </c>
      <c r="L99" s="78" t="s">
        <v>289</v>
      </c>
      <c r="M99" s="78" t="s">
        <v>288</v>
      </c>
      <c r="N99" s="78" t="s">
        <v>253</v>
      </c>
      <c r="O99" s="78" t="s">
        <v>262</v>
      </c>
      <c r="P99" s="78" t="s">
        <v>258</v>
      </c>
      <c r="R99" s="79" t="str">
        <f t="shared" si="19"/>
        <v>NG</v>
      </c>
      <c r="S99" s="79" t="str">
        <f t="shared" si="20"/>
        <v>AT</v>
      </c>
      <c r="T99" s="79" t="str">
        <f t="shared" si="21"/>
        <v>18</v>
      </c>
      <c r="U99" s="79" t="str">
        <f t="shared" si="22"/>
        <v>M</v>
      </c>
      <c r="V99" s="79" t="str">
        <f t="shared" si="17"/>
        <v>60BT</v>
      </c>
    </row>
    <row r="100" spans="1:22">
      <c r="A100" s="78">
        <v>187105</v>
      </c>
      <c r="B100" s="78" t="s">
        <v>301</v>
      </c>
      <c r="C100" s="80" t="str">
        <f t="shared" si="18"/>
        <v>NGAB18M60BT</v>
      </c>
      <c r="D100" s="78" t="e">
        <f>VLOOKUP(C100,'[1]NGWR18W-DATA'!$AC$3:$AD$3,2,0)</f>
        <v>#N/A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 t="s">
        <v>256</v>
      </c>
      <c r="L100" s="78" t="s">
        <v>289</v>
      </c>
      <c r="M100" s="78" t="s">
        <v>288</v>
      </c>
      <c r="N100" s="78" t="s">
        <v>253</v>
      </c>
      <c r="O100" s="78" t="s">
        <v>262</v>
      </c>
      <c r="P100" s="78" t="s">
        <v>251</v>
      </c>
      <c r="R100" s="79" t="str">
        <f t="shared" si="19"/>
        <v>NG</v>
      </c>
      <c r="S100" s="79" t="str">
        <f t="shared" si="20"/>
        <v>AB</v>
      </c>
      <c r="T100" s="79" t="str">
        <f t="shared" si="21"/>
        <v>18</v>
      </c>
      <c r="U100" s="79" t="str">
        <f t="shared" si="22"/>
        <v>M</v>
      </c>
      <c r="V100" s="79" t="str">
        <f t="shared" si="17"/>
        <v>60BT</v>
      </c>
    </row>
    <row r="101" spans="1:22">
      <c r="A101" s="78">
        <v>187115</v>
      </c>
      <c r="B101" s="78" t="s">
        <v>300</v>
      </c>
      <c r="C101" s="80" t="str">
        <f t="shared" si="18"/>
        <v>NGCR18M30BT</v>
      </c>
      <c r="D101" s="78" t="e">
        <f>VLOOKUP(C101,'[1]NGWR18W-DATA'!$AC$3:$AD$3,2,0)</f>
        <v>#N/A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 t="s">
        <v>256</v>
      </c>
      <c r="L101" s="78" t="s">
        <v>297</v>
      </c>
      <c r="M101" s="78" t="s">
        <v>288</v>
      </c>
      <c r="N101" s="78" t="s">
        <v>253</v>
      </c>
      <c r="O101" s="78" t="s">
        <v>252</v>
      </c>
      <c r="P101" s="78" t="s">
        <v>260</v>
      </c>
      <c r="R101" s="79" t="str">
        <f t="shared" si="19"/>
        <v>NG</v>
      </c>
      <c r="S101" s="79" t="str">
        <f t="shared" si="20"/>
        <v>CR</v>
      </c>
      <c r="T101" s="79" t="str">
        <f t="shared" si="21"/>
        <v>18</v>
      </c>
      <c r="U101" s="79" t="str">
        <f t="shared" si="22"/>
        <v>M</v>
      </c>
      <c r="V101" s="79" t="str">
        <f t="shared" si="17"/>
        <v>30BT</v>
      </c>
    </row>
    <row r="102" spans="1:22">
      <c r="A102" s="78">
        <v>187116</v>
      </c>
      <c r="B102" s="78" t="s">
        <v>299</v>
      </c>
      <c r="C102" s="80" t="str">
        <f t="shared" si="18"/>
        <v>NGCT18M30BT</v>
      </c>
      <c r="D102" s="78" t="e">
        <f>VLOOKUP(C102,'[1]NGWR18W-DATA'!$AC$3:$AD$3,2,0)</f>
        <v>#N/A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 t="s">
        <v>256</v>
      </c>
      <c r="L102" s="78" t="s">
        <v>297</v>
      </c>
      <c r="M102" s="78" t="s">
        <v>288</v>
      </c>
      <c r="N102" s="78" t="s">
        <v>253</v>
      </c>
      <c r="O102" s="78" t="s">
        <v>252</v>
      </c>
      <c r="P102" s="78" t="s">
        <v>258</v>
      </c>
      <c r="R102" s="79" t="str">
        <f t="shared" si="19"/>
        <v>NG</v>
      </c>
      <c r="S102" s="79" t="str">
        <f t="shared" si="20"/>
        <v>CT</v>
      </c>
      <c r="T102" s="79" t="str">
        <f t="shared" si="21"/>
        <v>18</v>
      </c>
      <c r="U102" s="79" t="str">
        <f t="shared" si="22"/>
        <v>M</v>
      </c>
      <c r="V102" s="79" t="str">
        <f t="shared" ref="V102:V133" si="23">MID(B102,9,5)</f>
        <v>30BT</v>
      </c>
    </row>
    <row r="103" spans="1:22">
      <c r="A103" s="78">
        <v>187117</v>
      </c>
      <c r="B103" s="78" t="s">
        <v>298</v>
      </c>
      <c r="C103" s="80" t="str">
        <f t="shared" si="18"/>
        <v>NGCB18M30BT</v>
      </c>
      <c r="D103" s="78" t="e">
        <f>VLOOKUP(C103,'[1]NGWR18W-DATA'!$AC$3:$AD$3,2,0)</f>
        <v>#N/A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 t="s">
        <v>256</v>
      </c>
      <c r="L103" s="78" t="s">
        <v>297</v>
      </c>
      <c r="M103" s="78" t="s">
        <v>288</v>
      </c>
      <c r="N103" s="78" t="s">
        <v>253</v>
      </c>
      <c r="O103" s="78" t="s">
        <v>252</v>
      </c>
      <c r="P103" s="78" t="s">
        <v>251</v>
      </c>
      <c r="R103" s="79" t="str">
        <f t="shared" si="19"/>
        <v>NG</v>
      </c>
      <c r="S103" s="79" t="str">
        <f t="shared" si="20"/>
        <v>CB</v>
      </c>
      <c r="T103" s="79" t="str">
        <f t="shared" si="21"/>
        <v>18</v>
      </c>
      <c r="U103" s="79" t="str">
        <f t="shared" si="22"/>
        <v>M</v>
      </c>
      <c r="V103" s="79" t="str">
        <f t="shared" si="23"/>
        <v>30BT</v>
      </c>
    </row>
    <row r="104" spans="1:22">
      <c r="A104" s="78">
        <v>187118</v>
      </c>
      <c r="B104" s="78" t="s">
        <v>296</v>
      </c>
      <c r="C104" s="80" t="str">
        <f t="shared" si="18"/>
        <v>NGCR18M40BT</v>
      </c>
      <c r="D104" s="78" t="e">
        <f>VLOOKUP(C104,'[1]NGWR18W-DATA'!$AC$3:$AD$3,2,0)</f>
        <v>#N/A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 t="s">
        <v>256</v>
      </c>
      <c r="L104" s="78" t="s">
        <v>293</v>
      </c>
      <c r="M104" s="78" t="s">
        <v>288</v>
      </c>
      <c r="N104" s="78" t="s">
        <v>253</v>
      </c>
      <c r="O104" s="78" t="s">
        <v>252</v>
      </c>
      <c r="P104" s="78" t="s">
        <v>260</v>
      </c>
      <c r="R104" s="79" t="str">
        <f t="shared" si="19"/>
        <v>NG</v>
      </c>
      <c r="S104" s="79" t="str">
        <f t="shared" si="20"/>
        <v>CR</v>
      </c>
      <c r="T104" s="79" t="str">
        <f t="shared" si="21"/>
        <v>18</v>
      </c>
      <c r="U104" s="79" t="str">
        <f t="shared" si="22"/>
        <v>M</v>
      </c>
      <c r="V104" s="79" t="str">
        <f t="shared" si="23"/>
        <v>40BT</v>
      </c>
    </row>
    <row r="105" spans="1:22">
      <c r="A105" s="78">
        <v>187119</v>
      </c>
      <c r="B105" s="78" t="s">
        <v>295</v>
      </c>
      <c r="C105" s="80" t="str">
        <f t="shared" si="18"/>
        <v>NGCT18M40BT</v>
      </c>
      <c r="D105" s="78" t="e">
        <f>VLOOKUP(C105,'[1]NGWR18W-DATA'!$AC$3:$AD$3,2,0)</f>
        <v>#N/A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 t="s">
        <v>256</v>
      </c>
      <c r="L105" s="78" t="s">
        <v>293</v>
      </c>
      <c r="M105" s="78" t="s">
        <v>288</v>
      </c>
      <c r="N105" s="78" t="s">
        <v>253</v>
      </c>
      <c r="O105" s="78" t="s">
        <v>252</v>
      </c>
      <c r="P105" s="78" t="s">
        <v>258</v>
      </c>
      <c r="R105" s="79" t="str">
        <f t="shared" si="19"/>
        <v>NG</v>
      </c>
      <c r="S105" s="79" t="str">
        <f t="shared" si="20"/>
        <v>CT</v>
      </c>
      <c r="T105" s="79" t="str">
        <f t="shared" si="21"/>
        <v>18</v>
      </c>
      <c r="U105" s="79" t="str">
        <f t="shared" si="22"/>
        <v>M</v>
      </c>
      <c r="V105" s="79" t="str">
        <f t="shared" si="23"/>
        <v>40BT</v>
      </c>
    </row>
    <row r="106" spans="1:22">
      <c r="A106" s="78">
        <v>187120</v>
      </c>
      <c r="B106" s="78" t="s">
        <v>294</v>
      </c>
      <c r="C106" s="80" t="str">
        <f t="shared" si="18"/>
        <v>NGCB18M40BT</v>
      </c>
      <c r="D106" s="78" t="e">
        <f>VLOOKUP(C106,'[1]NGWR18W-DATA'!$AC$3:$AD$3,2,0)</f>
        <v>#N/A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 t="s">
        <v>256</v>
      </c>
      <c r="L106" s="78" t="s">
        <v>293</v>
      </c>
      <c r="M106" s="78" t="s">
        <v>288</v>
      </c>
      <c r="N106" s="78" t="s">
        <v>253</v>
      </c>
      <c r="O106" s="78" t="s">
        <v>252</v>
      </c>
      <c r="P106" s="78" t="s">
        <v>251</v>
      </c>
      <c r="R106" s="79" t="str">
        <f t="shared" si="19"/>
        <v>NG</v>
      </c>
      <c r="S106" s="79" t="str">
        <f t="shared" si="20"/>
        <v>CB</v>
      </c>
      <c r="T106" s="79" t="str">
        <f t="shared" si="21"/>
        <v>18</v>
      </c>
      <c r="U106" s="79" t="str">
        <f t="shared" si="22"/>
        <v>M</v>
      </c>
      <c r="V106" s="79" t="str">
        <f t="shared" si="23"/>
        <v>40BT</v>
      </c>
    </row>
    <row r="107" spans="1:22">
      <c r="A107" s="78">
        <v>187121</v>
      </c>
      <c r="B107" s="78" t="s">
        <v>292</v>
      </c>
      <c r="C107" s="80" t="str">
        <f t="shared" si="18"/>
        <v>NGCR18M60BT</v>
      </c>
      <c r="D107" s="78" t="e">
        <f>VLOOKUP(C107,'[1]NGWR18W-DATA'!$AC$3:$AD$3,2,0)</f>
        <v>#N/A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 t="s">
        <v>256</v>
      </c>
      <c r="L107" s="78" t="s">
        <v>289</v>
      </c>
      <c r="M107" s="78" t="s">
        <v>288</v>
      </c>
      <c r="N107" s="78" t="s">
        <v>253</v>
      </c>
      <c r="O107" s="78" t="s">
        <v>252</v>
      </c>
      <c r="P107" s="78" t="s">
        <v>260</v>
      </c>
      <c r="R107" s="79" t="str">
        <f t="shared" si="19"/>
        <v>NG</v>
      </c>
      <c r="S107" s="79" t="str">
        <f t="shared" si="20"/>
        <v>CR</v>
      </c>
      <c r="T107" s="79" t="str">
        <f t="shared" si="21"/>
        <v>18</v>
      </c>
      <c r="U107" s="79" t="str">
        <f t="shared" si="22"/>
        <v>M</v>
      </c>
      <c r="V107" s="79" t="str">
        <f t="shared" si="23"/>
        <v>60BT</v>
      </c>
    </row>
    <row r="108" spans="1:22">
      <c r="A108" s="78">
        <v>187122</v>
      </c>
      <c r="B108" s="78" t="s">
        <v>291</v>
      </c>
      <c r="C108" s="80" t="str">
        <f t="shared" si="18"/>
        <v>NGCT18M60BT</v>
      </c>
      <c r="D108" s="78" t="e">
        <f>VLOOKUP(C108,'[1]NGWR18W-DATA'!$AC$3:$AD$3,2,0)</f>
        <v>#N/A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 t="s">
        <v>256</v>
      </c>
      <c r="L108" s="78" t="s">
        <v>289</v>
      </c>
      <c r="M108" s="78" t="s">
        <v>288</v>
      </c>
      <c r="N108" s="78" t="s">
        <v>253</v>
      </c>
      <c r="O108" s="78" t="s">
        <v>252</v>
      </c>
      <c r="P108" s="78" t="s">
        <v>258</v>
      </c>
      <c r="R108" s="79" t="str">
        <f t="shared" si="19"/>
        <v>NG</v>
      </c>
      <c r="S108" s="79" t="str">
        <f t="shared" si="20"/>
        <v>CT</v>
      </c>
      <c r="T108" s="79" t="str">
        <f t="shared" si="21"/>
        <v>18</v>
      </c>
      <c r="U108" s="79" t="str">
        <f t="shared" si="22"/>
        <v>M</v>
      </c>
      <c r="V108" s="79" t="str">
        <f t="shared" si="23"/>
        <v>60BT</v>
      </c>
    </row>
    <row r="109" spans="1:22">
      <c r="A109" s="78">
        <v>187123</v>
      </c>
      <c r="B109" s="78" t="s">
        <v>290</v>
      </c>
      <c r="C109" s="80" t="str">
        <f t="shared" si="18"/>
        <v>NGCB18M60BT</v>
      </c>
      <c r="D109" s="78" t="e">
        <f>VLOOKUP(C109,'[1]NGWR18W-DATA'!$AC$3:$AD$3,2,0)</f>
        <v>#N/A</v>
      </c>
      <c r="E109" s="78">
        <v>0</v>
      </c>
      <c r="F109" s="78">
        <v>0</v>
      </c>
      <c r="G109" s="78">
        <v>0</v>
      </c>
      <c r="H109" s="78">
        <v>0</v>
      </c>
      <c r="I109" s="78">
        <v>0</v>
      </c>
      <c r="J109" s="78">
        <v>0</v>
      </c>
      <c r="K109" s="78" t="s">
        <v>256</v>
      </c>
      <c r="L109" s="78" t="s">
        <v>289</v>
      </c>
      <c r="M109" s="78" t="s">
        <v>288</v>
      </c>
      <c r="N109" s="78" t="s">
        <v>253</v>
      </c>
      <c r="O109" s="78" t="s">
        <v>252</v>
      </c>
      <c r="P109" s="78" t="s">
        <v>251</v>
      </c>
      <c r="R109" s="79" t="str">
        <f t="shared" si="19"/>
        <v>NG</v>
      </c>
      <c r="S109" s="79" t="str">
        <f t="shared" si="20"/>
        <v>CB</v>
      </c>
      <c r="T109" s="79" t="str">
        <f t="shared" si="21"/>
        <v>18</v>
      </c>
      <c r="U109" s="79" t="str">
        <f t="shared" si="22"/>
        <v>M</v>
      </c>
      <c r="V109" s="79" t="str">
        <f t="shared" si="23"/>
        <v>60BT</v>
      </c>
    </row>
    <row r="110" spans="1:22">
      <c r="A110" s="78">
        <v>187217</v>
      </c>
      <c r="B110" s="78" t="s">
        <v>287</v>
      </c>
      <c r="C110" s="80" t="str">
        <f t="shared" si="18"/>
        <v>NGWR18M26ID</v>
      </c>
      <c r="D110" s="78" t="e">
        <f>VLOOKUP(C110,'[1]NGWR18W-DATA'!$AC$3:$AD$3,2,0)</f>
        <v>#N/A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78" t="s">
        <v>256</v>
      </c>
      <c r="L110" s="78" t="s">
        <v>275</v>
      </c>
      <c r="M110" s="78" t="s">
        <v>274</v>
      </c>
      <c r="N110" s="78" t="s">
        <v>253</v>
      </c>
      <c r="O110" s="78" t="s">
        <v>270</v>
      </c>
      <c r="P110" s="78" t="s">
        <v>260</v>
      </c>
      <c r="R110" s="79" t="str">
        <f t="shared" si="19"/>
        <v>NG</v>
      </c>
      <c r="S110" s="79" t="str">
        <f t="shared" si="20"/>
        <v>WR</v>
      </c>
      <c r="T110" s="79" t="str">
        <f t="shared" si="21"/>
        <v>18</v>
      </c>
      <c r="U110" s="79" t="str">
        <f t="shared" si="22"/>
        <v>M</v>
      </c>
      <c r="V110" s="79" t="str">
        <f t="shared" si="23"/>
        <v>26ID</v>
      </c>
    </row>
    <row r="111" spans="1:22">
      <c r="A111" s="78">
        <v>187218</v>
      </c>
      <c r="B111" s="78" t="s">
        <v>286</v>
      </c>
      <c r="C111" s="80" t="str">
        <f t="shared" si="18"/>
        <v>NGWT18M26ID</v>
      </c>
      <c r="D111" s="78" t="e">
        <f>VLOOKUP(C111,'[1]NGWR18W-DATA'!$AC$3:$AD$3,2,0)</f>
        <v>#N/A</v>
      </c>
      <c r="E111" s="78">
        <v>0</v>
      </c>
      <c r="F111" s="78">
        <v>0</v>
      </c>
      <c r="G111" s="78">
        <v>0</v>
      </c>
      <c r="H111" s="78">
        <v>0</v>
      </c>
      <c r="I111" s="78">
        <v>0</v>
      </c>
      <c r="J111" s="78">
        <v>0</v>
      </c>
      <c r="K111" s="78" t="s">
        <v>256</v>
      </c>
      <c r="L111" s="78" t="s">
        <v>275</v>
      </c>
      <c r="M111" s="78" t="s">
        <v>274</v>
      </c>
      <c r="N111" s="78" t="s">
        <v>253</v>
      </c>
      <c r="O111" s="78" t="s">
        <v>270</v>
      </c>
      <c r="P111" s="78" t="s">
        <v>258</v>
      </c>
      <c r="R111" s="79" t="str">
        <f t="shared" si="19"/>
        <v>NG</v>
      </c>
      <c r="S111" s="79" t="str">
        <f t="shared" si="20"/>
        <v>WT</v>
      </c>
      <c r="T111" s="79" t="str">
        <f t="shared" si="21"/>
        <v>18</v>
      </c>
      <c r="U111" s="79" t="str">
        <f t="shared" si="22"/>
        <v>M</v>
      </c>
      <c r="V111" s="79" t="str">
        <f t="shared" si="23"/>
        <v>26ID</v>
      </c>
    </row>
    <row r="112" spans="1:22">
      <c r="A112" s="78">
        <v>187219</v>
      </c>
      <c r="B112" s="78" t="s">
        <v>285</v>
      </c>
      <c r="C112" s="80" t="str">
        <f t="shared" si="18"/>
        <v>NGWB18M26ID</v>
      </c>
      <c r="D112" s="78" t="e">
        <f>VLOOKUP(C112,'[1]NGWR18W-DATA'!$AC$3:$AD$3,2,0)</f>
        <v>#N/A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 t="s">
        <v>256</v>
      </c>
      <c r="L112" s="78" t="s">
        <v>275</v>
      </c>
      <c r="M112" s="78" t="s">
        <v>274</v>
      </c>
      <c r="N112" s="78" t="s">
        <v>253</v>
      </c>
      <c r="O112" s="78" t="s">
        <v>270</v>
      </c>
      <c r="P112" s="78" t="s">
        <v>251</v>
      </c>
      <c r="R112" s="79" t="str">
        <f t="shared" si="19"/>
        <v>NG</v>
      </c>
      <c r="S112" s="79" t="str">
        <f t="shared" si="20"/>
        <v>WB</v>
      </c>
      <c r="T112" s="79" t="str">
        <f t="shared" si="21"/>
        <v>18</v>
      </c>
      <c r="U112" s="79" t="str">
        <f t="shared" si="22"/>
        <v>M</v>
      </c>
      <c r="V112" s="79" t="str">
        <f t="shared" si="23"/>
        <v>26ID</v>
      </c>
    </row>
    <row r="113" spans="1:22">
      <c r="A113" s="78">
        <v>187235</v>
      </c>
      <c r="B113" s="78" t="s">
        <v>284</v>
      </c>
      <c r="C113" s="80" t="str">
        <f t="shared" si="18"/>
        <v>NGBR18M26ID</v>
      </c>
      <c r="D113" s="78" t="e">
        <f>VLOOKUP(C113,'[1]NGWR18W-DATA'!$AC$3:$AD$3,2,0)</f>
        <v>#N/A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 t="s">
        <v>256</v>
      </c>
      <c r="L113" s="78" t="s">
        <v>275</v>
      </c>
      <c r="M113" s="78" t="s">
        <v>274</v>
      </c>
      <c r="N113" s="78" t="s">
        <v>253</v>
      </c>
      <c r="O113" s="78" t="s">
        <v>266</v>
      </c>
      <c r="P113" s="78" t="s">
        <v>260</v>
      </c>
      <c r="R113" s="79" t="str">
        <f t="shared" si="19"/>
        <v>NG</v>
      </c>
      <c r="S113" s="79" t="str">
        <f t="shared" si="20"/>
        <v>BR</v>
      </c>
      <c r="T113" s="79" t="str">
        <f t="shared" si="21"/>
        <v>18</v>
      </c>
      <c r="U113" s="79" t="str">
        <f t="shared" si="22"/>
        <v>M</v>
      </c>
      <c r="V113" s="79" t="str">
        <f t="shared" si="23"/>
        <v>26ID</v>
      </c>
    </row>
    <row r="114" spans="1:22">
      <c r="A114" s="78">
        <v>187236</v>
      </c>
      <c r="B114" s="78" t="s">
        <v>283</v>
      </c>
      <c r="C114" s="80" t="str">
        <f t="shared" si="18"/>
        <v>NGBT18M26ID</v>
      </c>
      <c r="D114" s="78" t="e">
        <f>VLOOKUP(C114,'[1]NGWR18W-DATA'!$AC$3:$AD$3,2,0)</f>
        <v>#N/A</v>
      </c>
      <c r="E114" s="78">
        <v>0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78" t="s">
        <v>256</v>
      </c>
      <c r="L114" s="78" t="s">
        <v>275</v>
      </c>
      <c r="M114" s="78" t="s">
        <v>274</v>
      </c>
      <c r="N114" s="78" t="s">
        <v>253</v>
      </c>
      <c r="O114" s="78" t="s">
        <v>266</v>
      </c>
      <c r="P114" s="78" t="s">
        <v>258</v>
      </c>
      <c r="R114" s="79" t="str">
        <f t="shared" si="19"/>
        <v>NG</v>
      </c>
      <c r="S114" s="79" t="str">
        <f t="shared" si="20"/>
        <v>BT</v>
      </c>
      <c r="T114" s="79" t="str">
        <f t="shared" si="21"/>
        <v>18</v>
      </c>
      <c r="U114" s="79" t="str">
        <f t="shared" si="22"/>
        <v>M</v>
      </c>
      <c r="V114" s="79" t="str">
        <f t="shared" si="23"/>
        <v>26ID</v>
      </c>
    </row>
    <row r="115" spans="1:22">
      <c r="A115" s="78">
        <v>187237</v>
      </c>
      <c r="B115" s="78" t="s">
        <v>282</v>
      </c>
      <c r="C115" s="80" t="str">
        <f t="shared" si="18"/>
        <v>NGBB18M26ID</v>
      </c>
      <c r="D115" s="78" t="e">
        <f>VLOOKUP(C115,'[1]NGWR18W-DATA'!$AC$3:$AD$3,2,0)</f>
        <v>#N/A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78" t="s">
        <v>256</v>
      </c>
      <c r="L115" s="78" t="s">
        <v>275</v>
      </c>
      <c r="M115" s="78" t="s">
        <v>274</v>
      </c>
      <c r="N115" s="78" t="s">
        <v>253</v>
      </c>
      <c r="O115" s="78" t="s">
        <v>266</v>
      </c>
      <c r="P115" s="78" t="s">
        <v>251</v>
      </c>
      <c r="R115" s="79" t="str">
        <f t="shared" si="19"/>
        <v>NG</v>
      </c>
      <c r="S115" s="79" t="str">
        <f t="shared" si="20"/>
        <v>BB</v>
      </c>
      <c r="T115" s="79" t="str">
        <f t="shared" si="21"/>
        <v>18</v>
      </c>
      <c r="U115" s="79" t="str">
        <f t="shared" si="22"/>
        <v>M</v>
      </c>
      <c r="V115" s="79" t="str">
        <f t="shared" si="23"/>
        <v>26ID</v>
      </c>
    </row>
    <row r="116" spans="1:22">
      <c r="A116" s="78">
        <v>187253</v>
      </c>
      <c r="B116" s="78" t="s">
        <v>281</v>
      </c>
      <c r="C116" s="80" t="str">
        <f t="shared" si="18"/>
        <v>NGAR18M26ID</v>
      </c>
      <c r="D116" s="78" t="e">
        <f>VLOOKUP(C116,'[1]NGWR18W-DATA'!$AC$3:$AD$3,2,0)</f>
        <v>#N/A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78" t="s">
        <v>256</v>
      </c>
      <c r="L116" s="78" t="s">
        <v>275</v>
      </c>
      <c r="M116" s="78" t="s">
        <v>274</v>
      </c>
      <c r="N116" s="78" t="s">
        <v>253</v>
      </c>
      <c r="O116" s="78" t="s">
        <v>262</v>
      </c>
      <c r="P116" s="78" t="s">
        <v>260</v>
      </c>
      <c r="R116" s="79" t="str">
        <f t="shared" si="19"/>
        <v>NG</v>
      </c>
      <c r="S116" s="79" t="str">
        <f t="shared" si="20"/>
        <v>AR</v>
      </c>
      <c r="T116" s="79" t="str">
        <f t="shared" si="21"/>
        <v>18</v>
      </c>
      <c r="U116" s="79" t="str">
        <f t="shared" si="22"/>
        <v>M</v>
      </c>
      <c r="V116" s="79" t="str">
        <f t="shared" si="23"/>
        <v>26ID</v>
      </c>
    </row>
    <row r="117" spans="1:22">
      <c r="A117" s="78">
        <v>187254</v>
      </c>
      <c r="B117" s="78" t="s">
        <v>280</v>
      </c>
      <c r="C117" s="80" t="str">
        <f t="shared" si="18"/>
        <v>NGAT18M26ID</v>
      </c>
      <c r="D117" s="78" t="e">
        <f>VLOOKUP(C117,'[1]NGWR18W-DATA'!$AC$3:$AD$3,2,0)</f>
        <v>#N/A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 t="s">
        <v>256</v>
      </c>
      <c r="L117" s="78" t="s">
        <v>275</v>
      </c>
      <c r="M117" s="78" t="s">
        <v>274</v>
      </c>
      <c r="N117" s="78" t="s">
        <v>253</v>
      </c>
      <c r="O117" s="78" t="s">
        <v>262</v>
      </c>
      <c r="P117" s="78" t="s">
        <v>258</v>
      </c>
      <c r="R117" s="79" t="str">
        <f t="shared" si="19"/>
        <v>NG</v>
      </c>
      <c r="S117" s="79" t="str">
        <f t="shared" si="20"/>
        <v>AT</v>
      </c>
      <c r="T117" s="79" t="str">
        <f t="shared" si="21"/>
        <v>18</v>
      </c>
      <c r="U117" s="79" t="str">
        <f t="shared" si="22"/>
        <v>M</v>
      </c>
      <c r="V117" s="79" t="str">
        <f t="shared" si="23"/>
        <v>26ID</v>
      </c>
    </row>
    <row r="118" spans="1:22">
      <c r="A118" s="78">
        <v>187255</v>
      </c>
      <c r="B118" s="78" t="s">
        <v>279</v>
      </c>
      <c r="C118" s="80" t="str">
        <f t="shared" si="18"/>
        <v>NGAB18M26ID</v>
      </c>
      <c r="D118" s="78" t="e">
        <f>VLOOKUP(C118,'[1]NGWR18W-DATA'!$AC$3:$AD$3,2,0)</f>
        <v>#N/A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 t="s">
        <v>256</v>
      </c>
      <c r="L118" s="78" t="s">
        <v>275</v>
      </c>
      <c r="M118" s="78" t="s">
        <v>274</v>
      </c>
      <c r="N118" s="78" t="s">
        <v>253</v>
      </c>
      <c r="O118" s="78" t="s">
        <v>262</v>
      </c>
      <c r="P118" s="78" t="s">
        <v>251</v>
      </c>
      <c r="R118" s="79" t="str">
        <f t="shared" si="19"/>
        <v>NG</v>
      </c>
      <c r="S118" s="79" t="str">
        <f t="shared" si="20"/>
        <v>AB</v>
      </c>
      <c r="T118" s="79" t="str">
        <f t="shared" si="21"/>
        <v>18</v>
      </c>
      <c r="U118" s="79" t="str">
        <f t="shared" si="22"/>
        <v>M</v>
      </c>
      <c r="V118" s="79" t="str">
        <f t="shared" si="23"/>
        <v>26ID</v>
      </c>
    </row>
    <row r="119" spans="1:22">
      <c r="A119" s="78">
        <v>187271</v>
      </c>
      <c r="B119" s="78" t="s">
        <v>278</v>
      </c>
      <c r="C119" s="80" t="str">
        <f t="shared" si="18"/>
        <v>NGCR18M26ID</v>
      </c>
      <c r="D119" s="78" t="e">
        <f>VLOOKUP(C119,'[1]NGWR18W-DATA'!$AC$3:$AD$3,2,0)</f>
        <v>#N/A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 t="s">
        <v>256</v>
      </c>
      <c r="L119" s="78" t="s">
        <v>275</v>
      </c>
      <c r="M119" s="78" t="s">
        <v>274</v>
      </c>
      <c r="N119" s="78" t="s">
        <v>253</v>
      </c>
      <c r="O119" s="78" t="s">
        <v>252</v>
      </c>
      <c r="P119" s="78" t="s">
        <v>260</v>
      </c>
      <c r="R119" s="79" t="str">
        <f t="shared" si="19"/>
        <v>NG</v>
      </c>
      <c r="S119" s="79" t="str">
        <f t="shared" si="20"/>
        <v>CR</v>
      </c>
      <c r="T119" s="79" t="str">
        <f t="shared" si="21"/>
        <v>18</v>
      </c>
      <c r="U119" s="79" t="str">
        <f t="shared" si="22"/>
        <v>M</v>
      </c>
      <c r="V119" s="79" t="str">
        <f t="shared" si="23"/>
        <v>26ID</v>
      </c>
    </row>
    <row r="120" spans="1:22">
      <c r="A120" s="78">
        <v>187272</v>
      </c>
      <c r="B120" s="78" t="s">
        <v>277</v>
      </c>
      <c r="C120" s="80" t="str">
        <f t="shared" si="18"/>
        <v>NGCT18M26ID</v>
      </c>
      <c r="D120" s="78" t="e">
        <f>VLOOKUP(C120,'[1]NGWR18W-DATA'!$AC$3:$AD$3,2,0)</f>
        <v>#N/A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 t="s">
        <v>256</v>
      </c>
      <c r="L120" s="78" t="s">
        <v>275</v>
      </c>
      <c r="M120" s="78" t="s">
        <v>274</v>
      </c>
      <c r="N120" s="78" t="s">
        <v>253</v>
      </c>
      <c r="O120" s="78" t="s">
        <v>252</v>
      </c>
      <c r="P120" s="78" t="s">
        <v>258</v>
      </c>
      <c r="R120" s="79" t="str">
        <f t="shared" si="19"/>
        <v>NG</v>
      </c>
      <c r="S120" s="79" t="str">
        <f t="shared" si="20"/>
        <v>CT</v>
      </c>
      <c r="T120" s="79" t="str">
        <f t="shared" si="21"/>
        <v>18</v>
      </c>
      <c r="U120" s="79" t="str">
        <f t="shared" si="22"/>
        <v>M</v>
      </c>
      <c r="V120" s="79" t="str">
        <f t="shared" si="23"/>
        <v>26ID</v>
      </c>
    </row>
    <row r="121" spans="1:22">
      <c r="A121" s="78">
        <v>187273</v>
      </c>
      <c r="B121" s="78" t="s">
        <v>276</v>
      </c>
      <c r="C121" s="80" t="str">
        <f t="shared" si="18"/>
        <v>NGCB18M26ID</v>
      </c>
      <c r="D121" s="78" t="e">
        <f>VLOOKUP(C121,'[1]NGWR18W-DATA'!$AC$3:$AD$3,2,0)</f>
        <v>#N/A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 t="s">
        <v>256</v>
      </c>
      <c r="L121" s="78" t="s">
        <v>275</v>
      </c>
      <c r="M121" s="78" t="s">
        <v>274</v>
      </c>
      <c r="N121" s="78" t="s">
        <v>253</v>
      </c>
      <c r="O121" s="78" t="s">
        <v>252</v>
      </c>
      <c r="P121" s="78" t="s">
        <v>251</v>
      </c>
      <c r="R121" s="79" t="str">
        <f t="shared" si="19"/>
        <v>NG</v>
      </c>
      <c r="S121" s="79" t="str">
        <f t="shared" si="20"/>
        <v>CB</v>
      </c>
      <c r="T121" s="79" t="str">
        <f t="shared" si="21"/>
        <v>18</v>
      </c>
      <c r="U121" s="79" t="str">
        <f t="shared" si="22"/>
        <v>M</v>
      </c>
      <c r="V121" s="79" t="str">
        <f t="shared" si="23"/>
        <v>26ID</v>
      </c>
    </row>
    <row r="122" spans="1:22">
      <c r="A122" s="78">
        <v>187292</v>
      </c>
      <c r="B122" s="78" t="s">
        <v>273</v>
      </c>
      <c r="C122" s="80" t="str">
        <f t="shared" si="18"/>
        <v>NGWR18M26BTD</v>
      </c>
      <c r="D122" s="78" t="e">
        <f>VLOOKUP(C122,'[1]NGWR18W-DATA'!$AC$3:$AD$3,2,0)</f>
        <v>#N/A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 t="s">
        <v>256</v>
      </c>
      <c r="L122" s="78" t="s">
        <v>255</v>
      </c>
      <c r="M122" s="78" t="s">
        <v>254</v>
      </c>
      <c r="N122" s="78" t="s">
        <v>253</v>
      </c>
      <c r="O122" s="78" t="s">
        <v>270</v>
      </c>
      <c r="P122" s="78" t="s">
        <v>260</v>
      </c>
      <c r="R122" s="79" t="str">
        <f t="shared" si="19"/>
        <v>NG</v>
      </c>
      <c r="S122" s="79" t="str">
        <f t="shared" si="20"/>
        <v>WR</v>
      </c>
      <c r="T122" s="79" t="str">
        <f t="shared" si="21"/>
        <v>18</v>
      </c>
      <c r="U122" s="79" t="str">
        <f t="shared" si="22"/>
        <v>M</v>
      </c>
      <c r="V122" s="79" t="str">
        <f t="shared" si="23"/>
        <v>26BTD</v>
      </c>
    </row>
    <row r="123" spans="1:22">
      <c r="A123" s="78">
        <v>187293</v>
      </c>
      <c r="B123" s="78" t="s">
        <v>272</v>
      </c>
      <c r="C123" s="80" t="str">
        <f t="shared" si="18"/>
        <v>NGWT18M26BTD</v>
      </c>
      <c r="D123" s="78" t="e">
        <f>VLOOKUP(C123,'[1]NGWR18W-DATA'!$AC$3:$AD$3,2,0)</f>
        <v>#N/A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 t="s">
        <v>256</v>
      </c>
      <c r="L123" s="78" t="s">
        <v>255</v>
      </c>
      <c r="M123" s="78" t="s">
        <v>254</v>
      </c>
      <c r="N123" s="78" t="s">
        <v>253</v>
      </c>
      <c r="O123" s="78" t="s">
        <v>270</v>
      </c>
      <c r="P123" s="78" t="s">
        <v>258</v>
      </c>
      <c r="R123" s="79" t="str">
        <f t="shared" si="19"/>
        <v>NG</v>
      </c>
      <c r="S123" s="79" t="str">
        <f t="shared" si="20"/>
        <v>WT</v>
      </c>
      <c r="T123" s="79" t="str">
        <f t="shared" si="21"/>
        <v>18</v>
      </c>
      <c r="U123" s="79" t="str">
        <f t="shared" si="22"/>
        <v>M</v>
      </c>
      <c r="V123" s="79" t="str">
        <f t="shared" si="23"/>
        <v>26BTD</v>
      </c>
    </row>
    <row r="124" spans="1:22">
      <c r="A124" s="78">
        <v>187294</v>
      </c>
      <c r="B124" s="78" t="s">
        <v>271</v>
      </c>
      <c r="C124" s="80" t="str">
        <f t="shared" si="18"/>
        <v>NGWB18M26BTD</v>
      </c>
      <c r="D124" s="78" t="e">
        <f>VLOOKUP(C124,'[1]NGWR18W-DATA'!$AC$3:$AD$3,2,0)</f>
        <v>#N/A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 t="s">
        <v>256</v>
      </c>
      <c r="L124" s="78" t="s">
        <v>255</v>
      </c>
      <c r="M124" s="78" t="s">
        <v>254</v>
      </c>
      <c r="N124" s="78" t="s">
        <v>253</v>
      </c>
      <c r="O124" s="78" t="s">
        <v>270</v>
      </c>
      <c r="P124" s="78" t="s">
        <v>251</v>
      </c>
      <c r="R124" s="79" t="str">
        <f t="shared" si="19"/>
        <v>NG</v>
      </c>
      <c r="S124" s="79" t="str">
        <f t="shared" si="20"/>
        <v>WB</v>
      </c>
      <c r="T124" s="79" t="str">
        <f t="shared" si="21"/>
        <v>18</v>
      </c>
      <c r="U124" s="79" t="str">
        <f t="shared" si="22"/>
        <v>M</v>
      </c>
      <c r="V124" s="79" t="str">
        <f t="shared" si="23"/>
        <v>26BTD</v>
      </c>
    </row>
    <row r="125" spans="1:22">
      <c r="A125" s="78">
        <v>187310</v>
      </c>
      <c r="B125" s="78" t="s">
        <v>269</v>
      </c>
      <c r="C125" s="80" t="str">
        <f t="shared" si="18"/>
        <v>NGBR18M26BTD</v>
      </c>
      <c r="D125" s="78" t="e">
        <f>VLOOKUP(C125,'[1]NGWR18W-DATA'!$AC$3:$AD$3,2,0)</f>
        <v>#N/A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 t="s">
        <v>256</v>
      </c>
      <c r="L125" s="78" t="s">
        <v>255</v>
      </c>
      <c r="M125" s="78" t="s">
        <v>254</v>
      </c>
      <c r="N125" s="78" t="s">
        <v>253</v>
      </c>
      <c r="O125" s="78" t="s">
        <v>266</v>
      </c>
      <c r="P125" s="78" t="s">
        <v>260</v>
      </c>
      <c r="R125" s="79" t="str">
        <f t="shared" si="19"/>
        <v>NG</v>
      </c>
      <c r="S125" s="79" t="str">
        <f t="shared" si="20"/>
        <v>BR</v>
      </c>
      <c r="T125" s="79" t="str">
        <f t="shared" si="21"/>
        <v>18</v>
      </c>
      <c r="U125" s="79" t="str">
        <f t="shared" si="22"/>
        <v>M</v>
      </c>
      <c r="V125" s="79" t="str">
        <f t="shared" si="23"/>
        <v>26BTD</v>
      </c>
    </row>
    <row r="126" spans="1:22">
      <c r="A126" s="78">
        <v>187311</v>
      </c>
      <c r="B126" s="78" t="s">
        <v>268</v>
      </c>
      <c r="C126" s="80" t="str">
        <f t="shared" si="18"/>
        <v>NGBT18M26BTD</v>
      </c>
      <c r="D126" s="78" t="e">
        <f>VLOOKUP(C126,'[1]NGWR18W-DATA'!$AC$3:$AD$3,2,0)</f>
        <v>#N/A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 t="s">
        <v>256</v>
      </c>
      <c r="L126" s="78" t="s">
        <v>255</v>
      </c>
      <c r="M126" s="78" t="s">
        <v>254</v>
      </c>
      <c r="N126" s="78" t="s">
        <v>253</v>
      </c>
      <c r="O126" s="78" t="s">
        <v>266</v>
      </c>
      <c r="P126" s="78" t="s">
        <v>258</v>
      </c>
      <c r="R126" s="79" t="str">
        <f t="shared" si="19"/>
        <v>NG</v>
      </c>
      <c r="S126" s="79" t="str">
        <f t="shared" si="20"/>
        <v>BT</v>
      </c>
      <c r="T126" s="79" t="str">
        <f t="shared" si="21"/>
        <v>18</v>
      </c>
      <c r="U126" s="79" t="str">
        <f t="shared" si="22"/>
        <v>M</v>
      </c>
      <c r="V126" s="79" t="str">
        <f t="shared" si="23"/>
        <v>26BTD</v>
      </c>
    </row>
    <row r="127" spans="1:22">
      <c r="A127" s="78">
        <v>187312</v>
      </c>
      <c r="B127" s="78" t="s">
        <v>267</v>
      </c>
      <c r="C127" s="80" t="str">
        <f t="shared" si="18"/>
        <v>NGBB18M26BTD</v>
      </c>
      <c r="D127" s="78" t="e">
        <f>VLOOKUP(C127,'[1]NGWR18W-DATA'!$AC$3:$AD$3,2,0)</f>
        <v>#N/A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 t="s">
        <v>256</v>
      </c>
      <c r="L127" s="78" t="s">
        <v>255</v>
      </c>
      <c r="M127" s="78" t="s">
        <v>254</v>
      </c>
      <c r="N127" s="78" t="s">
        <v>253</v>
      </c>
      <c r="O127" s="78" t="s">
        <v>266</v>
      </c>
      <c r="P127" s="78" t="s">
        <v>251</v>
      </c>
      <c r="R127" s="79" t="str">
        <f t="shared" si="19"/>
        <v>NG</v>
      </c>
      <c r="S127" s="79" t="str">
        <f t="shared" si="20"/>
        <v>BB</v>
      </c>
      <c r="T127" s="79" t="str">
        <f t="shared" si="21"/>
        <v>18</v>
      </c>
      <c r="U127" s="79" t="str">
        <f t="shared" si="22"/>
        <v>M</v>
      </c>
      <c r="V127" s="79" t="str">
        <f t="shared" si="23"/>
        <v>26BTD</v>
      </c>
    </row>
    <row r="128" spans="1:22">
      <c r="A128" s="78">
        <v>187328</v>
      </c>
      <c r="B128" s="78" t="s">
        <v>265</v>
      </c>
      <c r="C128" s="80" t="str">
        <f t="shared" si="18"/>
        <v>NGAR18M26BTD</v>
      </c>
      <c r="D128" s="78" t="e">
        <f>VLOOKUP(C128,'[1]NGWR18W-DATA'!$AC$3:$AD$3,2,0)</f>
        <v>#N/A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 t="s">
        <v>256</v>
      </c>
      <c r="L128" s="78" t="s">
        <v>255</v>
      </c>
      <c r="M128" s="78" t="s">
        <v>254</v>
      </c>
      <c r="N128" s="78" t="s">
        <v>253</v>
      </c>
      <c r="O128" s="78" t="s">
        <v>262</v>
      </c>
      <c r="P128" s="78" t="s">
        <v>260</v>
      </c>
      <c r="R128" s="79" t="str">
        <f t="shared" si="19"/>
        <v>NG</v>
      </c>
      <c r="S128" s="79" t="str">
        <f t="shared" si="20"/>
        <v>AR</v>
      </c>
      <c r="T128" s="79" t="str">
        <f t="shared" si="21"/>
        <v>18</v>
      </c>
      <c r="U128" s="79" t="str">
        <f t="shared" si="22"/>
        <v>M</v>
      </c>
      <c r="V128" s="79" t="str">
        <f t="shared" si="23"/>
        <v>26BTD</v>
      </c>
    </row>
    <row r="129" spans="1:22">
      <c r="A129" s="78">
        <v>187329</v>
      </c>
      <c r="B129" s="78" t="s">
        <v>264</v>
      </c>
      <c r="C129" s="80" t="str">
        <f t="shared" si="18"/>
        <v>NGAT18M26BTD</v>
      </c>
      <c r="D129" s="78" t="e">
        <f>VLOOKUP(C129,'[1]NGWR18W-DATA'!$AC$3:$AD$3,2,0)</f>
        <v>#N/A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 t="s">
        <v>256</v>
      </c>
      <c r="L129" s="78" t="s">
        <v>255</v>
      </c>
      <c r="M129" s="78" t="s">
        <v>254</v>
      </c>
      <c r="N129" s="78" t="s">
        <v>253</v>
      </c>
      <c r="O129" s="78" t="s">
        <v>262</v>
      </c>
      <c r="P129" s="78" t="s">
        <v>258</v>
      </c>
      <c r="R129" s="79" t="str">
        <f t="shared" si="19"/>
        <v>NG</v>
      </c>
      <c r="S129" s="79" t="str">
        <f t="shared" si="20"/>
        <v>AT</v>
      </c>
      <c r="T129" s="79" t="str">
        <f t="shared" si="21"/>
        <v>18</v>
      </c>
      <c r="U129" s="79" t="str">
        <f t="shared" si="22"/>
        <v>M</v>
      </c>
      <c r="V129" s="79" t="str">
        <f t="shared" si="23"/>
        <v>26BTD</v>
      </c>
    </row>
    <row r="130" spans="1:22">
      <c r="A130" s="78">
        <v>187330</v>
      </c>
      <c r="B130" s="78" t="s">
        <v>263</v>
      </c>
      <c r="C130" s="80" t="str">
        <f t="shared" si="18"/>
        <v>NGAB18M26BTD</v>
      </c>
      <c r="D130" s="78" t="e">
        <f>VLOOKUP(C130,'[1]NGWR18W-DATA'!$AC$3:$AD$3,2,0)</f>
        <v>#N/A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 t="s">
        <v>256</v>
      </c>
      <c r="L130" s="78" t="s">
        <v>255</v>
      </c>
      <c r="M130" s="78" t="s">
        <v>254</v>
      </c>
      <c r="N130" s="78" t="s">
        <v>253</v>
      </c>
      <c r="O130" s="78" t="s">
        <v>262</v>
      </c>
      <c r="P130" s="78" t="s">
        <v>251</v>
      </c>
      <c r="R130" s="79" t="str">
        <f t="shared" si="19"/>
        <v>NG</v>
      </c>
      <c r="S130" s="79" t="str">
        <f t="shared" si="20"/>
        <v>AB</v>
      </c>
      <c r="T130" s="79" t="str">
        <f t="shared" si="21"/>
        <v>18</v>
      </c>
      <c r="U130" s="79" t="str">
        <f t="shared" si="22"/>
        <v>M</v>
      </c>
      <c r="V130" s="79" t="str">
        <f t="shared" si="23"/>
        <v>26BTD</v>
      </c>
    </row>
    <row r="131" spans="1:22">
      <c r="A131" s="78">
        <v>187346</v>
      </c>
      <c r="B131" s="78" t="s">
        <v>261</v>
      </c>
      <c r="C131" s="80" t="str">
        <f t="shared" si="18"/>
        <v>NGCR18M26BTD</v>
      </c>
      <c r="D131" s="78" t="e">
        <f>VLOOKUP(C131,'[1]NGWR18W-DATA'!$AC$3:$AD$3,2,0)</f>
        <v>#N/A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 t="s">
        <v>256</v>
      </c>
      <c r="L131" s="78" t="s">
        <v>255</v>
      </c>
      <c r="M131" s="78" t="s">
        <v>254</v>
      </c>
      <c r="N131" s="78" t="s">
        <v>253</v>
      </c>
      <c r="O131" s="78" t="s">
        <v>252</v>
      </c>
      <c r="P131" s="78" t="s">
        <v>260</v>
      </c>
      <c r="R131" s="79" t="str">
        <f t="shared" si="19"/>
        <v>NG</v>
      </c>
      <c r="S131" s="79" t="str">
        <f t="shared" si="20"/>
        <v>CR</v>
      </c>
      <c r="T131" s="79" t="str">
        <f t="shared" si="21"/>
        <v>18</v>
      </c>
      <c r="U131" s="79" t="str">
        <f t="shared" si="22"/>
        <v>M</v>
      </c>
      <c r="V131" s="79" t="str">
        <f t="shared" si="23"/>
        <v>26BTD</v>
      </c>
    </row>
    <row r="132" spans="1:22">
      <c r="A132" s="78">
        <v>187347</v>
      </c>
      <c r="B132" s="78" t="s">
        <v>259</v>
      </c>
      <c r="C132" s="80" t="str">
        <f t="shared" si="18"/>
        <v>NGCT18M26BTD</v>
      </c>
      <c r="D132" s="78" t="e">
        <f>VLOOKUP(C132,'[1]NGWR18W-DATA'!$AC$3:$AD$3,2,0)</f>
        <v>#N/A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 t="s">
        <v>256</v>
      </c>
      <c r="L132" s="78" t="s">
        <v>255</v>
      </c>
      <c r="M132" s="78" t="s">
        <v>254</v>
      </c>
      <c r="N132" s="78" t="s">
        <v>253</v>
      </c>
      <c r="O132" s="78" t="s">
        <v>252</v>
      </c>
      <c r="P132" s="78" t="s">
        <v>258</v>
      </c>
      <c r="R132" s="79" t="str">
        <f t="shared" si="19"/>
        <v>NG</v>
      </c>
      <c r="S132" s="79" t="str">
        <f t="shared" si="20"/>
        <v>CT</v>
      </c>
      <c r="T132" s="79" t="str">
        <f t="shared" si="21"/>
        <v>18</v>
      </c>
      <c r="U132" s="79" t="str">
        <f t="shared" si="22"/>
        <v>M</v>
      </c>
      <c r="V132" s="79" t="str">
        <f t="shared" si="23"/>
        <v>26BTD</v>
      </c>
    </row>
    <row r="133" spans="1:22">
      <c r="A133" s="78">
        <v>187348</v>
      </c>
      <c r="B133" s="78" t="s">
        <v>257</v>
      </c>
      <c r="C133" s="80" t="str">
        <f t="shared" si="18"/>
        <v>NGCB18M26BTD</v>
      </c>
      <c r="D133" s="78" t="e">
        <f>VLOOKUP(C133,'[1]NGWR18W-DATA'!$AC$3:$AD$3,2,0)</f>
        <v>#N/A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 t="s">
        <v>256</v>
      </c>
      <c r="L133" s="78" t="s">
        <v>255</v>
      </c>
      <c r="M133" s="78" t="s">
        <v>254</v>
      </c>
      <c r="N133" s="78" t="s">
        <v>253</v>
      </c>
      <c r="O133" s="78" t="s">
        <v>252</v>
      </c>
      <c r="P133" s="78" t="s">
        <v>251</v>
      </c>
      <c r="R133" s="79" t="str">
        <f t="shared" si="19"/>
        <v>NG</v>
      </c>
      <c r="S133" s="79" t="str">
        <f t="shared" si="20"/>
        <v>CB</v>
      </c>
      <c r="T133" s="79" t="str">
        <f t="shared" si="21"/>
        <v>18</v>
      </c>
      <c r="U133" s="79" t="str">
        <f t="shared" si="22"/>
        <v>M</v>
      </c>
      <c r="V133" s="79" t="str">
        <f t="shared" si="23"/>
        <v>26BTD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0CA5442-C2DA-43F1-A162-45733585A7FC}">
  <ds:schemaRefs/>
</ds:datastoreItem>
</file>

<file path=customXml/itemProps2.xml><?xml version="1.0" encoding="utf-8"?>
<ds:datastoreItem xmlns:ds="http://schemas.openxmlformats.org/officeDocument/2006/customXml" ds:itemID="{0A7A392F-F524-4A60-8A38-C11F214F628B}">
  <ds:schemaRefs/>
</ds:datastoreItem>
</file>

<file path=customXml/itemProps3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NGWR18W-SKU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Pragati</cp:lastModifiedBy>
  <dcterms:created xsi:type="dcterms:W3CDTF">2023-07-04T06:39:00Z</dcterms:created>
  <dcterms:modified xsi:type="dcterms:W3CDTF">2025-10-29T07:20:34Z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
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Brijesh-pc\d\SURYA- BOM\1) OK BOMs\22) FRDR\"/>
    </mc:Choice>
  </mc:AlternateContent>
  <xr:revisionPtr revIDLastSave="0" documentId="13_ncr:1_{CC3D7076-1E99-4749-AB9C-C1208F92EC65}" xr6:coauthVersionLast="45" xr6:coauthVersionMax="45" xr10:uidLastSave="{00000000-0000-0000-0000-000000000000}"/>
  <bookViews>
    <workbookView xWindow="-120" yWindow="-120" windowWidth="20730" windowHeight="11160" tabRatio="597" xr2:uid="{00000000-000D-0000-FFFF-FFFF00000000}"/>
  </bookViews>
  <sheets>
    <sheet name="Stock Item" sheetId="23" r:id="rId1"/>
    <sheet name="Stock Item (Read Me)" sheetId="10" state="hidden" r:id="rId2"/>
    <sheet name="Backend data" sheetId="24" r:id="rId3"/>
    <sheet name="Result" sheetId="25" r:id="rId4"/>
  </sheets>
  <externalReferences>
    <externalReference r:id="rId5"/>
  </externalReferences>
  <definedNames>
    <definedName name="_xlnm._FilterDatabase" localSheetId="3" hidden="1">Result!$A$1:$O$17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" i="23" l="1"/>
  <c r="M21" i="23" l="1"/>
  <c r="M20" i="23"/>
  <c r="M18" i="23"/>
  <c r="M17" i="23"/>
  <c r="M16" i="23"/>
  <c r="M15" i="23"/>
  <c r="M14" i="23"/>
  <c r="M13" i="23"/>
  <c r="M12" i="23"/>
  <c r="M11" i="23"/>
  <c r="M10" i="23"/>
  <c r="M8" i="23"/>
  <c r="M7" i="23"/>
  <c r="M6" i="23"/>
  <c r="Q5" i="23"/>
  <c r="L5" i="23" s="1"/>
  <c r="M5" i="23" s="1"/>
  <c r="M4" i="23"/>
  <c r="Q3" i="23"/>
  <c r="L3" i="23" s="1"/>
  <c r="M3" i="23" s="1"/>
  <c r="M2" i="23"/>
  <c r="M22" i="23" l="1"/>
  <c r="M24" i="23" l="1"/>
  <c r="C3" i="24" l="1"/>
  <c r="H3" i="24"/>
  <c r="G3" i="24"/>
  <c r="H4" i="24" l="1"/>
  <c r="G4" i="24"/>
  <c r="H5" i="24" l="1"/>
  <c r="D20" i="23" s="1"/>
  <c r="F9" i="23" s="1"/>
  <c r="F3" i="24" l="1"/>
  <c r="A2" i="23" l="1"/>
  <c r="A20" i="23" s="1"/>
  <c r="E3" i="24"/>
  <c r="D3" i="24"/>
  <c r="H8" i="24" l="1"/>
  <c r="I3" i="24"/>
  <c r="I7" i="24" s="1"/>
  <c r="H7" i="24" l="1"/>
  <c r="H6" i="24"/>
  <c r="I6" i="24"/>
  <c r="I8" i="24"/>
  <c r="D4" i="24"/>
  <c r="F19" i="23" l="1"/>
  <c r="E7" i="24"/>
  <c r="E8" i="24"/>
  <c r="C8" i="24"/>
  <c r="C6" i="24"/>
  <c r="F7" i="24"/>
  <c r="F8" i="24"/>
  <c r="C7" i="24"/>
  <c r="G6" i="24"/>
  <c r="F20" i="23" s="1"/>
  <c r="E6" i="24"/>
  <c r="F6" i="24"/>
  <c r="F2" i="23" l="1"/>
  <c r="D8" i="24"/>
  <c r="D6" i="24"/>
  <c r="D7" i="24"/>
  <c r="G8" i="24"/>
  <c r="G7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 Dang</author>
  </authors>
  <commentList>
    <comment ref="A1" authorId="0" shapeId="0" xr:uid="{00000000-0006-0000-0100-000001000000}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 shapeId="0" xr:uid="{00000000-0006-0000-0100-000002000000}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 shapeId="0" xr:uid="{00000000-0006-0000-0100-000003000000}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 shapeId="0" xr:uid="{00000000-0006-0000-0100-000004000000}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<sst xmlns="http://schemas.openxmlformats.org/spreadsheetml/2006/main" count="583" uniqueCount="297">
  <si>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</si>
  <si>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</si>
  <si>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</si>
  <si>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</si>
  <si>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</si>
  <si>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</si>
  <si>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</si>
  <si>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</si>
  <si>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</si>
  <si>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</si>
  <si>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</si>
  <si>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</si>
  <si>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</si>
  <si>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</si>
  <si>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</si>
  <si>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</si>
  <si>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</si>
  <si>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</si>
  <si>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</si>
  <si>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</si>
  <si>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</si>
  <si>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</si>
  <si>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</si>
  <si>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</si>
  <si>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</si>
  <si>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</si>
  <si>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</si>
  <si>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</si>
  <si>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</si>
  <si>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</si>
  <si>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</si>
  <si>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</si>
  <si>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</si>
  <si>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</si>
  <si>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</si>
  <si>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</si>
  <si>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</si>
  <si>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</si>
  <si>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</si>
  <si>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</si>
  <si>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</si>
  <si>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</si>
  <si>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</si>
  <si>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</si>
  <si>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</si>
  <si>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</si>
  <si>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</si>
  <si>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</si>
  <si>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</si>
  <si>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</si>
  <si>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</si>
  <si>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</si>
  <si>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</si>
  <si>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</si>
  <si>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</si>
  <si>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</si>
  <si>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</si>
  <si>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</si>
  <si>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</si>
  <si>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</si>
  <si>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</si>
  <si>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</si>
  <si>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</si>
  <si>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</si>
  <si>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</si>
  <si>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</si>
  <si>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</si>
  <si>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</si>
  <si>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</si>
  <si>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</si>
  <si>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</si>
  <si>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</si>
  <si>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</si>
  <si>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</si>
  <si>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</si>
  <si>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</si>
  <si>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</si>
  <si>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</si>
  <si>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</si>
  <si>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</si>
  <si>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</si>
  <si>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</si>
  <si>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</si>
  <si>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</si>
  <si>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</si>
  <si>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</si>
  <si>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</si>
  <si>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</si>
  <si>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</si>
  <si>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</si>
  <si>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</si>
  <si>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</si>
  <si>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</si>
  <si>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</si>
  <si>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</si>
  <si>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</si>
  <si>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</si>
  <si>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</si>
  <si>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</si>
  <si>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</si>
  <si>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</si>
  <si>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</si>
  <si>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</si>
  <si>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</si>
  <si>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</si>
  <si>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</si>
  <si>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</si>
  <si>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</si>
  <si>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</si>
  <si>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</si>
  <si>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</si>
  <si>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</si>
  <si>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</si>
  <si>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</si>
  <si>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</si>
  <si>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</si>
  <si>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</si>
  <si>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</si>
  <si>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</si>
  <si>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</si>
  <si>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</si>
  <si>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</si>
  <si>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</si>
  <si>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</si>
  <si>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</si>
  <si>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</si>
  <si>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</si>
  <si>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</si>
  <si>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</si>
  <si>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</si>
  <si>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</si>
  <si>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</si>
  <si>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</si>
  <si>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</si>
  <si>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</si>
  <si>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</si>
  <si>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</si>
  <si>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</si>
  <si>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</si>
  <si>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</si>
  <si>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</si>
  <si>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</si>
  <si>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</si>
  <si>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</si>
  <si>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</si>
  <si>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</si>
  <si>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</si>
  <si>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</si>
  <si>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</si>
  <si>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</si>
  <si>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</si>
  <si>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</si>
  <si>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</si>
  <si>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</si>
  <si>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</si>
  <si>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</si>
  <si>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</si>
  <si>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</si>
  <si>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</si>
  <si>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</si>
  <si>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</si>
  <si>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</si>
  <si>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</si>
  <si>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</si>
  <si>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</si>
  <si>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</si>
  <si>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</si>
  <si>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</si>
  <si>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</si>
  <si>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</si>
  <si>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</si>
  <si>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</si>
  <si>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</si>
  <si>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</si>
  <si>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</si>
  <si>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</si>
  <si>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</si>
  <si>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</si>
  <si>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</si>
  <si>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</si>
  <si>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</si>
  <si>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</si>
  <si>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</si>
  <si>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</si>
  <si>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</si>
  <si>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</si>
  <si>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</si>
  <si>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</si>
  <si>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</si>
  <si>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</si>
  <si>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</si>
  <si>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</si>
  <si>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</si>
  <si>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</si>
  <si>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</si>
  <si>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</si>
  <si>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</si>
  <si>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</si>
  <si>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</si>
  <si>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</si>
  <si>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</si>
  <si>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</si>
  <si>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</si>
  <si>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</si>
  <si>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BOM LED PCB</t>
  </si>
  <si>
    <t>COLOUR TEMPERATURE</t>
  </si>
  <si>
    <t>Down light Series</t>
  </si>
  <si>
    <t>T</t>
  </si>
  <si>
    <t>Mechanical Store</t>
  </si>
  <si>
    <t>R</t>
  </si>
  <si>
    <t>-</t>
  </si>
  <si>
    <t>Sleeve M4mm Fiber Glass White</t>
  </si>
  <si>
    <t>Rivet 3/32" X 3/16" MS (Small)</t>
  </si>
  <si>
    <t>HEATSINK</t>
  </si>
  <si>
    <t>F</t>
  </si>
  <si>
    <t>60</t>
  </si>
  <si>
    <t>50</t>
  </si>
  <si>
    <t>40</t>
  </si>
  <si>
    <t>30</t>
  </si>
  <si>
    <t>Conn. 2Pin Ass. Wire Black Male (Small)</t>
  </si>
  <si>
    <t>T-</t>
  </si>
  <si>
    <t>I-</t>
  </si>
  <si>
    <t>BT-</t>
  </si>
  <si>
    <t>Electronics store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</si>
  <si>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</si>
  <si>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</si>
  <si>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</si>
  <si>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</si>
  <si>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</si>
  <si>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</si>
  <si>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</si>
  <si>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</si>
  <si>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</si>
  <si>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</si>
  <si>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</si>
  <si>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Trim</t>
  </si>
  <si>
    <t>Color Temp</t>
  </si>
  <si>
    <t>Driving System</t>
  </si>
  <si>
    <t>Watt</t>
  </si>
  <si>
    <t>FRDR15F60</t>
  </si>
  <si>
    <t/>
  </si>
  <si>
    <t>Flood - 100°</t>
  </si>
  <si>
    <t>Round White Trim</t>
  </si>
  <si>
    <t>6000K</t>
  </si>
  <si>
    <t>Constant Current</t>
  </si>
  <si>
    <t>15 Watt</t>
  </si>
  <si>
    <t>FRDR15F50</t>
  </si>
  <si>
    <t>5000K</t>
  </si>
  <si>
    <t>FRDR15F40</t>
  </si>
  <si>
    <t>4000K</t>
  </si>
  <si>
    <t>FRDR15F30</t>
  </si>
  <si>
    <t>3000K</t>
  </si>
  <si>
    <t>FRDR15F60T</t>
  </si>
  <si>
    <t>TRIAC Dimming</t>
  </si>
  <si>
    <t>FRDR15F50T</t>
  </si>
  <si>
    <t>FRDR15F40T</t>
  </si>
  <si>
    <t>FRDR15F30T</t>
  </si>
  <si>
    <t>FRDR15F60BT</t>
  </si>
  <si>
    <t>Bluetooth Dimming</t>
  </si>
  <si>
    <t>FRDR15F50BT</t>
  </si>
  <si>
    <t>FRDR15F40BT</t>
  </si>
  <si>
    <t>FRDR15F30BT</t>
  </si>
  <si>
    <t>FRDR15F60I</t>
  </si>
  <si>
    <t>DALI Dimming</t>
  </si>
  <si>
    <t>FRDR15F50I</t>
  </si>
  <si>
    <t>FRDR15F40I</t>
  </si>
  <si>
    <t>FRDR15F30I</t>
  </si>
  <si>
    <t>Nos</t>
  </si>
  <si>
    <t>PCB 15W  360mA 36V-TRIAC</t>
  </si>
  <si>
    <t>PCB 15W  360mA 36V-DALI</t>
  </si>
  <si>
    <t>PCB 15W  360mA 36V-BT</t>
  </si>
  <si>
    <t>LED 2835-60mA-4000K (NW)</t>
  </si>
  <si>
    <t>LED 2835-60mA-5000K (PW)</t>
  </si>
  <si>
    <t>LED 2835-60mA-6000K (PW)</t>
  </si>
  <si>
    <t>LED 2835-60mA-3000K (WW)</t>
  </si>
  <si>
    <t>PS 15W 225mA 60V Maxic(PCB LT-MX-20W-V2)</t>
  </si>
  <si>
    <t>Trim-OD-118 ,ID-94mm  H-27mm - 96mm White - FRDR15W</t>
  </si>
  <si>
    <t>HS COB YL96x20.5mm FRDR15/DLER15</t>
  </si>
  <si>
    <t>Diff. -OD- 92  H-1.5mm - FRDR15W/DLER15</t>
  </si>
  <si>
    <t>SH. Sleeve Black 10mm Dia</t>
  </si>
  <si>
    <t>LED PCB DLER20N-120</t>
  </si>
  <si>
    <t>Screw M3x6mm CSK Head SS</t>
  </si>
  <si>
    <t>Screw M3X6mm Pan Washer Combi + Head-SS</t>
  </si>
  <si>
    <t>Wire Clip M-3 MS</t>
  </si>
  <si>
    <t>Locking Spring DLE15 to, DLO18</t>
  </si>
  <si>
    <t>PBX-FRDR15W &amp; SBDR16W</t>
  </si>
  <si>
    <t>SBX FRDR15-20W (12Nos)</t>
  </si>
  <si>
    <t>Nut Square M3 7X2mm (DLER15&amp;20)</t>
  </si>
  <si>
    <t>Refl. P DLER15 96mm</t>
  </si>
  <si>
    <t>SCREW 2X7 CSK MS</t>
  </si>
  <si>
    <t>Unit Price</t>
  </si>
  <si>
    <t>USD</t>
  </si>
  <si>
    <t>INS&amp;FRED</t>
  </si>
  <si>
    <t>BCD</t>
  </si>
  <si>
    <t>Total Cost</t>
  </si>
  <si>
    <t>FRDR15-CC</t>
  </si>
  <si>
    <t>PS Rate Mention with 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</si>
</sst>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00"/>
    <numFmt numFmtId="165" formatCode="&quot;$&quot;#,##0.000"/>
    <numFmt numFmtId="166" formatCode="_ [$Rs.-4009]\ * #,##0.00_ ;_ [$Rs.-4009]\ * \-#,##0.00_ ;_ [$Rs.-4009]\ * &quot;-&quot;??_ ;_ @_ "/>
    <numFmt numFmtId="167" formatCode="_-[$Rs-420]* #,##0.00_-;_-[$Rs-420]* #,##0.00\-;_-[$Rs-420]* &quot;-&quot;??_-;_-@_-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sz val="8"/>
      <name val="Calibri"/>
      <family val="2"/>
      <scheme val="mino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6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0" fillId="0" borderId="0"/>
    <xf numFmtId="0" fontId="2" fillId="0" borderId="0"/>
    <xf numFmtId="0" fontId="23" fillId="0" borderId="0"/>
  </cellStyleXfs>
  <cellXfs count="115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19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2" fillId="0" borderId="1" xfId="2" applyBorder="1"/>
    <xf numFmtId="0" fontId="2" fillId="0" borderId="14" xfId="2" applyBorder="1"/>
    <xf numFmtId="0" fontId="2" fillId="0" borderId="2" xfId="0" applyFont="1" applyBorder="1"/>
    <xf numFmtId="0" fontId="2" fillId="0" borderId="14" xfId="2" applyBorder="1" applyAlignment="1">
      <alignment horizontal="left"/>
    </xf>
    <xf numFmtId="0" fontId="2" fillId="0" borderId="14" xfId="0" applyFont="1" applyBorder="1"/>
    <xf numFmtId="49" fontId="2" fillId="0" borderId="14" xfId="4" applyNumberFormat="1" applyBorder="1" applyAlignment="1">
      <alignment horizontal="left"/>
    </xf>
    <xf numFmtId="0" fontId="2" fillId="0" borderId="1" xfId="4" applyBorder="1" applyAlignment="1">
      <alignment horizontal="left"/>
    </xf>
    <xf numFmtId="0" fontId="2" fillId="10" borderId="1" xfId="4" applyFill="1" applyBorder="1" applyAlignment="1">
      <alignment horizontal="left"/>
    </xf>
    <xf numFmtId="0" fontId="2" fillId="9" borderId="0" xfId="0" applyFont="1" applyFill="1" applyAlignment="1">
      <alignment wrapText="1"/>
    </xf>
    <xf numFmtId="0" fontId="2" fillId="10" borderId="1" xfId="0" applyFont="1" applyFill="1" applyBorder="1"/>
    <xf numFmtId="0" fontId="0" fillId="9" borderId="1" xfId="0" applyFill="1" applyBorder="1"/>
    <xf numFmtId="0" fontId="23" fillId="0" borderId="0" xfId="5"/>
    <xf numFmtId="0" fontId="21" fillId="10" borderId="0" xfId="0" applyFont="1" applyFill="1" applyAlignment="1">
      <alignment horizontal="left" vertical="center" wrapText="1"/>
    </xf>
    <xf numFmtId="0" fontId="0" fillId="10" borderId="0" xfId="0" applyFill="1"/>
    <xf numFmtId="0" fontId="0" fillId="10" borderId="1" xfId="0" applyFill="1" applyBorder="1"/>
    <xf numFmtId="0" fontId="2" fillId="10" borderId="2" xfId="4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/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NumberFormat="1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6" fontId="8" fillId="6" borderId="17" xfId="0" applyNumberFormat="1" applyFont="1" applyFill="1" applyBorder="1" applyAlignment="1">
      <alignment horizontal="center" vertical="center"/>
    </xf>
    <xf numFmtId="167" fontId="24" fillId="11" borderId="1" xfId="0" applyNumberFormat="1" applyFont="1" applyFill="1" applyBorder="1" applyAlignment="1">
      <alignment horizontal="left" vertical="center"/>
    </xf>
    <xf numFmtId="166" fontId="26" fillId="0" borderId="1" xfId="0" applyNumberFormat="1" applyFont="1" applyBorder="1" applyAlignment="1">
      <alignment horizontal="center" vertical="center"/>
    </xf>
    <xf numFmtId="0" fontId="26" fillId="0" borderId="0" xfId="0" applyFont="1" applyBorder="1"/>
    <xf numFmtId="0" fontId="26" fillId="0" borderId="0" xfId="0" applyFont="1"/>
    <xf numFmtId="0" fontId="8" fillId="11" borderId="2" xfId="0" applyFont="1" applyFill="1" applyBorder="1" applyAlignment="1">
      <alignment horizontal="right" vertical="center"/>
    </xf>
    <xf numFmtId="0" fontId="8" fillId="11" borderId="14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Hyperlink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</cellStyles>
  <dxfs count="17"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dmin\Desktop\NRRR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end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zoomScale="96" zoomScaleNormal="96" workbookViewId="0">
      <selection activeCell="F10" sqref="F10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30.140625" customWidth="1"/>
    <col min="5" max="5" width="20.42578125" customWidth="1"/>
    <col min="6" max="6" width="51.42578125" customWidth="1"/>
    <col min="7" max="7" width="20.5703125" customWidth="1"/>
    <col min="8" max="8" width="27.7109375" hidden="1" customWidth="1"/>
    <col min="9" max="9" width="31.85546875" hidden="1" customWidth="1"/>
    <col min="10" max="10" width="27.7109375" hidden="1" customWidth="1"/>
    <col min="11" max="11" width="16.7109375" customWidth="1"/>
    <col min="12" max="13" width="11.28515625" customWidth="1"/>
    <col min="15" max="15" width="10.85546875" customWidth="1"/>
    <col min="17" max="17" width="10.2851562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92" t="s">
        <v>290</v>
      </c>
      <c r="M1" s="92" t="s">
        <v>193</v>
      </c>
      <c r="N1" s="90" t="s">
        <v>291</v>
      </c>
      <c r="O1" s="91" t="s">
        <v>292</v>
      </c>
      <c r="P1" s="91" t="s">
        <v>293</v>
      </c>
      <c r="Q1" s="90" t="s">
        <v>294</v>
      </c>
    </row>
    <row r="2" spans="1:17">
      <c r="A2" s="49" t="str">
        <f>$D$2</f>
        <v>FRDR15F30</v>
      </c>
      <c r="B2" s="49" t="s">
        <v>206</v>
      </c>
      <c r="C2" s="49" t="s">
        <v>189</v>
      </c>
      <c r="D2" s="84" t="s">
        <v>250</v>
      </c>
      <c r="E2" s="49">
        <v>1</v>
      </c>
      <c r="F2" s="81" t="str">
        <f>'Backend data'!C6</f>
        <v>Trim-OD-118 ,ID-94mm  H-27mm - 96mm White - FRDR15W</v>
      </c>
      <c r="G2" s="88">
        <v>1</v>
      </c>
      <c r="H2" s="49" t="s">
        <v>208</v>
      </c>
      <c r="I2" s="49" t="s">
        <v>9</v>
      </c>
      <c r="J2" s="49"/>
      <c r="K2" s="49"/>
      <c r="L2" s="101">
        <v>7</v>
      </c>
      <c r="M2" s="101">
        <f>G2*L2</f>
        <v>7</v>
      </c>
    </row>
    <row r="3" spans="1:17">
      <c r="A3" s="49"/>
      <c r="B3" s="49"/>
      <c r="C3" s="49"/>
      <c r="D3" s="49"/>
      <c r="E3" s="49"/>
      <c r="F3" s="49" t="s">
        <v>277</v>
      </c>
      <c r="G3" s="88">
        <v>1</v>
      </c>
      <c r="H3" s="49" t="s">
        <v>208</v>
      </c>
      <c r="I3" s="49" t="s">
        <v>9</v>
      </c>
      <c r="J3" s="49"/>
      <c r="K3" s="49"/>
      <c r="L3" s="101">
        <f t="shared" ref="L3:L5" si="0">Q3*87</f>
        <v>144.46349999999998</v>
      </c>
      <c r="M3" s="101">
        <f t="shared" ref="M3:M21" si="1">G3*L3</f>
        <v>144.46349999999998</v>
      </c>
      <c r="N3" s="93">
        <v>1.107</v>
      </c>
      <c r="O3" s="94">
        <v>0.5</v>
      </c>
      <c r="P3" s="94"/>
      <c r="Q3" s="95">
        <f t="shared" ref="Q3:Q5" si="2">N3+(N3*(O3+P3))</f>
        <v>1.6604999999999999</v>
      </c>
    </row>
    <row r="4" spans="1:17">
      <c r="A4" s="49"/>
      <c r="B4" s="49"/>
      <c r="C4" s="49"/>
      <c r="D4" s="49"/>
      <c r="E4" s="49"/>
      <c r="F4" s="89" t="s">
        <v>278</v>
      </c>
      <c r="G4" s="88">
        <v>1</v>
      </c>
      <c r="H4" s="49" t="s">
        <v>208</v>
      </c>
      <c r="I4" s="49" t="s">
        <v>9</v>
      </c>
      <c r="J4" s="49"/>
      <c r="K4" s="49"/>
      <c r="L4" s="101">
        <v>5</v>
      </c>
      <c r="M4" s="101">
        <f t="shared" si="1"/>
        <v>5</v>
      </c>
    </row>
    <row r="5" spans="1:17">
      <c r="A5" s="49"/>
      <c r="B5" s="49"/>
      <c r="C5" s="49"/>
      <c r="D5" s="49"/>
      <c r="E5" s="49"/>
      <c r="F5" s="49" t="s">
        <v>219</v>
      </c>
      <c r="G5" s="88">
        <v>1</v>
      </c>
      <c r="H5" s="49" t="s">
        <v>208</v>
      </c>
      <c r="I5" s="49" t="s">
        <v>9</v>
      </c>
      <c r="J5" s="49"/>
      <c r="K5" s="49"/>
      <c r="L5" s="101">
        <f t="shared" si="0"/>
        <v>3.915</v>
      </c>
      <c r="M5" s="101">
        <f t="shared" si="1"/>
        <v>3.915</v>
      </c>
      <c r="N5" s="93">
        <v>0.03</v>
      </c>
      <c r="O5" s="94">
        <v>0.5</v>
      </c>
      <c r="P5" s="94"/>
      <c r="Q5" s="95">
        <f t="shared" si="2"/>
        <v>4.4999999999999998E-2</v>
      </c>
    </row>
    <row r="6" spans="1:17">
      <c r="A6" s="49"/>
      <c r="B6" s="49"/>
      <c r="C6" s="49"/>
      <c r="D6" s="49"/>
      <c r="E6" s="49"/>
      <c r="F6" s="49" t="s">
        <v>288</v>
      </c>
      <c r="G6" s="88">
        <v>1</v>
      </c>
      <c r="H6" s="49" t="s">
        <v>208</v>
      </c>
      <c r="I6" s="49" t="s">
        <v>9</v>
      </c>
      <c r="J6" s="49"/>
      <c r="K6" s="49"/>
      <c r="L6" s="101">
        <v>9.3699999999999992</v>
      </c>
      <c r="M6" s="101">
        <f t="shared" si="1"/>
        <v>9.3699999999999992</v>
      </c>
    </row>
    <row r="7" spans="1:17">
      <c r="A7" s="49"/>
      <c r="B7" s="49"/>
      <c r="C7" s="49"/>
      <c r="D7" s="49"/>
      <c r="E7" s="49"/>
      <c r="F7" s="82" t="s">
        <v>285</v>
      </c>
      <c r="G7" s="96">
        <v>1</v>
      </c>
      <c r="H7" s="49" t="s">
        <v>208</v>
      </c>
      <c r="I7" s="49" t="s">
        <v>9</v>
      </c>
      <c r="J7" s="49"/>
      <c r="K7" s="49"/>
      <c r="L7" s="101">
        <v>8.5</v>
      </c>
      <c r="M7" s="101">
        <f t="shared" si="1"/>
        <v>8.5</v>
      </c>
    </row>
    <row r="8" spans="1:17">
      <c r="A8" s="49"/>
      <c r="B8" s="49"/>
      <c r="C8" s="49"/>
      <c r="D8" s="49"/>
      <c r="E8" s="49"/>
      <c r="F8" s="82" t="s">
        <v>286</v>
      </c>
      <c r="G8" s="96">
        <v>0.08</v>
      </c>
      <c r="H8" s="49" t="s">
        <v>208</v>
      </c>
      <c r="I8" s="49" t="s">
        <v>9</v>
      </c>
      <c r="J8" s="49"/>
      <c r="K8" s="49"/>
      <c r="L8" s="101">
        <v>27</v>
      </c>
      <c r="M8" s="101">
        <f t="shared" si="1"/>
        <v>2.16</v>
      </c>
    </row>
    <row r="9" spans="1:17">
      <c r="A9" s="49"/>
      <c r="B9" s="49"/>
      <c r="C9" s="49"/>
      <c r="D9" s="49"/>
      <c r="E9" s="49"/>
      <c r="F9" s="85" t="str">
        <f>D20</f>
        <v>FRDR15F30  BOM LED PCB</v>
      </c>
      <c r="G9" s="97">
        <v>1</v>
      </c>
      <c r="H9" s="49" t="s">
        <v>208</v>
      </c>
      <c r="I9" s="49" t="s">
        <v>9</v>
      </c>
      <c r="J9" s="49"/>
      <c r="K9" s="49"/>
      <c r="L9" s="101"/>
      <c r="M9" s="101"/>
    </row>
    <row r="10" spans="1:17">
      <c r="A10" s="49"/>
      <c r="B10" s="49"/>
      <c r="C10" s="49"/>
      <c r="D10" s="49"/>
      <c r="E10" s="49"/>
      <c r="F10" s="49" t="s">
        <v>211</v>
      </c>
      <c r="G10" s="88">
        <v>0.12</v>
      </c>
      <c r="H10" s="49" t="s">
        <v>208</v>
      </c>
      <c r="I10" s="49" t="s">
        <v>9</v>
      </c>
      <c r="J10" s="49"/>
      <c r="K10" s="49"/>
      <c r="L10" s="101">
        <f>5.7/1000*120</f>
        <v>0.68400000000000005</v>
      </c>
      <c r="M10" s="101">
        <f t="shared" si="1"/>
        <v>8.208E-2</v>
      </c>
    </row>
    <row r="11" spans="1:17">
      <c r="A11" s="49"/>
      <c r="B11" s="49"/>
      <c r="C11" s="49"/>
      <c r="D11" s="49"/>
      <c r="E11" s="49"/>
      <c r="F11" s="60" t="s">
        <v>279</v>
      </c>
      <c r="G11" s="88">
        <v>0.1</v>
      </c>
      <c r="H11" s="49" t="s">
        <v>208</v>
      </c>
      <c r="I11" s="49" t="s">
        <v>9</v>
      </c>
      <c r="J11" s="49"/>
      <c r="K11" s="49"/>
      <c r="L11" s="101">
        <v>8.5</v>
      </c>
      <c r="M11" s="101">
        <f t="shared" si="1"/>
        <v>0.85000000000000009</v>
      </c>
    </row>
    <row r="12" spans="1:17">
      <c r="A12" s="49"/>
      <c r="B12" s="49"/>
      <c r="C12" s="49"/>
      <c r="D12" s="49"/>
      <c r="E12" s="49"/>
      <c r="F12" s="60" t="s">
        <v>283</v>
      </c>
      <c r="G12" s="88">
        <v>1</v>
      </c>
      <c r="H12" s="49" t="s">
        <v>208</v>
      </c>
      <c r="I12" s="49" t="s">
        <v>9</v>
      </c>
      <c r="J12" s="49"/>
      <c r="K12" s="49"/>
      <c r="L12" s="101">
        <v>0.6</v>
      </c>
      <c r="M12" s="101">
        <f t="shared" si="1"/>
        <v>0.6</v>
      </c>
    </row>
    <row r="13" spans="1:17">
      <c r="A13" s="49"/>
      <c r="B13" s="49"/>
      <c r="C13" s="49"/>
      <c r="D13" s="49"/>
      <c r="E13" s="49"/>
      <c r="F13" s="60" t="s">
        <v>284</v>
      </c>
      <c r="G13" s="88">
        <v>2</v>
      </c>
      <c r="H13" s="49" t="s">
        <v>208</v>
      </c>
      <c r="I13" s="49" t="s">
        <v>9</v>
      </c>
      <c r="J13" s="49"/>
      <c r="K13" s="49"/>
      <c r="L13" s="101">
        <v>4.5</v>
      </c>
      <c r="M13" s="101">
        <f t="shared" si="1"/>
        <v>9</v>
      </c>
    </row>
    <row r="14" spans="1:17">
      <c r="A14" s="49"/>
      <c r="B14" s="49"/>
      <c r="C14" s="49"/>
      <c r="D14" s="49"/>
      <c r="E14" s="49"/>
      <c r="F14" s="60" t="s">
        <v>281</v>
      </c>
      <c r="G14" s="88">
        <v>4</v>
      </c>
      <c r="H14" s="49" t="s">
        <v>208</v>
      </c>
      <c r="I14" s="49" t="s">
        <v>9</v>
      </c>
      <c r="J14" s="49"/>
      <c r="K14" s="49"/>
      <c r="L14" s="101">
        <v>0.48</v>
      </c>
      <c r="M14" s="101">
        <f t="shared" si="1"/>
        <v>1.92</v>
      </c>
    </row>
    <row r="15" spans="1:17">
      <c r="A15" s="49"/>
      <c r="B15" s="49"/>
      <c r="C15" s="49"/>
      <c r="D15" s="49"/>
      <c r="E15" s="49"/>
      <c r="F15" s="60" t="s">
        <v>282</v>
      </c>
      <c r="G15" s="88">
        <v>1</v>
      </c>
      <c r="H15" s="49" t="s">
        <v>208</v>
      </c>
      <c r="I15" s="49" t="s">
        <v>9</v>
      </c>
      <c r="J15" s="49"/>
      <c r="K15" s="49"/>
      <c r="L15" s="101">
        <v>0.77</v>
      </c>
      <c r="M15" s="101">
        <f t="shared" si="1"/>
        <v>0.77</v>
      </c>
    </row>
    <row r="16" spans="1:17">
      <c r="A16" s="49"/>
      <c r="B16" s="49"/>
      <c r="C16" s="49"/>
      <c r="D16" s="49"/>
      <c r="E16" s="49"/>
      <c r="F16" s="60" t="s">
        <v>287</v>
      </c>
      <c r="G16" s="88">
        <v>2</v>
      </c>
      <c r="H16" s="49" t="s">
        <v>208</v>
      </c>
      <c r="I16" s="49" t="s">
        <v>9</v>
      </c>
      <c r="J16" s="49"/>
      <c r="K16" s="49"/>
      <c r="L16" s="101">
        <v>1.2</v>
      </c>
      <c r="M16" s="101">
        <f t="shared" si="1"/>
        <v>2.4</v>
      </c>
    </row>
    <row r="17" spans="1:17">
      <c r="A17" s="49"/>
      <c r="B17" s="49"/>
      <c r="C17" s="49"/>
      <c r="D17" s="49"/>
      <c r="E17" s="49"/>
      <c r="F17" s="49" t="s">
        <v>212</v>
      </c>
      <c r="G17" s="88">
        <v>2</v>
      </c>
      <c r="H17" s="49" t="s">
        <v>208</v>
      </c>
      <c r="I17" s="49" t="s">
        <v>9</v>
      </c>
      <c r="J17" s="49"/>
      <c r="K17" s="49"/>
      <c r="L17" s="101">
        <v>0.4</v>
      </c>
      <c r="M17" s="101">
        <f t="shared" si="1"/>
        <v>0.8</v>
      </c>
    </row>
    <row r="18" spans="1:17">
      <c r="A18" s="49"/>
      <c r="B18" s="49"/>
      <c r="C18" s="49"/>
      <c r="D18" s="49"/>
      <c r="E18" s="49"/>
      <c r="F18" s="49" t="s">
        <v>289</v>
      </c>
      <c r="G18" s="88">
        <v>2</v>
      </c>
      <c r="H18" s="49" t="s">
        <v>208</v>
      </c>
      <c r="I18" s="49" t="s">
        <v>9</v>
      </c>
      <c r="J18" s="49"/>
      <c r="K18" s="49"/>
      <c r="L18" s="101">
        <v>0.16</v>
      </c>
      <c r="M18" s="101">
        <f t="shared" si="1"/>
        <v>0.32</v>
      </c>
    </row>
    <row r="19" spans="1:17">
      <c r="A19" s="49"/>
      <c r="B19" s="49"/>
      <c r="C19" s="49"/>
      <c r="D19" s="49"/>
      <c r="E19" s="49"/>
      <c r="F19" s="49" t="str">
        <f>'Backend data'!H6</f>
        <v>PS 15W 225mA 60V Maxic(PCB LT-MX-20W-V2)</v>
      </c>
      <c r="G19" s="88">
        <v>1</v>
      </c>
      <c r="H19" s="49" t="s">
        <v>208</v>
      </c>
      <c r="I19" s="49" t="s">
        <v>9</v>
      </c>
      <c r="J19" s="49"/>
      <c r="K19" s="49"/>
      <c r="L19" s="101"/>
      <c r="M19" s="101"/>
      <c r="N19" s="102" t="s">
        <v>296</v>
      </c>
      <c r="O19" s="103"/>
      <c r="P19" s="103"/>
      <c r="Q19" s="103"/>
    </row>
    <row r="20" spans="1:17">
      <c r="A20" s="86" t="str">
        <f>CONCATENATE(A2)</f>
        <v>FRDR15F30</v>
      </c>
      <c r="B20" s="86" t="s">
        <v>206</v>
      </c>
      <c r="C20" s="86" t="s">
        <v>267</v>
      </c>
      <c r="D20" s="86" t="str">
        <f>CONCATENATE('Backend data'!$H$5,"  ",'Backend data'!H10)</f>
        <v>FRDR15F30  BOM LED PCB</v>
      </c>
      <c r="E20" s="49">
        <v>1</v>
      </c>
      <c r="F20" s="79" t="str">
        <f>'Backend data'!G6</f>
        <v>LED 2835-60mA-3000K (WW)</v>
      </c>
      <c r="G20" s="98">
        <v>120</v>
      </c>
      <c r="H20" s="60" t="s">
        <v>223</v>
      </c>
      <c r="I20" s="49" t="s">
        <v>9</v>
      </c>
      <c r="J20" s="49"/>
      <c r="K20" s="49"/>
      <c r="L20" s="101">
        <v>0.09</v>
      </c>
      <c r="M20" s="101">
        <f t="shared" si="1"/>
        <v>10.799999999999999</v>
      </c>
    </row>
    <row r="21" spans="1:17">
      <c r="A21" s="49"/>
      <c r="B21" s="49"/>
      <c r="C21" s="49"/>
      <c r="D21" s="49"/>
      <c r="E21" s="49"/>
      <c r="F21" s="87" t="s">
        <v>280</v>
      </c>
      <c r="G21" s="98">
        <v>1</v>
      </c>
      <c r="H21" s="60" t="s">
        <v>223</v>
      </c>
      <c r="I21" s="49" t="s">
        <v>9</v>
      </c>
      <c r="J21" s="49"/>
      <c r="K21" s="49"/>
      <c r="L21" s="101">
        <v>19.670000000000002</v>
      </c>
      <c r="M21" s="101">
        <f t="shared" si="1"/>
        <v>19.670000000000002</v>
      </c>
    </row>
    <row r="22" spans="1:17" ht="20.25" customHeight="1" thickBot="1">
      <c r="M22" s="99">
        <f>SUM(M2:M21)</f>
        <v>227.62057999999996</v>
      </c>
    </row>
    <row r="23" spans="1:17" ht="15.75" thickTop="1"/>
    <row r="24" spans="1:17" ht="22.5" customHeight="1">
      <c r="K24" s="104" t="s">
        <v>295</v>
      </c>
      <c r="L24" s="105"/>
      <c r="M24" s="100">
        <f>M22+98</f>
        <v>325.62057999999996</v>
      </c>
    </row>
  </sheetData>
  <mergeCells count="1">
    <mergeCell ref="K24:L24"/>
  </mergeCells>
  <phoneticPr fontId="22" type="noConversion"/>
  <conditionalFormatting sqref="F1 F20:F21 F25:F1048576">
    <cfRule type="containsText" dxfId="16" priority="25" operator="containsText" text="PS-">
      <formula>NOT(ISERROR(SEARCH("PS-",F1)))</formula>
    </cfRule>
    <cfRule type="containsText" dxfId="15" priority="28" operator="containsText" text="COB-">
      <formula>NOT(ISERROR(SEARCH("COB-",F1)))</formula>
    </cfRule>
    <cfRule type="containsText" dxfId="14" priority="30" operator="containsText" text="TRIM">
      <formula>NOT(ISERROR(SEARCH("TRIM",F1)))</formula>
    </cfRule>
  </conditionalFormatting>
  <conditionalFormatting sqref="F20:G20 F21 F1:G6 F10:F19 G9:G16 F25:G1048576">
    <cfRule type="containsText" dxfId="13" priority="24" operator="containsText" text="REFLECTOR">
      <formula>NOT(ISERROR(SEARCH("REFLECTOR",F1)))</formula>
    </cfRule>
  </conditionalFormatting>
  <conditionalFormatting sqref="F20">
    <cfRule type="duplicateValues" dxfId="12" priority="14"/>
  </conditionalFormatting>
  <conditionalFormatting sqref="F7:F8">
    <cfRule type="containsText" dxfId="11" priority="3" operator="containsText" text="PS-">
      <formula>NOT(ISERROR(SEARCH("PS-",F7)))</formula>
    </cfRule>
    <cfRule type="containsText" dxfId="10" priority="4" operator="containsText" text="COB-">
      <formula>NOT(ISERROR(SEARCH("COB-",F7)))</formula>
    </cfRule>
    <cfRule type="containsText" dxfId="9" priority="5" operator="containsText" text="TRIM">
      <formula>NOT(ISERROR(SEARCH("TRIM",F7)))</formula>
    </cfRule>
  </conditionalFormatting>
  <conditionalFormatting sqref="F7:F8">
    <cfRule type="containsText" dxfId="8" priority="2" operator="containsText" text="REFLECTOR">
      <formula>NOT(ISERROR(SEARCH("REFLECTOR",F7)))</formula>
    </cfRule>
  </conditionalFormatting>
  <pageMargins left="0.69930555555555995" right="0.69930555555555995" top="0.75" bottom="0.75" header="0.3" footer="0.3"/>
  <pageSetup orientation="portrait" verticalDpi="0" r:id="rId1"/>
  <ignoredErrors>
    <ignoredError sqref="L1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F25:G1048576 F10:F19 F1:G6 G9:G16</xm:sqref>
        </x14:conditionalFormatting>
        <x14:conditionalFormatting xmlns:xm="http://schemas.microsoft.com/office/excel/2006/main">
          <x14:cfRule type="expression" priority="1" id="{E23C20A4-7B6C-46EB-A49E-FAAA04BC20B1}">
            <xm:f>$F:$F='G:\Users\Admin\Desktop\[NRRR- BOM.xlsx]Backend data'!#REF!</xm:f>
            <x14:dxf>
              <fill>
                <patternFill>
                  <bgColor theme="7" tint="0.59996337778862885"/>
                </patternFill>
              </fill>
            </x14:dxf>
          </x14:cfRule>
          <xm:sqref>F7:F8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Result!$B$2:$B$17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07" t="s">
        <v>20</v>
      </c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9"/>
    </row>
    <row r="6" spans="1:17" ht="12.6" customHeight="1">
      <c r="A6" s="16" t="s">
        <v>21</v>
      </c>
      <c r="B6" s="12" t="s">
        <v>15</v>
      </c>
      <c r="C6" s="13"/>
      <c r="E6" s="107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9"/>
    </row>
    <row r="7" spans="1:17" ht="12.6" customHeight="1">
      <c r="A7" s="16" t="s">
        <v>22</v>
      </c>
      <c r="B7" s="12" t="s">
        <v>15</v>
      </c>
      <c r="C7" s="13"/>
      <c r="E7" s="107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1:17" ht="12.6" customHeight="1">
      <c r="A8" s="16" t="s">
        <v>23</v>
      </c>
      <c r="B8" s="12" t="s">
        <v>15</v>
      </c>
      <c r="C8" s="13"/>
      <c r="E8" s="107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9"/>
    </row>
    <row r="9" spans="1:17" ht="12.95" customHeight="1">
      <c r="A9" s="16" t="s">
        <v>24</v>
      </c>
      <c r="B9" s="12" t="s">
        <v>15</v>
      </c>
      <c r="C9" s="13"/>
      <c r="E9" s="107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9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</row>
    <row r="20" spans="1:17" ht="25.5">
      <c r="A20" s="16" t="s">
        <v>40</v>
      </c>
      <c r="B20" s="12" t="s">
        <v>15</v>
      </c>
      <c r="C20" s="13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</row>
    <row r="21" spans="1:17">
      <c r="A21" s="16" t="s">
        <v>41</v>
      </c>
      <c r="B21" s="12" t="s">
        <v>15</v>
      </c>
      <c r="C21" s="13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</row>
    <row r="22" spans="1:17">
      <c r="A22" s="6" t="s">
        <v>42</v>
      </c>
      <c r="B22" s="30"/>
      <c r="C22" s="31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 xr:uid="{00000000-0004-0000-0100-000000000000}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49"/>
  <sheetViews>
    <sheetView topLeftCell="C2" workbookViewId="0">
      <selection activeCell="H10" sqref="H10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29.5703125" customWidth="1"/>
    <col min="8" max="8" width="46" style="51" customWidth="1"/>
    <col min="9" max="9" width="12.7109375" customWidth="1"/>
    <col min="11" max="11" width="2.7109375" customWidth="1"/>
    <col min="13" max="13" width="55.42578125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35.7109375" style="5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194</v>
      </c>
      <c r="D2" s="61" t="s">
        <v>202</v>
      </c>
      <c r="E2" s="55" t="s">
        <v>195</v>
      </c>
      <c r="F2" s="55" t="s">
        <v>196</v>
      </c>
      <c r="G2" s="55" t="s">
        <v>198</v>
      </c>
      <c r="H2" s="54" t="s">
        <v>197</v>
      </c>
      <c r="I2" s="62" t="s">
        <v>203</v>
      </c>
    </row>
    <row r="3" spans="2:9">
      <c r="C3" s="80" t="str">
        <f>MID('Stock Item'!D2,4,1)</f>
        <v>R</v>
      </c>
      <c r="D3" s="52" t="str">
        <f>MID('Stock Item'!$D$2,6,2)</f>
        <v>5F</v>
      </c>
      <c r="E3" s="63" t="str">
        <f>MID('Stock Item'!$D$2,3,1)</f>
        <v>D</v>
      </c>
      <c r="F3" s="63" t="str">
        <f>MID('Stock Item'!$D$2,7,1)</f>
        <v>F</v>
      </c>
      <c r="G3" s="51" t="str">
        <f>MID('Stock Item'!$D$2,8,2)</f>
        <v>30</v>
      </c>
      <c r="H3" s="63" t="str">
        <f>MID('Stock Item'!$D$2,10,10)</f>
        <v/>
      </c>
      <c r="I3" t="str">
        <f>MID('Stock Item'!$D$2,2,1)</f>
        <v>R</v>
      </c>
    </row>
    <row r="4" spans="2:9">
      <c r="D4" s="64" t="str">
        <f>CONCATENATE(C3)</f>
        <v>R</v>
      </c>
      <c r="G4" s="64" t="str">
        <f>CONCATENATE(G3)</f>
        <v>30</v>
      </c>
      <c r="H4" s="51" t="str">
        <f>CONCATENATE(H3,"-")</f>
        <v>-</v>
      </c>
    </row>
    <row r="5" spans="2:9">
      <c r="H5" s="51" t="str">
        <f>CONCATENATE('Stock Item'!D2)</f>
        <v>FRDR15F30</v>
      </c>
    </row>
    <row r="6" spans="2:9">
      <c r="B6" s="54" t="s">
        <v>199</v>
      </c>
      <c r="C6" s="58" t="str">
        <f>VLOOKUP($C$3,$B$23:$E$72,2,0)</f>
        <v>Trim-OD-118 ,ID-94mm  H-27mm - 96mm White - FRDR15W</v>
      </c>
      <c r="D6" s="57">
        <f>VLOOKUP($D$4,G23:$J$100,2,0)</f>
        <v>0</v>
      </c>
      <c r="E6" s="57" t="e">
        <f>VLOOKUP($E$3,$L$23:$O$72,2,0)</f>
        <v>#N/A</v>
      </c>
      <c r="F6" s="57">
        <f>VLOOKUP($F$3,$Q$23:$T$72,2,0)</f>
        <v>0</v>
      </c>
      <c r="G6" s="57" t="str">
        <f>VLOOKUP($G$4,$V$23:$Y$72,2,0)</f>
        <v>LED 2835-60mA-3000K (WW)</v>
      </c>
      <c r="H6" s="56" t="str">
        <f>VLOOKUP($H$4,$AA$23:$AD$72,2,0)</f>
        <v>PS 15W 225mA 60V Maxic(PCB LT-MX-20W-V2)</v>
      </c>
      <c r="I6" s="56" t="e">
        <f>VLOOKUP($I$3,AF23:$AI$100,2,0)</f>
        <v>#N/A</v>
      </c>
    </row>
    <row r="7" spans="2:9" ht="30">
      <c r="B7" s="54" t="s">
        <v>200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>
        <f>VLOOKUP($F$3,$Q$23:$T$72,4,0)</f>
        <v>0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201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>
        <f>VLOOKUP($F$3,$Q$23:$T$72,3,0)</f>
        <v>0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7" t="s">
        <v>204</v>
      </c>
    </row>
    <row r="19" spans="2:35" ht="13.9" customHeight="1"/>
    <row r="21" spans="2:35">
      <c r="B21" s="113" t="s">
        <v>194</v>
      </c>
      <c r="C21" s="114"/>
      <c r="D21" s="114"/>
      <c r="E21" s="114"/>
      <c r="G21" s="113" t="s">
        <v>213</v>
      </c>
      <c r="H21" s="114"/>
      <c r="I21" s="114"/>
      <c r="J21" s="114"/>
      <c r="L21" s="113" t="s">
        <v>195</v>
      </c>
      <c r="M21" s="114"/>
      <c r="N21" s="114"/>
      <c r="O21" s="114"/>
      <c r="Q21" s="113" t="s">
        <v>196</v>
      </c>
      <c r="R21" s="114"/>
      <c r="S21" s="114"/>
      <c r="T21" s="114"/>
      <c r="V21" s="113" t="s">
        <v>205</v>
      </c>
      <c r="W21" s="114"/>
      <c r="X21" s="114"/>
      <c r="Y21" s="114"/>
      <c r="AA21" s="110" t="s">
        <v>197</v>
      </c>
      <c r="AB21" s="111"/>
      <c r="AC21" s="111"/>
      <c r="AD21" s="112"/>
      <c r="AF21" s="110" t="s">
        <v>203</v>
      </c>
      <c r="AG21" s="111"/>
      <c r="AH21" s="111"/>
      <c r="AI21" s="112"/>
    </row>
    <row r="22" spans="2:35">
      <c r="B22" s="50" t="s">
        <v>190</v>
      </c>
      <c r="C22" s="53" t="s">
        <v>191</v>
      </c>
      <c r="D22" s="50" t="s">
        <v>192</v>
      </c>
      <c r="E22" s="50" t="s">
        <v>193</v>
      </c>
      <c r="G22" s="50" t="s">
        <v>190</v>
      </c>
      <c r="H22" s="53" t="s">
        <v>191</v>
      </c>
      <c r="I22" s="50" t="s">
        <v>192</v>
      </c>
      <c r="J22" s="50" t="s">
        <v>193</v>
      </c>
      <c r="L22" s="50" t="s">
        <v>190</v>
      </c>
      <c r="M22" s="53" t="s">
        <v>191</v>
      </c>
      <c r="N22" s="50" t="s">
        <v>192</v>
      </c>
      <c r="O22" s="50" t="s">
        <v>193</v>
      </c>
      <c r="Q22" s="50" t="s">
        <v>190</v>
      </c>
      <c r="R22" s="53" t="s">
        <v>191</v>
      </c>
      <c r="S22" s="50" t="s">
        <v>192</v>
      </c>
      <c r="T22" s="50" t="s">
        <v>193</v>
      </c>
      <c r="V22" s="50" t="s">
        <v>190</v>
      </c>
      <c r="W22" s="50" t="s">
        <v>191</v>
      </c>
      <c r="X22" s="50" t="s">
        <v>192</v>
      </c>
      <c r="Y22" s="50" t="s">
        <v>193</v>
      </c>
      <c r="AA22" s="50" t="s">
        <v>190</v>
      </c>
      <c r="AB22" s="53" t="s">
        <v>191</v>
      </c>
      <c r="AC22" s="50" t="s">
        <v>192</v>
      </c>
      <c r="AD22" s="50" t="s">
        <v>193</v>
      </c>
      <c r="AF22" s="50" t="s">
        <v>190</v>
      </c>
      <c r="AG22" s="50" t="s">
        <v>191</v>
      </c>
      <c r="AH22" s="50" t="s">
        <v>192</v>
      </c>
      <c r="AI22" s="50" t="s">
        <v>193</v>
      </c>
    </row>
    <row r="23" spans="2:35">
      <c r="B23" s="72" t="s">
        <v>209</v>
      </c>
      <c r="C23" s="89" t="s">
        <v>276</v>
      </c>
      <c r="D23" s="70"/>
      <c r="E23" s="70"/>
      <c r="G23" s="73" t="s">
        <v>209</v>
      </c>
      <c r="H23" s="72"/>
      <c r="L23" s="69"/>
      <c r="M23" s="68"/>
      <c r="Q23" s="73" t="s">
        <v>214</v>
      </c>
      <c r="R23" s="74"/>
      <c r="V23" s="77" t="s">
        <v>215</v>
      </c>
      <c r="W23" s="79" t="s">
        <v>273</v>
      </c>
      <c r="X23" s="49"/>
      <c r="AA23" s="76" t="s">
        <v>210</v>
      </c>
      <c r="AB23" s="60" t="s">
        <v>275</v>
      </c>
      <c r="AF23" s="60"/>
      <c r="AG23" s="60"/>
    </row>
    <row r="24" spans="2:35">
      <c r="B24" s="72"/>
      <c r="C24" s="60"/>
      <c r="D24" s="70"/>
      <c r="E24" s="70"/>
      <c r="G24" s="73" t="s">
        <v>207</v>
      </c>
      <c r="H24" s="60"/>
      <c r="L24" s="65"/>
      <c r="M24" s="49"/>
      <c r="Q24" s="73"/>
      <c r="R24" s="74"/>
      <c r="V24" s="77" t="s">
        <v>216</v>
      </c>
      <c r="W24" s="78" t="s">
        <v>272</v>
      </c>
      <c r="X24" s="49"/>
      <c r="AA24" s="76" t="s">
        <v>220</v>
      </c>
      <c r="AB24" s="60" t="s">
        <v>268</v>
      </c>
      <c r="AF24" s="60"/>
      <c r="AG24" s="60"/>
    </row>
    <row r="25" spans="2:35">
      <c r="B25" s="49"/>
      <c r="C25" s="49"/>
      <c r="D25" s="70"/>
      <c r="E25" s="70"/>
      <c r="L25" s="65"/>
      <c r="M25" s="66"/>
      <c r="V25" s="77" t="s">
        <v>217</v>
      </c>
      <c r="W25" s="78" t="s">
        <v>271</v>
      </c>
      <c r="X25" s="49"/>
      <c r="AA25" s="76" t="s">
        <v>221</v>
      </c>
      <c r="AB25" s="60" t="s">
        <v>269</v>
      </c>
      <c r="AF25" s="49"/>
      <c r="AG25" s="60"/>
    </row>
    <row r="26" spans="2:35">
      <c r="L26" s="65"/>
      <c r="M26" s="49"/>
      <c r="V26" s="77" t="s">
        <v>218</v>
      </c>
      <c r="W26" s="78" t="s">
        <v>274</v>
      </c>
      <c r="X26" s="49"/>
      <c r="AA26" s="76" t="s">
        <v>222</v>
      </c>
      <c r="AB26" s="60" t="s">
        <v>270</v>
      </c>
      <c r="AF26" s="49"/>
      <c r="AG26" s="60"/>
    </row>
    <row r="27" spans="2:35">
      <c r="H27"/>
      <c r="V27" s="77"/>
      <c r="W27" s="78"/>
      <c r="X27" s="49"/>
      <c r="AA27" s="76"/>
      <c r="AB27" s="60"/>
    </row>
    <row r="28" spans="2:35">
      <c r="V28" s="49"/>
      <c r="W28" s="49"/>
      <c r="X28" s="49"/>
      <c r="AA28" s="76"/>
      <c r="AB28" s="60"/>
    </row>
    <row r="29" spans="2:35">
      <c r="V29" s="49"/>
      <c r="W29" s="49"/>
      <c r="X29" s="49"/>
    </row>
    <row r="30" spans="2:35">
      <c r="X30" s="49"/>
      <c r="AB30"/>
    </row>
    <row r="31" spans="2:35">
      <c r="V31" s="75"/>
      <c r="W31" s="72"/>
      <c r="AB31"/>
    </row>
    <row r="32" spans="2:35">
      <c r="V32" s="75"/>
      <c r="W32" s="72"/>
      <c r="AB32"/>
    </row>
    <row r="33" spans="22:28">
      <c r="V33" s="75"/>
      <c r="W33" s="72"/>
      <c r="AB33"/>
    </row>
    <row r="34" spans="22:28">
      <c r="V34" s="75"/>
      <c r="W34" s="72"/>
      <c r="AB34"/>
    </row>
    <row r="35" spans="22:28">
      <c r="V35" s="75"/>
      <c r="W35" s="72"/>
      <c r="AB35"/>
    </row>
    <row r="36" spans="22:28">
      <c r="V36" s="71"/>
      <c r="W36" s="49"/>
      <c r="AB36"/>
    </row>
    <row r="37" spans="22:28">
      <c r="V37" s="75"/>
      <c r="W37" s="72"/>
      <c r="AB37"/>
    </row>
    <row r="38" spans="22:28">
      <c r="V38" s="75"/>
      <c r="W38" s="72"/>
      <c r="AB38"/>
    </row>
    <row r="39" spans="22:28">
      <c r="V39" s="75"/>
      <c r="W39" s="72"/>
      <c r="AB39"/>
    </row>
    <row r="40" spans="22:28">
      <c r="V40" s="75"/>
      <c r="W40" s="72"/>
      <c r="AB40"/>
    </row>
    <row r="41" spans="22:28">
      <c r="V41" s="75"/>
      <c r="W41" s="72"/>
      <c r="AB41"/>
    </row>
    <row r="42" spans="22:28">
      <c r="V42" s="49"/>
      <c r="W42" s="49"/>
      <c r="AB42"/>
    </row>
    <row r="43" spans="22:28">
      <c r="V43" s="49"/>
      <c r="W43" s="49"/>
      <c r="AB43"/>
    </row>
    <row r="44" spans="22:28">
      <c r="AB44"/>
    </row>
    <row r="45" spans="22:28">
      <c r="V45" s="75"/>
      <c r="W45" s="72"/>
      <c r="AB45"/>
    </row>
    <row r="46" spans="22:28">
      <c r="V46" s="75"/>
      <c r="W46" s="72"/>
      <c r="AB46"/>
    </row>
    <row r="47" spans="22:28">
      <c r="V47" s="75"/>
      <c r="W47" s="72"/>
      <c r="AB47"/>
    </row>
    <row r="48" spans="22:28">
      <c r="V48" s="75"/>
      <c r="W48" s="72"/>
      <c r="AB48"/>
    </row>
    <row r="49" spans="22:28">
      <c r="V49" s="75"/>
      <c r="W49" s="72"/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V23:V27">
    <cfRule type="duplicateValues" dxfId="5" priority="6"/>
  </conditionalFormatting>
  <conditionalFormatting sqref="W27">
    <cfRule type="duplicateValues" dxfId="4" priority="5"/>
  </conditionalFormatting>
  <conditionalFormatting sqref="W24:W26">
    <cfRule type="duplicateValues" dxfId="3" priority="4"/>
  </conditionalFormatting>
  <conditionalFormatting sqref="C23:C24">
    <cfRule type="expression" dxfId="2" priority="3">
      <formula>$F:$F=$C$2:$H$2</formula>
    </cfRule>
  </conditionalFormatting>
  <conditionalFormatting sqref="C23:C24">
    <cfRule type="containsText" dxfId="1" priority="2" operator="containsText" text="REFLECTOR">
      <formula>NOT(ISERROR(SEARCH("REFLECTOR",C23)))</formula>
    </cfRule>
  </conditionalFormatting>
  <conditionalFormatting sqref="W2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"/>
  <sheetViews>
    <sheetView workbookViewId="0">
      <selection activeCell="G25" sqref="G25"/>
    </sheetView>
  </sheetViews>
  <sheetFormatPr defaultRowHeight="15"/>
  <cols>
    <col min="1" max="1" width="9.140625" style="83"/>
    <col min="2" max="2" width="29.140625" style="83" customWidth="1"/>
    <col min="3" max="16384" width="9.140625" style="83"/>
  </cols>
  <sheetData>
    <row r="1" spans="1:15">
      <c r="A1" s="83" t="s">
        <v>224</v>
      </c>
      <c r="B1" s="83" t="s">
        <v>225</v>
      </c>
      <c r="C1" s="83" t="s">
        <v>226</v>
      </c>
      <c r="D1" s="83" t="s">
        <v>227</v>
      </c>
      <c r="E1" s="83" t="s">
        <v>228</v>
      </c>
      <c r="F1" s="83" t="s">
        <v>229</v>
      </c>
      <c r="G1" s="83" t="s">
        <v>230</v>
      </c>
      <c r="H1" s="83" t="s">
        <v>231</v>
      </c>
      <c r="I1" s="83" t="s">
        <v>232</v>
      </c>
      <c r="J1" s="83" t="s">
        <v>233</v>
      </c>
      <c r="K1" s="83" t="s">
        <v>234</v>
      </c>
      <c r="L1" s="83" t="s">
        <v>235</v>
      </c>
      <c r="M1" s="83" t="s">
        <v>236</v>
      </c>
      <c r="N1" s="83" t="s">
        <v>237</v>
      </c>
      <c r="O1" s="83" t="s">
        <v>238</v>
      </c>
    </row>
    <row r="2" spans="1:15">
      <c r="A2" s="83">
        <v>144636</v>
      </c>
      <c r="B2" s="83" t="s">
        <v>239</v>
      </c>
      <c r="C2" s="83" t="s">
        <v>240</v>
      </c>
      <c r="D2" s="83">
        <v>0</v>
      </c>
      <c r="E2" s="83">
        <v>0</v>
      </c>
      <c r="F2" s="83">
        <v>940</v>
      </c>
      <c r="G2" s="83">
        <v>0</v>
      </c>
      <c r="H2" s="83">
        <v>0</v>
      </c>
      <c r="I2" s="83">
        <v>0</v>
      </c>
      <c r="J2" s="83">
        <v>0</v>
      </c>
      <c r="K2" s="83" t="s">
        <v>241</v>
      </c>
      <c r="L2" s="83" t="s">
        <v>242</v>
      </c>
      <c r="M2" s="83" t="s">
        <v>243</v>
      </c>
      <c r="N2" s="83" t="s">
        <v>244</v>
      </c>
      <c r="O2" s="83" t="s">
        <v>245</v>
      </c>
    </row>
    <row r="3" spans="1:15">
      <c r="A3" s="83">
        <v>144637</v>
      </c>
      <c r="B3" s="83" t="s">
        <v>246</v>
      </c>
      <c r="C3" s="83" t="s">
        <v>240</v>
      </c>
      <c r="D3" s="83">
        <v>0</v>
      </c>
      <c r="E3" s="83">
        <v>0</v>
      </c>
      <c r="F3" s="83">
        <v>940</v>
      </c>
      <c r="G3" s="83">
        <v>0</v>
      </c>
      <c r="H3" s="83">
        <v>0</v>
      </c>
      <c r="I3" s="83">
        <v>0</v>
      </c>
      <c r="J3" s="83">
        <v>0</v>
      </c>
      <c r="K3" s="83" t="s">
        <v>241</v>
      </c>
      <c r="L3" s="83" t="s">
        <v>242</v>
      </c>
      <c r="M3" s="83" t="s">
        <v>247</v>
      </c>
      <c r="N3" s="83" t="s">
        <v>244</v>
      </c>
      <c r="O3" s="83" t="s">
        <v>245</v>
      </c>
    </row>
    <row r="4" spans="1:15">
      <c r="A4" s="83">
        <v>144638</v>
      </c>
      <c r="B4" s="83" t="s">
        <v>248</v>
      </c>
      <c r="C4" s="83" t="s">
        <v>240</v>
      </c>
      <c r="D4" s="83">
        <v>0</v>
      </c>
      <c r="E4" s="83">
        <v>0</v>
      </c>
      <c r="F4" s="83">
        <v>940</v>
      </c>
      <c r="G4" s="83">
        <v>0</v>
      </c>
      <c r="H4" s="83">
        <v>0</v>
      </c>
      <c r="I4" s="83">
        <v>0</v>
      </c>
      <c r="J4" s="83">
        <v>0</v>
      </c>
      <c r="K4" s="83" t="s">
        <v>241</v>
      </c>
      <c r="L4" s="83" t="s">
        <v>242</v>
      </c>
      <c r="M4" s="83" t="s">
        <v>249</v>
      </c>
      <c r="N4" s="83" t="s">
        <v>244</v>
      </c>
      <c r="O4" s="83" t="s">
        <v>245</v>
      </c>
    </row>
    <row r="5" spans="1:15">
      <c r="A5" s="83">
        <v>144639</v>
      </c>
      <c r="B5" s="83" t="s">
        <v>250</v>
      </c>
      <c r="C5" s="83" t="s">
        <v>240</v>
      </c>
      <c r="D5" s="83">
        <v>0</v>
      </c>
      <c r="E5" s="83">
        <v>0</v>
      </c>
      <c r="F5" s="83">
        <v>940</v>
      </c>
      <c r="G5" s="83">
        <v>0</v>
      </c>
      <c r="H5" s="83">
        <v>0</v>
      </c>
      <c r="I5" s="83">
        <v>0</v>
      </c>
      <c r="J5" s="83">
        <v>0</v>
      </c>
      <c r="K5" s="83" t="s">
        <v>241</v>
      </c>
      <c r="L5" s="83" t="s">
        <v>242</v>
      </c>
      <c r="M5" s="83" t="s">
        <v>251</v>
      </c>
      <c r="N5" s="83" t="s">
        <v>244</v>
      </c>
      <c r="O5" s="83" t="s">
        <v>245</v>
      </c>
    </row>
    <row r="6" spans="1:15">
      <c r="A6" s="83">
        <v>144644</v>
      </c>
      <c r="B6" s="83" t="s">
        <v>252</v>
      </c>
      <c r="C6" s="83" t="s">
        <v>240</v>
      </c>
      <c r="D6" s="83">
        <v>0</v>
      </c>
      <c r="E6" s="83">
        <v>0</v>
      </c>
      <c r="F6" s="83">
        <v>1530</v>
      </c>
      <c r="G6" s="83">
        <v>0</v>
      </c>
      <c r="H6" s="83">
        <v>0</v>
      </c>
      <c r="I6" s="83">
        <v>0</v>
      </c>
      <c r="J6" s="83">
        <v>0</v>
      </c>
      <c r="K6" s="83" t="s">
        <v>241</v>
      </c>
      <c r="L6" s="83" t="s">
        <v>242</v>
      </c>
      <c r="M6" s="83" t="s">
        <v>243</v>
      </c>
      <c r="N6" s="83" t="s">
        <v>253</v>
      </c>
      <c r="O6" s="83" t="s">
        <v>245</v>
      </c>
    </row>
    <row r="7" spans="1:15">
      <c r="A7" s="83">
        <v>144645</v>
      </c>
      <c r="B7" s="83" t="s">
        <v>254</v>
      </c>
      <c r="C7" s="83" t="s">
        <v>240</v>
      </c>
      <c r="D7" s="83">
        <v>0</v>
      </c>
      <c r="E7" s="83">
        <v>0</v>
      </c>
      <c r="F7" s="83">
        <v>1530</v>
      </c>
      <c r="G7" s="83">
        <v>0</v>
      </c>
      <c r="H7" s="83">
        <v>0</v>
      </c>
      <c r="I7" s="83">
        <v>0</v>
      </c>
      <c r="J7" s="83">
        <v>0</v>
      </c>
      <c r="K7" s="83" t="s">
        <v>241</v>
      </c>
      <c r="L7" s="83" t="s">
        <v>242</v>
      </c>
      <c r="M7" s="83" t="s">
        <v>247</v>
      </c>
      <c r="N7" s="83" t="s">
        <v>253</v>
      </c>
      <c r="O7" s="83" t="s">
        <v>245</v>
      </c>
    </row>
    <row r="8" spans="1:15">
      <c r="A8" s="83">
        <v>144646</v>
      </c>
      <c r="B8" s="83" t="s">
        <v>255</v>
      </c>
      <c r="C8" s="83" t="s">
        <v>240</v>
      </c>
      <c r="D8" s="83">
        <v>0</v>
      </c>
      <c r="E8" s="83">
        <v>0</v>
      </c>
      <c r="F8" s="83">
        <v>1530</v>
      </c>
      <c r="G8" s="83">
        <v>0</v>
      </c>
      <c r="H8" s="83">
        <v>0</v>
      </c>
      <c r="I8" s="83">
        <v>0</v>
      </c>
      <c r="J8" s="83">
        <v>0</v>
      </c>
      <c r="K8" s="83" t="s">
        <v>241</v>
      </c>
      <c r="L8" s="83" t="s">
        <v>242</v>
      </c>
      <c r="M8" s="83" t="s">
        <v>249</v>
      </c>
      <c r="N8" s="83" t="s">
        <v>253</v>
      </c>
      <c r="O8" s="83" t="s">
        <v>245</v>
      </c>
    </row>
    <row r="9" spans="1:15">
      <c r="A9" s="83">
        <v>144647</v>
      </c>
      <c r="B9" s="83" t="s">
        <v>256</v>
      </c>
      <c r="C9" s="83" t="s">
        <v>240</v>
      </c>
      <c r="D9" s="83">
        <v>0</v>
      </c>
      <c r="E9" s="83">
        <v>0</v>
      </c>
      <c r="F9" s="83">
        <v>1530</v>
      </c>
      <c r="G9" s="83">
        <v>0</v>
      </c>
      <c r="H9" s="83">
        <v>0</v>
      </c>
      <c r="I9" s="83">
        <v>0</v>
      </c>
      <c r="J9" s="83">
        <v>0</v>
      </c>
      <c r="K9" s="83" t="s">
        <v>241</v>
      </c>
      <c r="L9" s="83" t="s">
        <v>242</v>
      </c>
      <c r="M9" s="83" t="s">
        <v>251</v>
      </c>
      <c r="N9" s="83" t="s">
        <v>253</v>
      </c>
      <c r="O9" s="83" t="s">
        <v>245</v>
      </c>
    </row>
    <row r="10" spans="1:15">
      <c r="A10" s="83">
        <v>144668</v>
      </c>
      <c r="B10" s="83" t="s">
        <v>257</v>
      </c>
      <c r="C10" s="83" t="s">
        <v>240</v>
      </c>
      <c r="D10" s="83">
        <v>0</v>
      </c>
      <c r="E10" s="83">
        <v>0</v>
      </c>
      <c r="F10" s="83">
        <v>1834</v>
      </c>
      <c r="G10" s="83">
        <v>0</v>
      </c>
      <c r="H10" s="83">
        <v>0</v>
      </c>
      <c r="I10" s="83">
        <v>0</v>
      </c>
      <c r="J10" s="83">
        <v>0</v>
      </c>
      <c r="K10" s="83" t="s">
        <v>241</v>
      </c>
      <c r="L10" s="83" t="s">
        <v>242</v>
      </c>
      <c r="M10" s="83" t="s">
        <v>243</v>
      </c>
      <c r="N10" s="83" t="s">
        <v>258</v>
      </c>
      <c r="O10" s="83" t="s">
        <v>245</v>
      </c>
    </row>
    <row r="11" spans="1:15">
      <c r="A11" s="83">
        <v>144669</v>
      </c>
      <c r="B11" s="83" t="s">
        <v>259</v>
      </c>
      <c r="C11" s="83" t="s">
        <v>240</v>
      </c>
      <c r="D11" s="83">
        <v>0</v>
      </c>
      <c r="E11" s="83">
        <v>0</v>
      </c>
      <c r="F11" s="83">
        <v>1834</v>
      </c>
      <c r="G11" s="83">
        <v>0</v>
      </c>
      <c r="H11" s="83">
        <v>0</v>
      </c>
      <c r="I11" s="83">
        <v>0</v>
      </c>
      <c r="J11" s="83">
        <v>0</v>
      </c>
      <c r="K11" s="83" t="s">
        <v>241</v>
      </c>
      <c r="L11" s="83" t="s">
        <v>242</v>
      </c>
      <c r="M11" s="83" t="s">
        <v>247</v>
      </c>
      <c r="N11" s="83" t="s">
        <v>258</v>
      </c>
      <c r="O11" s="83" t="s">
        <v>245</v>
      </c>
    </row>
    <row r="12" spans="1:15">
      <c r="A12" s="83">
        <v>144670</v>
      </c>
      <c r="B12" s="83" t="s">
        <v>260</v>
      </c>
      <c r="C12" s="83" t="s">
        <v>240</v>
      </c>
      <c r="D12" s="83">
        <v>0</v>
      </c>
      <c r="E12" s="83">
        <v>0</v>
      </c>
      <c r="F12" s="83">
        <v>1834</v>
      </c>
      <c r="G12" s="83">
        <v>0</v>
      </c>
      <c r="H12" s="83">
        <v>0</v>
      </c>
      <c r="I12" s="83">
        <v>0</v>
      </c>
      <c r="J12" s="83">
        <v>0</v>
      </c>
      <c r="K12" s="83" t="s">
        <v>241</v>
      </c>
      <c r="L12" s="83" t="s">
        <v>242</v>
      </c>
      <c r="M12" s="83" t="s">
        <v>249</v>
      </c>
      <c r="N12" s="83" t="s">
        <v>258</v>
      </c>
      <c r="O12" s="83" t="s">
        <v>245</v>
      </c>
    </row>
    <row r="13" spans="1:15">
      <c r="A13" s="83">
        <v>144671</v>
      </c>
      <c r="B13" s="83" t="s">
        <v>261</v>
      </c>
      <c r="C13" s="83" t="s">
        <v>240</v>
      </c>
      <c r="D13" s="83">
        <v>0</v>
      </c>
      <c r="E13" s="83">
        <v>0</v>
      </c>
      <c r="F13" s="83">
        <v>1834</v>
      </c>
      <c r="G13" s="83">
        <v>0</v>
      </c>
      <c r="H13" s="83">
        <v>0</v>
      </c>
      <c r="I13" s="83">
        <v>0</v>
      </c>
      <c r="J13" s="83">
        <v>0</v>
      </c>
      <c r="K13" s="83" t="s">
        <v>241</v>
      </c>
      <c r="L13" s="83" t="s">
        <v>242</v>
      </c>
      <c r="M13" s="83" t="s">
        <v>251</v>
      </c>
      <c r="N13" s="83" t="s">
        <v>258</v>
      </c>
      <c r="O13" s="83" t="s">
        <v>245</v>
      </c>
    </row>
    <row r="14" spans="1:15">
      <c r="A14" s="83">
        <v>144652</v>
      </c>
      <c r="B14" s="83" t="s">
        <v>262</v>
      </c>
      <c r="C14" s="83" t="s">
        <v>240</v>
      </c>
      <c r="D14" s="83">
        <v>0</v>
      </c>
      <c r="E14" s="83">
        <v>0</v>
      </c>
      <c r="F14" s="83">
        <v>3102</v>
      </c>
      <c r="G14" s="83">
        <v>0</v>
      </c>
      <c r="H14" s="83">
        <v>0</v>
      </c>
      <c r="I14" s="83">
        <v>0</v>
      </c>
      <c r="J14" s="83">
        <v>0</v>
      </c>
      <c r="K14" s="83" t="s">
        <v>241</v>
      </c>
      <c r="L14" s="83" t="s">
        <v>242</v>
      </c>
      <c r="M14" s="83" t="s">
        <v>243</v>
      </c>
      <c r="N14" s="83" t="s">
        <v>263</v>
      </c>
      <c r="O14" s="83" t="s">
        <v>245</v>
      </c>
    </row>
    <row r="15" spans="1:15">
      <c r="A15" s="83">
        <v>144653</v>
      </c>
      <c r="B15" s="83" t="s">
        <v>264</v>
      </c>
      <c r="C15" s="83" t="s">
        <v>240</v>
      </c>
      <c r="D15" s="83">
        <v>0</v>
      </c>
      <c r="E15" s="83">
        <v>0</v>
      </c>
      <c r="F15" s="83">
        <v>3102</v>
      </c>
      <c r="G15" s="83">
        <v>0</v>
      </c>
      <c r="H15" s="83">
        <v>0</v>
      </c>
      <c r="I15" s="83">
        <v>0</v>
      </c>
      <c r="J15" s="83">
        <v>0</v>
      </c>
      <c r="K15" s="83" t="s">
        <v>241</v>
      </c>
      <c r="L15" s="83" t="s">
        <v>242</v>
      </c>
      <c r="M15" s="83" t="s">
        <v>247</v>
      </c>
      <c r="N15" s="83" t="s">
        <v>263</v>
      </c>
      <c r="O15" s="83" t="s">
        <v>245</v>
      </c>
    </row>
    <row r="16" spans="1:15">
      <c r="A16" s="83">
        <v>144654</v>
      </c>
      <c r="B16" s="83" t="s">
        <v>265</v>
      </c>
      <c r="C16" s="83" t="s">
        <v>240</v>
      </c>
      <c r="D16" s="83">
        <v>0</v>
      </c>
      <c r="E16" s="83">
        <v>0</v>
      </c>
      <c r="F16" s="83">
        <v>3102</v>
      </c>
      <c r="G16" s="83">
        <v>0</v>
      </c>
      <c r="H16" s="83">
        <v>0</v>
      </c>
      <c r="I16" s="83">
        <v>0</v>
      </c>
      <c r="J16" s="83">
        <v>0</v>
      </c>
      <c r="K16" s="83" t="s">
        <v>241</v>
      </c>
      <c r="L16" s="83" t="s">
        <v>242</v>
      </c>
      <c r="M16" s="83" t="s">
        <v>249</v>
      </c>
      <c r="N16" s="83" t="s">
        <v>263</v>
      </c>
      <c r="O16" s="83" t="s">
        <v>245</v>
      </c>
    </row>
    <row r="17" spans="1:15">
      <c r="A17" s="83">
        <v>144655</v>
      </c>
      <c r="B17" s="83" t="s">
        <v>266</v>
      </c>
      <c r="C17" s="83" t="s">
        <v>240</v>
      </c>
      <c r="D17" s="83">
        <v>0</v>
      </c>
      <c r="E17" s="83">
        <v>0</v>
      </c>
      <c r="F17" s="83">
        <v>3102</v>
      </c>
      <c r="G17" s="83">
        <v>0</v>
      </c>
      <c r="H17" s="83">
        <v>0</v>
      </c>
      <c r="I17" s="83">
        <v>0</v>
      </c>
      <c r="J17" s="83">
        <v>0</v>
      </c>
      <c r="K17" s="83" t="s">
        <v>241</v>
      </c>
      <c r="L17" s="83" t="s">
        <v>242</v>
      </c>
      <c r="M17" s="83" t="s">
        <v>251</v>
      </c>
      <c r="N17" s="83" t="s">
        <v>263</v>
      </c>
      <c r="O17" s="83" t="s">
        <v>245</v>
      </c>
    </row>
  </sheetData>
  <autoFilter ref="A1:O17" xr:uid="{00000000-0009-0000-0000-000003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Admin</cp:lastModifiedBy>
  <dcterms:created xsi:type="dcterms:W3CDTF">2023-07-04T06:39:00Z</dcterms:created>
  <dcterms:modified xsi:type="dcterms:W3CDTF">2025-04-09T05:54:27Z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
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60" windowWidth="15600" windowHeight="11100" tabRatio="597"/>
  </bookViews>
  <sheets>
    <sheet name="Stock Item" sheetId="23" r:id="rId1"/>
    <sheet name="Stock Item (Read Me)" sheetId="10" state="hidden" r:id="rId2"/>
    <sheet name="Backend data" sheetId="24" r:id="rId3"/>
    <sheet name="Result" sheetId="25" r:id="rId4"/>
  </sheets>
  <definedNames>
    <definedName name="_xlnm._FilterDatabase" localSheetId="3" hidden="1">Result!$A$1:$M$13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6" i="23" l="1"/>
  <c r="L5" i="23"/>
  <c r="M6" i="23"/>
  <c r="M5" i="23"/>
  <c r="M4" i="23"/>
  <c r="L7" i="23" l="1"/>
  <c r="Q22" i="23" l="1"/>
  <c r="Q17" i="23"/>
  <c r="L17" i="23" s="1"/>
  <c r="M17" i="23" s="1"/>
  <c r="M16" i="23"/>
  <c r="Q12" i="23"/>
  <c r="L12" i="23" s="1"/>
  <c r="M12" i="23" s="1"/>
  <c r="M11" i="23"/>
  <c r="M10" i="23"/>
  <c r="M9" i="23"/>
  <c r="M8" i="23"/>
  <c r="M7" i="23"/>
  <c r="L3" i="23"/>
  <c r="M3" i="23" s="1"/>
  <c r="Q3" i="23"/>
  <c r="L2" i="23"/>
  <c r="M2" i="23" s="1"/>
  <c r="M18" i="23" l="1"/>
  <c r="M21" i="23" s="1"/>
  <c r="B16" i="23"/>
  <c r="M22" i="23" l="1"/>
  <c r="G3" i="24"/>
  <c r="G4" i="24" s="1"/>
  <c r="H3" i="24"/>
  <c r="F3" i="24" l="1"/>
  <c r="E3" i="24" l="1"/>
  <c r="H5" i="24" l="1"/>
  <c r="D16" i="23" s="1"/>
  <c r="F13" i="23" l="1"/>
  <c r="A16" i="23"/>
  <c r="H4" i="24"/>
  <c r="A2" i="23" l="1"/>
  <c r="D3" i="24"/>
  <c r="H8" i="24" l="1"/>
  <c r="I3" i="24"/>
  <c r="I7" i="24" s="1"/>
  <c r="H7" i="24" l="1"/>
  <c r="H6" i="24"/>
  <c r="F14" i="23" s="1"/>
  <c r="I6" i="24"/>
  <c r="I8" i="24"/>
  <c r="C3" i="24"/>
  <c r="D4" i="24" s="1"/>
  <c r="E7" i="24" l="1"/>
  <c r="E8" i="24"/>
  <c r="C8" i="24"/>
  <c r="C6" i="24"/>
  <c r="F7" i="24"/>
  <c r="F8" i="24"/>
  <c r="C7" i="24"/>
  <c r="G6" i="24"/>
  <c r="F16" i="23" s="1"/>
  <c r="E6" i="24"/>
  <c r="F6" i="24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<sst xmlns="http://schemas.openxmlformats.org/spreadsheetml/2006/main" count="525" uniqueCount="293">
  <si>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</si>
  <si>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</si>
  <si>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</si>
  <si>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</si>
  <si>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</si>
  <si>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</si>
  <si>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</si>
  <si>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</si>
  <si>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</si>
  <si>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</si>
  <si>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</si>
  <si>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</si>
  <si>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</si>
  <si>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</si>
  <si>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</si>
  <si>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</si>
  <si>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</si>
  <si>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</si>
  <si>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</si>
  <si>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</si>
  <si>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</si>
  <si>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</si>
  <si>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</si>
  <si>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</si>
  <si>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</si>
  <si>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</si>
  <si>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</si>
  <si>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</si>
  <si>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</si>
  <si>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</si>
  <si>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</si>
  <si>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</si>
  <si>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</si>
  <si>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</si>
  <si>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</si>
  <si>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</si>
  <si>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</si>
  <si>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</si>
  <si>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</si>
  <si>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</si>
  <si>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</si>
  <si>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</si>
  <si>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</si>
  <si>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</si>
  <si>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</si>
  <si>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</si>
  <si>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</si>
  <si>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</si>
  <si>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</si>
  <si>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</si>
  <si>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</si>
  <si>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</si>
  <si>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</si>
  <si>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</si>
  <si>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</si>
  <si>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</si>
  <si>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</si>
  <si>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</si>
  <si>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</si>
  <si>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</si>
  <si>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</si>
  <si>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</si>
  <si>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</si>
  <si>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</si>
  <si>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</si>
  <si>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</si>
  <si>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</si>
  <si>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</si>
  <si>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</si>
  <si>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</si>
  <si>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</si>
  <si>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</si>
  <si>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</si>
  <si>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</si>
  <si>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</si>
  <si>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</si>
  <si>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</si>
  <si>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</si>
  <si>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</si>
  <si>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</si>
  <si>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</si>
  <si>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</si>
  <si>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</si>
  <si>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</si>
  <si>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</si>
  <si>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</si>
  <si>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</si>
  <si>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</si>
  <si>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</si>
  <si>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</si>
  <si>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</si>
  <si>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</si>
  <si>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</si>
  <si>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</si>
  <si>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</si>
  <si>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</si>
  <si>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</si>
  <si>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</si>
  <si>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</si>
  <si>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</si>
  <si>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</si>
  <si>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</si>
  <si>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</si>
  <si>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</si>
  <si>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</si>
  <si>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</si>
  <si>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</si>
  <si>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</si>
  <si>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</si>
  <si>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</si>
  <si>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</si>
  <si>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</si>
  <si>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</si>
  <si>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</si>
  <si>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</si>
  <si>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</si>
  <si>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</si>
  <si>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</si>
  <si>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</si>
  <si>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</si>
  <si>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</si>
  <si>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</si>
  <si>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</si>
  <si>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</si>
  <si>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</si>
  <si>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</si>
  <si>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</si>
  <si>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</si>
  <si>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</si>
  <si>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</si>
  <si>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</si>
  <si>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</si>
  <si>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</si>
  <si>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</si>
  <si>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</si>
  <si>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</si>
  <si>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</si>
  <si>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</si>
  <si>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</si>
  <si>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</si>
  <si>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</si>
  <si>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</si>
  <si>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</si>
  <si>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</si>
  <si>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</si>
  <si>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</si>
  <si>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</si>
  <si>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</si>
  <si>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</si>
  <si>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</si>
  <si>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</si>
  <si>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</si>
  <si>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</si>
  <si>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</si>
  <si>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</si>
  <si>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</si>
  <si>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</si>
  <si>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</si>
  <si>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</si>
  <si>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</si>
  <si>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</si>
  <si>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</si>
  <si>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</si>
  <si>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</si>
  <si>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</si>
  <si>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</si>
  <si>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</si>
  <si>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</si>
  <si>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</si>
  <si>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</si>
  <si>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</si>
  <si>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</si>
  <si>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</si>
  <si>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</si>
  <si>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</si>
  <si>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</si>
  <si>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</si>
  <si>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</si>
  <si>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</si>
  <si>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</si>
  <si>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</si>
  <si>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</si>
  <si>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</si>
  <si>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</si>
  <si>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</si>
  <si>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</si>
  <si>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</si>
  <si>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</si>
  <si>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</si>
  <si>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</si>
  <si>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</si>
  <si>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</si>
  <si>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</si>
  <si>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</si>
  <si>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</si>
  <si>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</si>
  <si>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</si>
  <si>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</si>
  <si>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</si>
  <si>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</si>
  <si>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</si>
  <si>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</si>
  <si>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</si>
  <si>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</si>
  <si>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BOM LED PCB</t>
  </si>
  <si>
    <t>COLOUR TEMPERATURE</t>
  </si>
  <si>
    <t>M</t>
  </si>
  <si>
    <t>Mechanical Store</t>
  </si>
  <si>
    <t>R</t>
  </si>
  <si>
    <t>MOUNTING TRIM</t>
  </si>
  <si>
    <t>Electronics Store</t>
  </si>
  <si>
    <t>50-</t>
  </si>
  <si>
    <t>30-</t>
  </si>
  <si>
    <t>40-</t>
  </si>
  <si>
    <t>60-</t>
  </si>
  <si>
    <t>T</t>
  </si>
  <si>
    <t>End-cap L - 56  W-50  T-1.5mm</t>
  </si>
  <si>
    <t xml:space="preserve">Wire  3 Core 0.75Sq L-1500mm </t>
  </si>
  <si>
    <t>description</t>
  </si>
  <si>
    <t>Screw  M3X6 Self CSK PH-SS</t>
  </si>
  <si>
    <t>Suspension Kit - 1.5Mtr</t>
  </si>
  <si>
    <t>-</t>
  </si>
  <si>
    <t>I-</t>
  </si>
  <si>
    <t>BT-</t>
  </si>
  <si>
    <t>PS  40W 72V 500mA-DALI</t>
  </si>
  <si>
    <t>PS 40W 72V 500mA BT</t>
  </si>
  <si>
    <t>40WX3 = 120W</t>
  </si>
  <si>
    <t>Sleeve  M4mm black</t>
  </si>
  <si>
    <t>Allum  Profile L -3600   W-50  H-56  T-1mm.Weight-2.88kg</t>
  </si>
  <si>
    <t>Bluetooth Dimming</t>
  </si>
  <si>
    <t>3000K</t>
  </si>
  <si>
    <t>120 Watts / 3550mm</t>
  </si>
  <si>
    <t/>
  </si>
  <si>
    <t>H505612030BT</t>
  </si>
  <si>
    <t>4000K</t>
  </si>
  <si>
    <t>H505612040BT</t>
  </si>
  <si>
    <t>5000K</t>
  </si>
  <si>
    <t>H505612050BT</t>
  </si>
  <si>
    <t>6000K</t>
  </si>
  <si>
    <t>H505612060BT</t>
  </si>
  <si>
    <t>Dali Dimming</t>
  </si>
  <si>
    <t>H505612030I</t>
  </si>
  <si>
    <t>H505612040I</t>
  </si>
  <si>
    <t>H505612050I</t>
  </si>
  <si>
    <t>H505612060I</t>
  </si>
  <si>
    <t>Constant Current</t>
  </si>
  <si>
    <t>Driving System</t>
  </si>
  <si>
    <t>Color Temp</t>
  </si>
  <si>
    <t>Input power (Watts)</t>
  </si>
  <si>
    <t>Depth</t>
  </si>
  <si>
    <t>Height</t>
  </si>
  <si>
    <t>Width</t>
  </si>
  <si>
    <t>Weight</t>
  </si>
  <si>
    <t>Selling Price</t>
  </si>
  <si>
    <t>Retail Price</t>
  </si>
  <si>
    <t>Cost Price</t>
  </si>
  <si>
    <t>Product Name</t>
  </si>
  <si>
    <t>SKU Code</t>
  </si>
  <si>
    <t>SKU Id</t>
  </si>
  <si>
    <t>H505612060</t>
  </si>
  <si>
    <t>H505612050</t>
  </si>
  <si>
    <t>H505612040</t>
  </si>
  <si>
    <t>H505612030</t>
  </si>
  <si>
    <t>Diff.  L-3600mm,T-1mm</t>
  </si>
  <si>
    <t>Grommet - 5X11mm</t>
  </si>
  <si>
    <t>Wire  Single Core 0.5Sq mm  L-120mm Red &amp;</t>
  </si>
  <si>
    <t>Conn. 4pin Ass.wire</t>
  </si>
  <si>
    <t>Blue Tape  L-11 Mtr</t>
  </si>
  <si>
    <t>Down Light Series</t>
  </si>
  <si>
    <t>Alluminum Profile HLP5056 12ft [White]</t>
  </si>
  <si>
    <t>Diff. 50mm for Profile 5056</t>
  </si>
  <si>
    <t>Allum End Cap 5056 - White</t>
  </si>
  <si>
    <t>DOUBLE SIDE TAPE 8MM BLUE</t>
  </si>
  <si>
    <t>Connecter White Terminal 5Amp</t>
  </si>
  <si>
    <t>Suspension 1.5 Mtr</t>
  </si>
  <si>
    <t>SH. Sleeve Black 3mm</t>
  </si>
  <si>
    <t>Wire Single Core 0.5Sq mm  L-120mm Red &amp; Black</t>
  </si>
  <si>
    <t>Screw M3x6.5mm Self Csk Head Ss</t>
  </si>
  <si>
    <t>Gromment (White)</t>
  </si>
  <si>
    <t>PS 40W 500MA 72V Maxic (PCB LT-MX-50W V1.1)</t>
  </si>
  <si>
    <t>LED 2835-60mA-6000K (PW)</t>
  </si>
  <si>
    <t>LED 2835-60mA-5000K (PW)</t>
  </si>
  <si>
    <t>LED 2835-60mA-4000K (NW)</t>
  </si>
  <si>
    <t>LED 2835-60mA-3000K (WW)</t>
  </si>
  <si>
    <t>Flexible PCB for HLP-Profile (FPC-2) LYW-1Mtr</t>
  </si>
  <si>
    <t>Unit Price</t>
  </si>
  <si>
    <t>USD</t>
  </si>
  <si>
    <t>INS&amp;FRED</t>
  </si>
  <si>
    <t>BCD</t>
  </si>
  <si>
    <t>Total Cost</t>
  </si>
  <si>
    <t>H5056-120W-CC</t>
  </si>
  <si>
    <t>H5056-120W Dali Single Color</t>
  </si>
  <si>
    <t>PS Rate Mention with Total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</si>
</sst>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$&quot;#,##0.0000"/>
    <numFmt numFmtId="165" formatCode="_ [$Rs.-4009]\ * #,##0.00_ ;_ [$Rs.-4009]\ * \-#,##0.00_ ;_ [$Rs.-4009]\ * &quot;-&quot;??_ ;_ @_ "/>
    <numFmt numFmtId="166" formatCode="_-[$$-409]* #,##0.000_ ;_-[$$-409]* \-#,##0.000\ ;_-[$$-409]* &quot;-&quot;??_ ;_-@_ "/>
    <numFmt numFmtId="167" formatCode="_-[$Rs-420]* #,##0.00_-;_-[$Rs-420]* #,##0.00\-;_-[$Rs-420]* &quot;-&quot;??_-;_-@_-"/>
    <numFmt numFmtId="168" formatCode="&quot;$&quot;#,##0.000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facad-Regular"/>
    </font>
    <font>
      <sz val="11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5">
    <xf numFmtId="0" fontId="0" fillId="0" borderId="0"/>
    <xf numFmtId="0" fontId="15" fillId="0" borderId="0" applyNumberFormat="0" applyFill="0" applyBorder="0" applyAlignment="0" applyProtection="0"/>
    <xf numFmtId="0" fontId="2" fillId="0" borderId="0"/>
    <xf numFmtId="0" fontId="20" fillId="0" borderId="0"/>
    <xf numFmtId="0" fontId="22" fillId="0" borderId="0"/>
  </cellStyleXfs>
  <cellXfs count="123">
    <xf numFmtId="0" fontId="0" fillId="0" borderId="0" xfId="0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center" wrapText="1"/>
    </xf>
    <xf numFmtId="0" fontId="8" fillId="2" borderId="0" xfId="0" applyFont="1" applyFill="1"/>
    <xf numFmtId="0" fontId="0" fillId="2" borderId="0" xfId="0" applyFill="1"/>
    <xf numFmtId="0" fontId="7" fillId="4" borderId="1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wrapText="1"/>
    </xf>
    <xf numFmtId="0" fontId="9" fillId="2" borderId="4" xfId="0" applyFont="1" applyFill="1" applyBorder="1"/>
    <xf numFmtId="0" fontId="5" fillId="2" borderId="5" xfId="0" applyFont="1" applyFill="1" applyBorder="1"/>
    <xf numFmtId="0" fontId="7" fillId="0" borderId="6" xfId="0" applyFont="1" applyBorder="1" applyAlignment="1">
      <alignment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/>
    <xf numFmtId="0" fontId="10" fillId="2" borderId="7" xfId="0" applyFont="1" applyFill="1" applyBorder="1" applyAlignment="1">
      <alignment horizontal="left" indent="2"/>
    </xf>
    <xf numFmtId="0" fontId="5" fillId="2" borderId="0" xfId="0" applyFont="1" applyFill="1" applyAlignment="1">
      <alignment horizontal="left" indent="2"/>
    </xf>
    <xf numFmtId="0" fontId="5" fillId="0" borderId="1" xfId="0" applyFont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indent="2"/>
    </xf>
    <xf numFmtId="0" fontId="5" fillId="2" borderId="7" xfId="0" applyFont="1" applyFill="1" applyBorder="1" applyAlignment="1">
      <alignment horizontal="left" indent="2"/>
    </xf>
    <xf numFmtId="0" fontId="11" fillId="2" borderId="7" xfId="0" applyFont="1" applyFill="1" applyBorder="1" applyAlignment="1">
      <alignment horizontal="left" indent="2"/>
    </xf>
    <xf numFmtId="0" fontId="11" fillId="2" borderId="0" xfId="0" applyFont="1" applyFill="1" applyAlignment="1">
      <alignment horizontal="left" indent="2"/>
    </xf>
    <xf numFmtId="0" fontId="11" fillId="2" borderId="7" xfId="0" applyFont="1" applyFill="1" applyBorder="1" applyAlignment="1">
      <alignment horizontal="left" indent="3"/>
    </xf>
    <xf numFmtId="0" fontId="12" fillId="2" borderId="7" xfId="0" applyFont="1" applyFill="1" applyBorder="1" applyAlignment="1">
      <alignment horizontal="left" indent="3"/>
    </xf>
    <xf numFmtId="0" fontId="13" fillId="2" borderId="0" xfId="0" applyFont="1" applyFill="1" applyAlignment="1">
      <alignment horizontal="left" indent="3"/>
    </xf>
    <xf numFmtId="0" fontId="14" fillId="0" borderId="3" xfId="0" applyFont="1" applyBorder="1" applyAlignment="1">
      <alignment wrapText="1"/>
    </xf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10" fillId="2" borderId="0" xfId="0" applyFont="1" applyFill="1"/>
    <xf numFmtId="0" fontId="7" fillId="2" borderId="0" xfId="0" applyFont="1" applyFill="1"/>
    <xf numFmtId="0" fontId="7" fillId="4" borderId="2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left" indent="1"/>
    </xf>
    <xf numFmtId="0" fontId="5" fillId="0" borderId="3" xfId="0" applyFont="1" applyBorder="1" applyAlignment="1">
      <alignment wrapText="1"/>
    </xf>
    <xf numFmtId="0" fontId="9" fillId="2" borderId="5" xfId="0" applyFont="1" applyFill="1" applyBorder="1"/>
    <xf numFmtId="0" fontId="15" fillId="2" borderId="0" xfId="1" applyFill="1" applyBorder="1" applyAlignment="1"/>
    <xf numFmtId="0" fontId="15" fillId="2" borderId="0" xfId="1" applyFill="1" applyBorder="1"/>
    <xf numFmtId="0" fontId="9" fillId="2" borderId="10" xfId="0" applyFont="1" applyFill="1" applyBorder="1"/>
    <xf numFmtId="0" fontId="5" fillId="2" borderId="11" xfId="0" applyFont="1" applyFill="1" applyBorder="1" applyAlignment="1">
      <alignment horizontal="left" indent="2"/>
    </xf>
    <xf numFmtId="0" fontId="11" fillId="2" borderId="11" xfId="0" applyFont="1" applyFill="1" applyBorder="1" applyAlignment="1">
      <alignment horizontal="left" indent="2"/>
    </xf>
    <xf numFmtId="0" fontId="5" fillId="2" borderId="11" xfId="0" applyFont="1" applyFill="1" applyBorder="1"/>
    <xf numFmtId="0" fontId="5" fillId="2" borderId="12" xfId="0" applyFont="1" applyFill="1" applyBorder="1"/>
    <xf numFmtId="0" fontId="6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/>
    <xf numFmtId="0" fontId="18" fillId="6" borderId="1" xfId="0" applyFont="1" applyFill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8" fillId="6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2" fillId="0" borderId="1" xfId="0" applyFont="1" applyBorder="1"/>
    <xf numFmtId="0" fontId="2" fillId="7" borderId="1" xfId="0" applyFont="1" applyFill="1" applyBorder="1"/>
    <xf numFmtId="0" fontId="2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19" fillId="0" borderId="0" xfId="0" applyFont="1"/>
    <xf numFmtId="0" fontId="0" fillId="2" borderId="1" xfId="0" applyFill="1" applyBorder="1"/>
    <xf numFmtId="0" fontId="2" fillId="0" borderId="1" xfId="2" applyBorder="1"/>
    <xf numFmtId="0" fontId="2" fillId="0" borderId="14" xfId="2" applyBorder="1"/>
    <xf numFmtId="0" fontId="2" fillId="0" borderId="2" xfId="0" applyFont="1" applyBorder="1"/>
    <xf numFmtId="0" fontId="2" fillId="10" borderId="1" xfId="0" applyFont="1" applyFill="1" applyBorder="1"/>
    <xf numFmtId="0" fontId="0" fillId="10" borderId="1" xfId="0" applyFill="1" applyBorder="1"/>
    <xf numFmtId="0" fontId="20" fillId="0" borderId="1" xfId="3" applyBorder="1"/>
    <xf numFmtId="0" fontId="0" fillId="9" borderId="1" xfId="0" applyFill="1" applyBorder="1"/>
    <xf numFmtId="0" fontId="21" fillId="10" borderId="0" xfId="0" applyFont="1" applyFill="1" applyAlignment="1">
      <alignment horizontal="left" vertical="center" wrapText="1"/>
    </xf>
    <xf numFmtId="0" fontId="22" fillId="0" borderId="0" xfId="4"/>
    <xf numFmtId="0" fontId="1" fillId="0" borderId="1" xfId="0" applyFont="1" applyBorder="1"/>
    <xf numFmtId="0" fontId="0" fillId="6" borderId="1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22" fillId="10" borderId="1" xfId="4" applyFill="1" applyBorder="1" applyAlignment="1">
      <alignment horizontal="left"/>
    </xf>
    <xf numFmtId="0" fontId="22" fillId="0" borderId="1" xfId="4" applyBorder="1" applyAlignment="1">
      <alignment horizontal="left"/>
    </xf>
    <xf numFmtId="0" fontId="0" fillId="0" borderId="1" xfId="0" applyBorder="1" applyAlignment="1">
      <alignment horizontal="center"/>
    </xf>
    <xf numFmtId="0" fontId="23" fillId="0" borderId="1" xfId="0" applyNumberFormat="1" applyFont="1" applyBorder="1" applyAlignment="1">
      <alignment horizontal="center" vertical="center" wrapText="1"/>
    </xf>
    <xf numFmtId="164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165" fontId="24" fillId="0" borderId="1" xfId="0" applyNumberFormat="1" applyFont="1" applyFill="1" applyBorder="1" applyAlignment="1">
      <alignment horizontal="center" vertical="center"/>
    </xf>
    <xf numFmtId="166" fontId="24" fillId="0" borderId="1" xfId="0" applyNumberFormat="1" applyFont="1" applyBorder="1" applyAlignment="1">
      <alignment horizontal="center" vertical="center"/>
    </xf>
    <xf numFmtId="9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67" fontId="23" fillId="11" borderId="1" xfId="0" applyNumberFormat="1" applyFont="1" applyFill="1" applyBorder="1" applyAlignment="1">
      <alignment horizontal="center" vertical="center"/>
    </xf>
    <xf numFmtId="167" fontId="8" fillId="11" borderId="1" xfId="0" applyNumberFormat="1" applyFont="1" applyFill="1" applyBorder="1" applyAlignment="1">
      <alignment vertical="center"/>
    </xf>
    <xf numFmtId="168" fontId="24" fillId="0" borderId="0" xfId="0" applyNumberFormat="1" applyFont="1" applyBorder="1" applyAlignment="1">
      <alignment horizontal="center" vertical="center"/>
    </xf>
    <xf numFmtId="9" fontId="24" fillId="0" borderId="0" xfId="0" applyNumberFormat="1" applyFont="1" applyBorder="1" applyAlignment="1">
      <alignment horizontal="center" vertical="center"/>
    </xf>
    <xf numFmtId="164" fontId="24" fillId="0" borderId="0" xfId="0" applyNumberFormat="1" applyFont="1" applyBorder="1" applyAlignment="1">
      <alignment horizontal="center" vertical="center"/>
    </xf>
    <xf numFmtId="165" fontId="25" fillId="6" borderId="16" xfId="0" applyNumberFormat="1" applyFont="1" applyFill="1" applyBorder="1"/>
    <xf numFmtId="0" fontId="24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6" fillId="0" borderId="0" xfId="0" applyFont="1"/>
    <xf numFmtId="0" fontId="8" fillId="8" borderId="2" xfId="0" applyFont="1" applyFill="1" applyBorder="1" applyAlignment="1">
      <alignment horizontal="right" vertical="center"/>
    </xf>
    <xf numFmtId="0" fontId="8" fillId="8" borderId="14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left" wrapText="1"/>
    </xf>
    <xf numFmtId="0" fontId="11" fillId="2" borderId="7" xfId="0" applyFont="1" applyFill="1" applyBorder="1" applyAlignment="1">
      <alignment horizontal="left" wrapText="1" indent="2"/>
    </xf>
    <xf numFmtId="0" fontId="11" fillId="2" borderId="0" xfId="0" applyFont="1" applyFill="1" applyAlignment="1">
      <alignment horizontal="left" wrapText="1" indent="2"/>
    </xf>
    <xf numFmtId="0" fontId="11" fillId="2" borderId="11" xfId="0" applyFont="1" applyFill="1" applyBorder="1" applyAlignment="1">
      <alignment horizontal="left" wrapText="1" indent="2"/>
    </xf>
    <xf numFmtId="0" fontId="18" fillId="0" borderId="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24" fillId="0" borderId="1" xfId="0" applyNumberFormat="1" applyFont="1" applyBorder="1" applyAlignment="1">
      <alignment vertical="center"/>
    </xf>
    <xf numFmtId="165" fontId="24" fillId="0" borderId="1" xfId="0" applyNumberFormat="1" applyFont="1" applyFill="1" applyBorder="1" applyAlignment="1">
      <alignment vertical="center"/>
    </xf>
    <xf numFmtId="166" fontId="24" fillId="0" borderId="1" xfId="0" applyNumberFormat="1" applyFont="1" applyBorder="1" applyAlignment="1">
      <alignment vertical="center"/>
    </xf>
    <xf numFmtId="9" fontId="24" fillId="0" borderId="1" xfId="0" applyNumberFormat="1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165" fontId="24" fillId="11" borderId="1" xfId="0" applyNumberFormat="1" applyFont="1" applyFill="1" applyBorder="1" applyAlignment="1">
      <alignment vertical="center"/>
    </xf>
    <xf numFmtId="165" fontId="24" fillId="11" borderId="1" xfId="0" applyNumberFormat="1" applyFont="1" applyFill="1" applyBorder="1" applyAlignment="1">
      <alignment horizontal="center" vertical="center"/>
    </xf>
  </cellXfs>
  <cellStyles count="5">
    <cellStyle name="Hyperlink 2" xfId="1"/>
    <cellStyle name="Normal" xfId="0" builtinId="0"/>
    <cellStyle name="Normal 2" xfId="2"/>
    <cellStyle name="Normal 2 2" xfId="3"/>
    <cellStyle name="Normal 3" xfId="4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7" tint="0.5999633777886288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abSelected="1" zoomScale="96" zoomScaleNormal="96" workbookViewId="0">
      <selection activeCell="D2" sqref="D2"/>
    </sheetView>
  </sheetViews>
  <sheetFormatPr defaultColWidth="9" defaultRowHeight="15"/>
  <cols>
    <col min="1" max="1" width="17.28515625" customWidth="1"/>
    <col min="2" max="2" width="15.85546875" customWidth="1"/>
    <col min="3" max="3" width="8.28515625" customWidth="1"/>
    <col min="4" max="4" width="24.28515625" customWidth="1"/>
    <col min="5" max="5" width="19.85546875" customWidth="1"/>
    <col min="6" max="6" width="42.85546875" customWidth="1"/>
    <col min="7" max="7" width="28" customWidth="1"/>
    <col min="8" max="8" width="27.7109375" hidden="1" customWidth="1"/>
    <col min="9" max="9" width="31.28515625" hidden="1" customWidth="1"/>
    <col min="10" max="10" width="27" hidden="1" customWidth="1"/>
    <col min="11" max="11" width="27.7109375" customWidth="1"/>
    <col min="12" max="12" width="10.85546875" customWidth="1"/>
    <col min="13" max="13" width="12.140625" customWidth="1"/>
    <col min="14" max="14" width="8.42578125" customWidth="1"/>
    <col min="15" max="15" width="10.85546875" customWidth="1"/>
    <col min="16" max="16" width="8.42578125" customWidth="1"/>
    <col min="17" max="18" width="9.42578125" customWidth="1"/>
    <col min="19" max="19" width="52" bestFit="1" customWidth="1"/>
    <col min="20" max="20" width="24.28515625" customWidth="1"/>
    <col min="21" max="21" width="18" customWidth="1"/>
    <col min="22" max="22" width="29" customWidth="1"/>
    <col min="23" max="23" width="28.28515625" customWidth="1"/>
  </cols>
  <sheetData>
    <row r="1" spans="1:19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83" t="s">
        <v>285</v>
      </c>
      <c r="M1" s="83" t="s">
        <v>193</v>
      </c>
      <c r="N1" s="84" t="s">
        <v>286</v>
      </c>
      <c r="O1" s="85" t="s">
        <v>287</v>
      </c>
      <c r="P1" s="86" t="s">
        <v>288</v>
      </c>
      <c r="Q1" s="84" t="s">
        <v>289</v>
      </c>
      <c r="R1"/>
      <c r="S1" s="47" t="s">
        <v>218</v>
      </c>
    </row>
    <row r="2" spans="1:19">
      <c r="A2" s="49" t="str">
        <f>$D$2</f>
        <v>H505612030</v>
      </c>
      <c r="B2" s="49" t="s">
        <v>268</v>
      </c>
      <c r="C2" s="49" t="s">
        <v>189</v>
      </c>
      <c r="D2" s="74" t="s">
        <v>262</v>
      </c>
      <c r="E2" s="71">
        <v>1</v>
      </c>
      <c r="F2" s="71" t="s">
        <v>269</v>
      </c>
      <c r="G2" s="78">
        <v>1</v>
      </c>
      <c r="H2" s="49" t="s">
        <v>207</v>
      </c>
      <c r="I2" s="49" t="s">
        <v>9</v>
      </c>
      <c r="J2" s="49"/>
      <c r="K2" s="49"/>
      <c r="L2" s="87">
        <f>340*1.8</f>
        <v>612</v>
      </c>
      <c r="M2" s="88">
        <f>G2*L2</f>
        <v>612</v>
      </c>
      <c r="S2" s="71" t="s">
        <v>228</v>
      </c>
    </row>
    <row r="3" spans="1:19">
      <c r="A3" s="49"/>
      <c r="B3" s="49"/>
      <c r="C3" s="49"/>
      <c r="D3" s="49"/>
      <c r="E3" s="49"/>
      <c r="F3" s="49" t="s">
        <v>270</v>
      </c>
      <c r="G3" s="78">
        <v>1</v>
      </c>
      <c r="H3" s="49" t="s">
        <v>207</v>
      </c>
      <c r="I3" s="49" t="s">
        <v>9</v>
      </c>
      <c r="J3" s="49"/>
      <c r="K3" s="49"/>
      <c r="L3" s="116">
        <f>Q3*87</f>
        <v>183.35249999999999</v>
      </c>
      <c r="M3" s="117">
        <f>G3*L3</f>
        <v>183.35249999999999</v>
      </c>
      <c r="N3" s="118">
        <v>1.405</v>
      </c>
      <c r="O3" s="119">
        <v>0.5</v>
      </c>
      <c r="P3" s="120"/>
      <c r="Q3" s="120">
        <f>N3+(N3*(O3+P3))</f>
        <v>2.1074999999999999</v>
      </c>
      <c r="S3" s="49" t="s">
        <v>263</v>
      </c>
    </row>
    <row r="4" spans="1:19">
      <c r="A4" s="49"/>
      <c r="B4" s="49"/>
      <c r="C4" s="49"/>
      <c r="D4" s="49"/>
      <c r="E4" s="49"/>
      <c r="F4" s="49" t="s">
        <v>271</v>
      </c>
      <c r="G4" s="78">
        <v>2</v>
      </c>
      <c r="H4" s="49" t="s">
        <v>207</v>
      </c>
      <c r="I4" s="49" t="s">
        <v>9</v>
      </c>
      <c r="J4" s="49"/>
      <c r="K4" s="49"/>
      <c r="L4" s="121"/>
      <c r="M4" s="122">
        <f t="shared" ref="M4:M6" si="0">G4*L4</f>
        <v>0</v>
      </c>
      <c r="S4" s="49" t="s">
        <v>216</v>
      </c>
    </row>
    <row r="5" spans="1:19">
      <c r="A5" s="49"/>
      <c r="B5" s="49"/>
      <c r="C5" s="49"/>
      <c r="D5" s="49"/>
      <c r="E5" s="82"/>
      <c r="F5" s="77" t="s">
        <v>276</v>
      </c>
      <c r="G5" s="100">
        <v>1</v>
      </c>
      <c r="H5" s="49" t="s">
        <v>207</v>
      </c>
      <c r="I5" s="49" t="s">
        <v>9</v>
      </c>
      <c r="J5" s="49"/>
      <c r="K5" s="49"/>
      <c r="L5" s="116">
        <f>2/1000*120</f>
        <v>0.24</v>
      </c>
      <c r="M5" s="88">
        <f t="shared" si="0"/>
        <v>0.24</v>
      </c>
      <c r="S5" s="49" t="s">
        <v>265</v>
      </c>
    </row>
    <row r="6" spans="1:19" ht="16.5" customHeight="1">
      <c r="A6" s="49"/>
      <c r="B6" s="49"/>
      <c r="C6" s="49"/>
      <c r="D6" s="49"/>
      <c r="E6" s="49"/>
      <c r="F6" s="77" t="s">
        <v>217</v>
      </c>
      <c r="G6" s="82">
        <v>1</v>
      </c>
      <c r="H6" s="49" t="s">
        <v>207</v>
      </c>
      <c r="I6" s="49" t="s">
        <v>9</v>
      </c>
      <c r="J6" s="49"/>
      <c r="K6" s="49"/>
      <c r="L6" s="116">
        <f>27.78/1000*1.5</f>
        <v>4.1670000000000006E-2</v>
      </c>
      <c r="M6" s="88">
        <f t="shared" si="0"/>
        <v>4.1670000000000006E-2</v>
      </c>
      <c r="S6" s="49" t="s">
        <v>217</v>
      </c>
    </row>
    <row r="7" spans="1:19">
      <c r="A7" s="49"/>
      <c r="B7" s="49"/>
      <c r="C7" s="49"/>
      <c r="D7" s="49"/>
      <c r="E7" s="49"/>
      <c r="F7" s="49" t="s">
        <v>272</v>
      </c>
      <c r="G7" s="78">
        <v>11</v>
      </c>
      <c r="H7" s="49" t="s">
        <v>207</v>
      </c>
      <c r="I7" s="49" t="s">
        <v>9</v>
      </c>
      <c r="J7" s="49"/>
      <c r="K7" s="49"/>
      <c r="L7" s="87">
        <f>82/20</f>
        <v>4.0999999999999996</v>
      </c>
      <c r="M7" s="88">
        <f t="shared" ref="M7:M17" si="1">G7*L7</f>
        <v>45.099999999999994</v>
      </c>
      <c r="S7" s="49" t="s">
        <v>267</v>
      </c>
    </row>
    <row r="8" spans="1:19">
      <c r="A8" s="49"/>
      <c r="B8" s="49"/>
      <c r="C8" s="49"/>
      <c r="D8" s="49"/>
      <c r="E8" s="49"/>
      <c r="F8" s="49" t="s">
        <v>273</v>
      </c>
      <c r="G8" s="78">
        <v>2</v>
      </c>
      <c r="H8" s="49" t="s">
        <v>207</v>
      </c>
      <c r="I8" s="49" t="s">
        <v>9</v>
      </c>
      <c r="J8" s="49"/>
      <c r="K8" s="49"/>
      <c r="L8" s="87">
        <v>21</v>
      </c>
      <c r="M8" s="88">
        <f t="shared" si="1"/>
        <v>42</v>
      </c>
      <c r="S8" s="49" t="s">
        <v>266</v>
      </c>
    </row>
    <row r="9" spans="1:19">
      <c r="A9" s="49"/>
      <c r="B9" s="49"/>
      <c r="C9" s="49"/>
      <c r="D9" s="49"/>
      <c r="E9" s="49"/>
      <c r="F9" s="49" t="s">
        <v>274</v>
      </c>
      <c r="G9" s="78">
        <v>6</v>
      </c>
      <c r="H9" s="49" t="s">
        <v>207</v>
      </c>
      <c r="I9" s="49" t="s">
        <v>9</v>
      </c>
      <c r="J9" s="49"/>
      <c r="K9" s="49"/>
      <c r="L9" s="87">
        <v>30.5</v>
      </c>
      <c r="M9" s="88">
        <f t="shared" si="1"/>
        <v>183</v>
      </c>
      <c r="S9" s="49" t="s">
        <v>220</v>
      </c>
    </row>
    <row r="10" spans="1:19">
      <c r="A10" s="49"/>
      <c r="B10" s="49"/>
      <c r="C10" s="49"/>
      <c r="D10" s="49"/>
      <c r="E10" s="49"/>
      <c r="F10" s="76" t="s">
        <v>275</v>
      </c>
      <c r="G10" s="99">
        <v>0.12</v>
      </c>
      <c r="H10" s="49" t="s">
        <v>207</v>
      </c>
      <c r="I10" s="49" t="s">
        <v>9</v>
      </c>
      <c r="J10" s="49"/>
      <c r="K10" s="49"/>
      <c r="L10" s="87">
        <v>3.5</v>
      </c>
      <c r="M10" s="88">
        <f t="shared" si="1"/>
        <v>0.42</v>
      </c>
      <c r="S10" s="60" t="s">
        <v>227</v>
      </c>
    </row>
    <row r="11" spans="1:19">
      <c r="A11" s="49"/>
      <c r="B11" s="49"/>
      <c r="C11" s="49"/>
      <c r="D11" s="49"/>
      <c r="E11" s="49"/>
      <c r="F11" s="49" t="s">
        <v>277</v>
      </c>
      <c r="G11" s="78">
        <v>8</v>
      </c>
      <c r="H11" s="49" t="s">
        <v>207</v>
      </c>
      <c r="I11" s="49" t="s">
        <v>9</v>
      </c>
      <c r="J11" s="49"/>
      <c r="K11" s="49"/>
      <c r="L11" s="87">
        <v>0.15</v>
      </c>
      <c r="M11" s="88">
        <f t="shared" si="1"/>
        <v>1.2</v>
      </c>
      <c r="S11" s="49" t="s">
        <v>219</v>
      </c>
    </row>
    <row r="12" spans="1:19">
      <c r="A12" s="79"/>
      <c r="B12" s="49"/>
      <c r="C12" s="49"/>
      <c r="D12" s="49"/>
      <c r="E12" s="49"/>
      <c r="F12" s="76" t="s">
        <v>278</v>
      </c>
      <c r="G12" s="78">
        <v>1</v>
      </c>
      <c r="H12" s="49" t="s">
        <v>207</v>
      </c>
      <c r="I12" s="49" t="s">
        <v>9</v>
      </c>
      <c r="J12" s="49"/>
      <c r="K12" s="49"/>
      <c r="L12" s="87">
        <f t="shared" ref="L12:L17" si="2">Q12*87</f>
        <v>9.2654999999999994</v>
      </c>
      <c r="M12" s="88">
        <f t="shared" si="1"/>
        <v>9.2654999999999994</v>
      </c>
      <c r="N12" s="89">
        <v>7.0999999999999994E-2</v>
      </c>
      <c r="O12" s="90">
        <v>0.5</v>
      </c>
      <c r="P12" s="91"/>
      <c r="Q12" s="91">
        <f t="shared" ref="Q12:Q17" si="3">N12+(N12*(O12+P12))</f>
        <v>0.10649999999999998</v>
      </c>
      <c r="S12" s="49" t="s">
        <v>264</v>
      </c>
    </row>
    <row r="13" spans="1:19">
      <c r="A13" s="79"/>
      <c r="B13" s="49"/>
      <c r="C13" s="49"/>
      <c r="D13" s="49"/>
      <c r="E13" s="49"/>
      <c r="F13" s="71" t="str">
        <f>D16</f>
        <v>H505612030 BOM LED PCB</v>
      </c>
      <c r="G13" s="78">
        <v>1</v>
      </c>
      <c r="H13" s="49" t="s">
        <v>207</v>
      </c>
      <c r="I13" s="49" t="s">
        <v>9</v>
      </c>
      <c r="J13" s="49"/>
      <c r="K13" s="49"/>
      <c r="L13" s="87"/>
      <c r="M13" s="88"/>
      <c r="R13" s="98"/>
    </row>
    <row r="14" spans="1:19">
      <c r="A14" s="49"/>
      <c r="B14" s="49"/>
      <c r="C14" s="49"/>
      <c r="D14" s="49"/>
      <c r="E14" s="49"/>
      <c r="F14" s="71" t="str">
        <f>'Backend data'!H6</f>
        <v>PS 40W 500MA 72V Maxic (PCB LT-MX-50W V1.1)</v>
      </c>
      <c r="G14" s="101">
        <v>3</v>
      </c>
      <c r="H14" s="49" t="s">
        <v>207</v>
      </c>
      <c r="I14" s="49" t="s">
        <v>9</v>
      </c>
      <c r="J14" s="49"/>
      <c r="K14" s="49"/>
      <c r="L14" s="87"/>
      <c r="M14" s="88"/>
      <c r="N14" s="104" t="s">
        <v>292</v>
      </c>
      <c r="R14" s="98"/>
      <c r="S14" t="s">
        <v>226</v>
      </c>
    </row>
    <row r="15" spans="1:19">
      <c r="A15" s="49"/>
      <c r="B15" s="49"/>
      <c r="C15" s="49"/>
      <c r="D15" s="49"/>
      <c r="E15" s="49"/>
      <c r="F15" s="66"/>
      <c r="G15" s="102"/>
      <c r="H15" s="49"/>
      <c r="I15" s="49"/>
      <c r="J15" s="49"/>
      <c r="K15" s="49"/>
      <c r="L15" s="87"/>
      <c r="M15" s="88"/>
      <c r="R15" s="98"/>
    </row>
    <row r="16" spans="1:19">
      <c r="A16" s="71" t="str">
        <f>D16</f>
        <v>H505612030 BOM LED PCB</v>
      </c>
      <c r="B16" s="71" t="str">
        <f>B2</f>
        <v>Down Light Series</v>
      </c>
      <c r="C16" s="71" t="s">
        <v>189</v>
      </c>
      <c r="D16" s="71" t="str">
        <f>CONCATENATE('Backend data'!$H$5, " ",'Backend data'!H10)</f>
        <v>H505612030 BOM LED PCB</v>
      </c>
      <c r="E16" s="71">
        <v>1</v>
      </c>
      <c r="F16" s="71" t="str">
        <f>'Backend data'!G6</f>
        <v>LED 2835-60mA-3000K (WW)</v>
      </c>
      <c r="G16" s="101">
        <v>1080</v>
      </c>
      <c r="H16" s="49" t="s">
        <v>210</v>
      </c>
      <c r="I16" s="49" t="s">
        <v>9</v>
      </c>
      <c r="J16" s="49"/>
      <c r="K16" s="49"/>
      <c r="L16" s="87">
        <v>0.09</v>
      </c>
      <c r="M16" s="88">
        <f t="shared" si="1"/>
        <v>97.2</v>
      </c>
      <c r="R16" s="98"/>
    </row>
    <row r="17" spans="1:18">
      <c r="A17" s="49"/>
      <c r="B17" s="49"/>
      <c r="C17" s="49"/>
      <c r="D17" s="49"/>
      <c r="E17" s="49"/>
      <c r="F17" s="73" t="s">
        <v>284</v>
      </c>
      <c r="G17" s="103">
        <v>11</v>
      </c>
      <c r="H17" s="49" t="s">
        <v>210</v>
      </c>
      <c r="I17" s="49" t="s">
        <v>9</v>
      </c>
      <c r="J17" s="49"/>
      <c r="K17" s="49"/>
      <c r="L17" s="87">
        <f t="shared" si="2"/>
        <v>20.357999999999997</v>
      </c>
      <c r="M17" s="88">
        <f t="shared" si="1"/>
        <v>223.93799999999996</v>
      </c>
      <c r="N17" s="89">
        <v>0.156</v>
      </c>
      <c r="O17" s="90">
        <v>0.5</v>
      </c>
      <c r="P17" s="91"/>
      <c r="Q17" s="91">
        <f t="shared" si="3"/>
        <v>0.23399999999999999</v>
      </c>
      <c r="R17" s="98"/>
    </row>
    <row r="18" spans="1:18" ht="20.25" customHeight="1" thickBot="1">
      <c r="M18" s="97">
        <f>SUM(M2:M17)</f>
        <v>1397.75767</v>
      </c>
    </row>
    <row r="19" spans="1:18" ht="15.75" thickTop="1"/>
    <row r="21" spans="1:18" ht="18.75" customHeight="1">
      <c r="K21" s="105" t="s">
        <v>290</v>
      </c>
      <c r="L21" s="106"/>
      <c r="M21" s="92">
        <f>M18</f>
        <v>1397.75767</v>
      </c>
    </row>
    <row r="22" spans="1:18" ht="18.75" customHeight="1">
      <c r="K22" s="105" t="s">
        <v>291</v>
      </c>
      <c r="L22" s="106"/>
      <c r="M22" s="93">
        <f>((M18)+(Q22*87))</f>
        <v>1397.75767</v>
      </c>
      <c r="N22" s="94">
        <v>0</v>
      </c>
      <c r="O22" s="95">
        <v>0.5</v>
      </c>
      <c r="P22" s="95"/>
      <c r="Q22" s="96">
        <f>N22+(N22*(O22+P22))</f>
        <v>0</v>
      </c>
      <c r="R22" s="96"/>
    </row>
  </sheetData>
  <mergeCells count="2">
    <mergeCell ref="K21:L21"/>
    <mergeCell ref="K22:L22"/>
  </mergeCells>
  <conditionalFormatting sqref="F1 F24:F1048576">
    <cfRule type="containsText" dxfId="5" priority="29" operator="containsText" text="PS-">
      <formula>NOT(ISERROR(SEARCH("PS-",F1)))</formula>
    </cfRule>
    <cfRule type="containsText" dxfId="4" priority="32" operator="containsText" text="COB-">
      <formula>NOT(ISERROR(SEARCH("COB-",F1)))</formula>
    </cfRule>
    <cfRule type="containsText" dxfId="3" priority="34" operator="containsText" text="TRIM">
      <formula>NOT(ISERROR(SEARCH("TRIM",F1)))</formula>
    </cfRule>
  </conditionalFormatting>
  <conditionalFormatting sqref="F1:G1 F24:G1048576">
    <cfRule type="containsText" dxfId="2" priority="28" operator="containsText" text="REFLECTOR">
      <formula>NOT(ISERROR(SEARCH("REFLECTOR",F1)))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F24:G1048576 F1:G1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Result!$B$2:$B$13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08" t="s">
        <v>20</v>
      </c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10"/>
    </row>
    <row r="6" spans="1:17" ht="12.6" customHeight="1">
      <c r="A6" s="16" t="s">
        <v>21</v>
      </c>
      <c r="B6" s="12" t="s">
        <v>15</v>
      </c>
      <c r="C6" s="13"/>
      <c r="E6" s="108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10"/>
    </row>
    <row r="7" spans="1:17" ht="12.6" customHeight="1">
      <c r="A7" s="16" t="s">
        <v>22</v>
      </c>
      <c r="B7" s="12" t="s">
        <v>15</v>
      </c>
      <c r="C7" s="13"/>
      <c r="E7" s="108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1:17" ht="12.6" customHeight="1">
      <c r="A8" s="16" t="s">
        <v>23</v>
      </c>
      <c r="B8" s="12" t="s">
        <v>15</v>
      </c>
      <c r="C8" s="13"/>
      <c r="E8" s="108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10"/>
    </row>
    <row r="9" spans="1:17" ht="12.95" customHeight="1">
      <c r="A9" s="16" t="s">
        <v>24</v>
      </c>
      <c r="B9" s="12" t="s">
        <v>15</v>
      </c>
      <c r="C9" s="13"/>
      <c r="E9" s="108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10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</row>
    <row r="20" spans="1:17" ht="25.5">
      <c r="A20" s="16" t="s">
        <v>40</v>
      </c>
      <c r="B20" s="12" t="s">
        <v>15</v>
      </c>
      <c r="C20" s="13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</row>
    <row r="21" spans="1:17">
      <c r="A21" s="16" t="s">
        <v>41</v>
      </c>
      <c r="B21" s="12" t="s">
        <v>15</v>
      </c>
      <c r="C21" s="13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</row>
    <row r="22" spans="1:17">
      <c r="A22" s="6" t="s">
        <v>42</v>
      </c>
      <c r="B22" s="30"/>
      <c r="C22" s="31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X11" workbookViewId="0">
      <selection activeCell="AB25" sqref="AB25"/>
    </sheetView>
  </sheetViews>
  <sheetFormatPr defaultRowHeight="15"/>
  <cols>
    <col min="1" max="1" width="2" customWidth="1"/>
    <col min="2" max="2" width="11.5703125" customWidth="1"/>
    <col min="3" max="3" width="31.42578125" style="51" customWidth="1"/>
    <col min="4" max="4" width="10.85546875" customWidth="1"/>
    <col min="5" max="5" width="10.42578125" bestFit="1" customWidth="1"/>
    <col min="6" max="6" width="2.85546875" customWidth="1"/>
    <col min="7" max="7" width="14.140625" customWidth="1"/>
    <col min="8" max="8" width="51.42578125" style="51" customWidth="1"/>
    <col min="9" max="9" width="4.5703125" customWidth="1"/>
    <col min="10" max="10" width="9.140625" hidden="1" customWidth="1"/>
    <col min="11" max="11" width="2.7109375" customWidth="1"/>
    <col min="13" max="13" width="64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35.7109375" style="5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194</v>
      </c>
      <c r="D2" s="61" t="s">
        <v>202</v>
      </c>
      <c r="E2" s="55" t="s">
        <v>195</v>
      </c>
      <c r="F2" s="55" t="s">
        <v>196</v>
      </c>
      <c r="G2" s="55" t="s">
        <v>198</v>
      </c>
      <c r="H2" s="54" t="s">
        <v>197</v>
      </c>
      <c r="I2" s="62" t="s">
        <v>203</v>
      </c>
    </row>
    <row r="3" spans="2:9" ht="30">
      <c r="C3" s="63" t="str">
        <f>MID('Stock Item'!$D$2,4,1)</f>
        <v>5</v>
      </c>
      <c r="D3" s="52" t="str">
        <f>MID('Stock Item'!$D$2,6,2)</f>
        <v>12</v>
      </c>
      <c r="E3" s="63" t="str">
        <f>MID('Stock Item'!$D$2,7,1)</f>
        <v>2</v>
      </c>
      <c r="F3" s="63" t="str">
        <f>MID('Stock Item'!$D$2,5,2)</f>
        <v>61</v>
      </c>
      <c r="G3" s="51" t="str">
        <f>MID('Stock Item'!$D$2,9,2)</f>
        <v>30</v>
      </c>
      <c r="H3" s="63" t="str">
        <f>MID('Stock Item'!$D$2,11,11)</f>
        <v/>
      </c>
      <c r="I3" t="str">
        <f>MID('Stock Item'!$D$2,2,1)</f>
        <v>5</v>
      </c>
    </row>
    <row r="4" spans="2:9">
      <c r="D4" s="64" t="str">
        <f>CONCATENATE(C3)</f>
        <v>5</v>
      </c>
      <c r="G4" s="64" t="str">
        <f>CONCATENATE($G$3,"-")</f>
        <v>30-</v>
      </c>
      <c r="H4" s="51" t="str">
        <f>CONCATENATE($H$3,"-")</f>
        <v>-</v>
      </c>
    </row>
    <row r="5" spans="2:9">
      <c r="H5" s="51" t="str">
        <f>CONCATENATE('Stock Item'!D2)</f>
        <v>H505612030</v>
      </c>
    </row>
    <row r="6" spans="2:9">
      <c r="B6" s="54" t="s">
        <v>199</v>
      </c>
      <c r="C6" s="58" t="e">
        <f>VLOOKUP($C$3,$B$23:$E$72,2,0)</f>
        <v>#N/A</v>
      </c>
      <c r="D6" s="57" t="e">
        <f>VLOOKUP($D$4,G23:$J$100,2,0)</f>
        <v>#N/A</v>
      </c>
      <c r="E6" s="57" t="e">
        <f>VLOOKUP($E$3,$L$23:$O$72,2,0)</f>
        <v>#N/A</v>
      </c>
      <c r="F6" s="57" t="e">
        <f>VLOOKUP($F$3,$Q$23:$T$72,2,0)</f>
        <v>#N/A</v>
      </c>
      <c r="G6" s="57" t="str">
        <f>VLOOKUP($G$4,$V$23:$Y$72,2,0)</f>
        <v>LED 2835-60mA-3000K (WW)</v>
      </c>
      <c r="H6" s="56" t="str">
        <f>VLOOKUP($H$4,$AA$23:$AD$72,2,0)</f>
        <v>PS 40W 500MA 72V Maxic (PCB LT-MX-50W V1.1)</v>
      </c>
      <c r="I6" s="56" t="e">
        <f>VLOOKUP($I$3,AF23:$AI$100,2,0)</f>
        <v>#N/A</v>
      </c>
    </row>
    <row r="7" spans="2:9" ht="30">
      <c r="B7" s="54" t="s">
        <v>200</v>
      </c>
      <c r="C7" s="58" t="e">
        <f>VLOOKUP($C$3,$B$23:$E$72,4,0)</f>
        <v>#N/A</v>
      </c>
      <c r="D7" s="57" t="e">
        <f>VLOOKUP($D$4,G23:$J$100,4,0)</f>
        <v>#N/A</v>
      </c>
      <c r="E7" s="57" t="e">
        <f>VLOOKUP($E$3,$L$23:$O$72,4,0)</f>
        <v>#N/A</v>
      </c>
      <c r="F7" s="57" t="e">
        <f>VLOOKUP($F$3,$Q$23:$T$72,4,0)</f>
        <v>#N/A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201</v>
      </c>
      <c r="C8" s="58" t="e">
        <f>VLOOKUP($C$3,$B$23:$E$72,3,0)</f>
        <v>#N/A</v>
      </c>
      <c r="D8" s="57" t="e">
        <f>VLOOKUP($D$4,G23:$J$100,3,0)</f>
        <v>#N/A</v>
      </c>
      <c r="E8" s="57" t="e">
        <f>VLOOKUP($E$3,$L$23:$O$72,3,0)</f>
        <v>#N/A</v>
      </c>
      <c r="F8" s="57" t="e">
        <f>VLOOKUP($F$3,$Q$23:$T$72,3,0)</f>
        <v>#N/A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5" t="s">
        <v>204</v>
      </c>
    </row>
    <row r="19" spans="2:35" ht="13.9" customHeight="1"/>
    <row r="21" spans="2:35">
      <c r="B21" s="114" t="s">
        <v>194</v>
      </c>
      <c r="C21" s="115"/>
      <c r="D21" s="115"/>
      <c r="E21" s="115"/>
      <c r="G21" s="114" t="s">
        <v>209</v>
      </c>
      <c r="H21" s="115"/>
      <c r="I21" s="115"/>
      <c r="J21" s="115"/>
      <c r="L21" s="114" t="s">
        <v>195</v>
      </c>
      <c r="M21" s="115"/>
      <c r="N21" s="115"/>
      <c r="O21" s="115"/>
      <c r="Q21" s="114" t="s">
        <v>196</v>
      </c>
      <c r="R21" s="115"/>
      <c r="S21" s="115"/>
      <c r="T21" s="115"/>
      <c r="V21" s="114" t="s">
        <v>205</v>
      </c>
      <c r="W21" s="115"/>
      <c r="X21" s="115"/>
      <c r="Y21" s="115"/>
      <c r="AA21" s="111" t="s">
        <v>197</v>
      </c>
      <c r="AB21" s="112"/>
      <c r="AC21" s="112"/>
      <c r="AD21" s="113"/>
      <c r="AF21" s="111" t="s">
        <v>203</v>
      </c>
      <c r="AG21" s="112"/>
      <c r="AH21" s="112"/>
      <c r="AI21" s="113"/>
    </row>
    <row r="22" spans="2:35">
      <c r="B22" s="50" t="s">
        <v>190</v>
      </c>
      <c r="C22" s="53" t="s">
        <v>191</v>
      </c>
      <c r="D22" s="50" t="s">
        <v>192</v>
      </c>
      <c r="E22" s="50" t="s">
        <v>193</v>
      </c>
      <c r="G22" s="50" t="s">
        <v>190</v>
      </c>
      <c r="H22" s="53" t="s">
        <v>191</v>
      </c>
      <c r="I22" s="50" t="s">
        <v>192</v>
      </c>
      <c r="J22" s="50" t="s">
        <v>193</v>
      </c>
      <c r="L22" s="50" t="s">
        <v>190</v>
      </c>
      <c r="M22" s="53" t="s">
        <v>191</v>
      </c>
      <c r="N22" s="50" t="s">
        <v>192</v>
      </c>
      <c r="O22" s="50" t="s">
        <v>193</v>
      </c>
      <c r="Q22" s="50" t="s">
        <v>190</v>
      </c>
      <c r="R22" s="53" t="s">
        <v>191</v>
      </c>
      <c r="S22" s="50" t="s">
        <v>192</v>
      </c>
      <c r="T22" s="50" t="s">
        <v>193</v>
      </c>
      <c r="V22" s="50" t="s">
        <v>190</v>
      </c>
      <c r="W22" s="50" t="s">
        <v>191</v>
      </c>
      <c r="X22" s="50" t="s">
        <v>192</v>
      </c>
      <c r="Y22" s="50" t="s">
        <v>193</v>
      </c>
      <c r="AA22" s="50" t="s">
        <v>190</v>
      </c>
      <c r="AB22" s="53" t="s">
        <v>191</v>
      </c>
      <c r="AC22" s="50" t="s">
        <v>192</v>
      </c>
      <c r="AD22" s="50" t="s">
        <v>193</v>
      </c>
      <c r="AF22" s="50" t="s">
        <v>190</v>
      </c>
      <c r="AG22" s="50" t="s">
        <v>191</v>
      </c>
      <c r="AH22" s="50" t="s">
        <v>192</v>
      </c>
      <c r="AI22" s="50" t="s">
        <v>193</v>
      </c>
    </row>
    <row r="23" spans="2:35">
      <c r="B23" s="67" t="s">
        <v>208</v>
      </c>
      <c r="C23" s="70"/>
      <c r="D23" s="66"/>
      <c r="E23" s="66"/>
      <c r="G23" s="68"/>
      <c r="H23" s="67"/>
      <c r="L23" s="60"/>
      <c r="M23" s="60"/>
      <c r="N23" s="49"/>
      <c r="O23" s="49"/>
      <c r="Q23" s="68" t="s">
        <v>206</v>
      </c>
      <c r="R23" s="69"/>
      <c r="V23" s="49" t="s">
        <v>214</v>
      </c>
      <c r="W23" s="80" t="s">
        <v>280</v>
      </c>
      <c r="X23" s="49"/>
      <c r="AA23" s="72" t="s">
        <v>221</v>
      </c>
      <c r="AB23" s="71" t="s">
        <v>279</v>
      </c>
      <c r="AF23" s="60"/>
      <c r="AG23" s="60"/>
    </row>
    <row r="24" spans="2:35">
      <c r="B24" s="67" t="s">
        <v>19</v>
      </c>
      <c r="C24" s="70"/>
      <c r="D24" s="66"/>
      <c r="E24" s="66"/>
      <c r="G24" s="68"/>
      <c r="H24" s="60"/>
      <c r="L24" s="60"/>
      <c r="M24" s="60"/>
      <c r="N24" s="49"/>
      <c r="O24" s="49"/>
      <c r="Q24" s="68"/>
      <c r="R24" s="69"/>
      <c r="V24" s="49" t="s">
        <v>211</v>
      </c>
      <c r="W24" s="81" t="s">
        <v>281</v>
      </c>
      <c r="AA24" s="72" t="s">
        <v>222</v>
      </c>
      <c r="AB24" s="71" t="s">
        <v>224</v>
      </c>
    </row>
    <row r="25" spans="2:35">
      <c r="B25" s="60" t="s">
        <v>215</v>
      </c>
      <c r="C25" s="70"/>
      <c r="D25" s="66"/>
      <c r="E25" s="66"/>
      <c r="L25" s="49"/>
      <c r="M25" s="49"/>
      <c r="N25" s="49"/>
      <c r="O25" s="49"/>
      <c r="V25" s="49" t="s">
        <v>213</v>
      </c>
      <c r="W25" s="81" t="s">
        <v>282</v>
      </c>
      <c r="AA25" s="72" t="s">
        <v>223</v>
      </c>
      <c r="AB25" s="71" t="s">
        <v>225</v>
      </c>
    </row>
    <row r="26" spans="2:35">
      <c r="L26" s="49"/>
      <c r="M26" s="49"/>
      <c r="N26" s="49"/>
      <c r="O26" s="49"/>
      <c r="V26" s="49" t="s">
        <v>212</v>
      </c>
      <c r="W26" s="81" t="s">
        <v>283</v>
      </c>
      <c r="AA26" s="72"/>
      <c r="AB26" s="71"/>
    </row>
    <row r="27" spans="2:35">
      <c r="H27"/>
      <c r="V27" s="49"/>
      <c r="W27" s="71"/>
      <c r="AA27" s="72"/>
      <c r="AB27" s="72"/>
    </row>
    <row r="28" spans="2:35">
      <c r="V28" s="49"/>
      <c r="W28" s="72"/>
      <c r="AB28"/>
    </row>
    <row r="29" spans="2:35">
      <c r="AB29"/>
    </row>
    <row r="30" spans="2:35">
      <c r="AB30"/>
    </row>
    <row r="31" spans="2:35">
      <c r="AB31"/>
    </row>
    <row r="32" spans="2:35">
      <c r="AB32"/>
    </row>
    <row r="33" spans="28:28">
      <c r="AB33"/>
    </row>
    <row r="34" spans="28:28">
      <c r="AB34"/>
    </row>
    <row r="35" spans="28:28">
      <c r="AB35"/>
    </row>
    <row r="36" spans="28:28">
      <c r="AB36"/>
    </row>
    <row r="37" spans="28:28">
      <c r="AB37"/>
    </row>
    <row r="38" spans="28:28">
      <c r="AB38"/>
    </row>
    <row r="39" spans="28:28">
      <c r="AB39"/>
    </row>
    <row r="40" spans="28:28">
      <c r="AB40"/>
    </row>
    <row r="41" spans="28:28">
      <c r="AB41"/>
    </row>
    <row r="42" spans="28:28">
      <c r="AB42"/>
    </row>
    <row r="43" spans="28:28">
      <c r="AB43"/>
    </row>
    <row r="44" spans="28:28">
      <c r="AB44"/>
    </row>
    <row r="45" spans="28:28">
      <c r="AB45"/>
    </row>
    <row r="46" spans="28:28">
      <c r="AB46"/>
    </row>
    <row r="47" spans="28:28">
      <c r="AB47"/>
    </row>
    <row r="48" spans="28:28">
      <c r="AB48"/>
    </row>
    <row r="49" spans="28:28">
      <c r="AB49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conditionalFormatting sqref="W24:W26">
    <cfRule type="duplicateValues" dxfId="1" priority="2"/>
  </conditionalFormatting>
  <conditionalFormatting sqref="W23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B13" sqref="B13"/>
    </sheetView>
  </sheetViews>
  <sheetFormatPr defaultRowHeight="15"/>
  <cols>
    <col min="1" max="1" width="9.140625" style="75"/>
    <col min="2" max="2" width="25.140625" style="75" customWidth="1"/>
    <col min="3" max="16384" width="9.140625" style="75"/>
  </cols>
  <sheetData>
    <row r="1" spans="1:13">
      <c r="A1" s="75" t="s">
        <v>258</v>
      </c>
      <c r="B1" s="75" t="s">
        <v>257</v>
      </c>
      <c r="C1" s="75" t="s">
        <v>256</v>
      </c>
      <c r="D1" s="75" t="s">
        <v>255</v>
      </c>
      <c r="E1" s="75" t="s">
        <v>254</v>
      </c>
      <c r="F1" s="75" t="s">
        <v>253</v>
      </c>
      <c r="G1" s="75" t="s">
        <v>252</v>
      </c>
      <c r="H1" s="75" t="s">
        <v>251</v>
      </c>
      <c r="I1" s="75" t="s">
        <v>250</v>
      </c>
      <c r="J1" s="75" t="s">
        <v>249</v>
      </c>
      <c r="K1" s="75" t="s">
        <v>248</v>
      </c>
      <c r="L1" s="75" t="s">
        <v>247</v>
      </c>
      <c r="M1" s="75" t="s">
        <v>246</v>
      </c>
    </row>
    <row r="2" spans="1:13">
      <c r="A2" s="75">
        <v>151414</v>
      </c>
      <c r="B2" s="75" t="s">
        <v>259</v>
      </c>
      <c r="C2" s="75" t="s">
        <v>232</v>
      </c>
      <c r="D2" s="75">
        <v>0</v>
      </c>
      <c r="E2" s="75">
        <v>0</v>
      </c>
      <c r="F2" s="75">
        <v>9201</v>
      </c>
      <c r="G2" s="75">
        <v>0</v>
      </c>
      <c r="H2" s="75">
        <v>0</v>
      </c>
      <c r="I2" s="75">
        <v>0</v>
      </c>
      <c r="J2" s="75">
        <v>0</v>
      </c>
      <c r="K2" s="75" t="s">
        <v>231</v>
      </c>
      <c r="L2" s="75" t="s">
        <v>238</v>
      </c>
      <c r="M2" s="75" t="s">
        <v>245</v>
      </c>
    </row>
    <row r="3" spans="1:13">
      <c r="A3" s="75">
        <v>151415</v>
      </c>
      <c r="B3" s="75" t="s">
        <v>260</v>
      </c>
      <c r="C3" s="75" t="s">
        <v>232</v>
      </c>
      <c r="D3" s="75">
        <v>0</v>
      </c>
      <c r="E3" s="75">
        <v>0</v>
      </c>
      <c r="F3" s="75">
        <v>9201</v>
      </c>
      <c r="G3" s="75">
        <v>0</v>
      </c>
      <c r="H3" s="75">
        <v>0</v>
      </c>
      <c r="I3" s="75">
        <v>0</v>
      </c>
      <c r="J3" s="75">
        <v>0</v>
      </c>
      <c r="K3" s="75" t="s">
        <v>231</v>
      </c>
      <c r="L3" s="75" t="s">
        <v>236</v>
      </c>
      <c r="M3" s="75" t="s">
        <v>245</v>
      </c>
    </row>
    <row r="4" spans="1:13">
      <c r="A4" s="75">
        <v>151416</v>
      </c>
      <c r="B4" s="75" t="s">
        <v>261</v>
      </c>
      <c r="C4" s="75" t="s">
        <v>232</v>
      </c>
      <c r="D4" s="75">
        <v>0</v>
      </c>
      <c r="E4" s="75">
        <v>0</v>
      </c>
      <c r="F4" s="75">
        <v>9201</v>
      </c>
      <c r="G4" s="75">
        <v>0</v>
      </c>
      <c r="H4" s="75">
        <v>0</v>
      </c>
      <c r="I4" s="75">
        <v>0</v>
      </c>
      <c r="J4" s="75">
        <v>0</v>
      </c>
      <c r="K4" s="75" t="s">
        <v>231</v>
      </c>
      <c r="L4" s="75" t="s">
        <v>234</v>
      </c>
      <c r="M4" s="75" t="s">
        <v>245</v>
      </c>
    </row>
    <row r="5" spans="1:13">
      <c r="A5" s="75">
        <v>151417</v>
      </c>
      <c r="B5" s="75" t="s">
        <v>262</v>
      </c>
      <c r="C5" s="75" t="s">
        <v>232</v>
      </c>
      <c r="D5" s="75">
        <v>0</v>
      </c>
      <c r="E5" s="75">
        <v>0</v>
      </c>
      <c r="F5" s="75">
        <v>9201</v>
      </c>
      <c r="G5" s="75">
        <v>0</v>
      </c>
      <c r="H5" s="75">
        <v>0</v>
      </c>
      <c r="I5" s="75">
        <v>0</v>
      </c>
      <c r="J5" s="75">
        <v>0</v>
      </c>
      <c r="K5" s="75" t="s">
        <v>231</v>
      </c>
      <c r="L5" s="75" t="s">
        <v>230</v>
      </c>
      <c r="M5" s="75" t="s">
        <v>245</v>
      </c>
    </row>
    <row r="6" spans="1:13">
      <c r="A6" s="75">
        <v>151438</v>
      </c>
      <c r="B6" s="75" t="s">
        <v>244</v>
      </c>
      <c r="C6" s="75" t="s">
        <v>232</v>
      </c>
      <c r="D6" s="75">
        <v>0</v>
      </c>
      <c r="E6" s="75">
        <v>0</v>
      </c>
      <c r="F6" s="75">
        <v>0</v>
      </c>
      <c r="G6" s="75">
        <v>0</v>
      </c>
      <c r="H6" s="75">
        <v>0</v>
      </c>
      <c r="I6" s="75">
        <v>0</v>
      </c>
      <c r="J6" s="75">
        <v>0</v>
      </c>
      <c r="K6" s="75" t="s">
        <v>231</v>
      </c>
      <c r="L6" s="75" t="s">
        <v>238</v>
      </c>
      <c r="M6" s="75" t="s">
        <v>240</v>
      </c>
    </row>
    <row r="7" spans="1:13">
      <c r="A7" s="75">
        <v>151439</v>
      </c>
      <c r="B7" s="75" t="s">
        <v>243</v>
      </c>
      <c r="C7" s="75" t="s">
        <v>232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 t="s">
        <v>231</v>
      </c>
      <c r="L7" s="75" t="s">
        <v>236</v>
      </c>
      <c r="M7" s="75" t="s">
        <v>240</v>
      </c>
    </row>
    <row r="8" spans="1:13">
      <c r="A8" s="75">
        <v>151440</v>
      </c>
      <c r="B8" s="75" t="s">
        <v>242</v>
      </c>
      <c r="C8" s="75" t="s">
        <v>232</v>
      </c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 t="s">
        <v>231</v>
      </c>
      <c r="L8" s="75" t="s">
        <v>234</v>
      </c>
      <c r="M8" s="75" t="s">
        <v>240</v>
      </c>
    </row>
    <row r="9" spans="1:13">
      <c r="A9" s="75">
        <v>151441</v>
      </c>
      <c r="B9" s="75" t="s">
        <v>241</v>
      </c>
      <c r="C9" s="75" t="s">
        <v>232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 t="s">
        <v>231</v>
      </c>
      <c r="L9" s="75" t="s">
        <v>230</v>
      </c>
      <c r="M9" s="75" t="s">
        <v>240</v>
      </c>
    </row>
    <row r="10" spans="1:13">
      <c r="A10" s="75">
        <v>151462</v>
      </c>
      <c r="B10" s="75" t="s">
        <v>239</v>
      </c>
      <c r="C10" s="75" t="s">
        <v>232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 t="s">
        <v>231</v>
      </c>
      <c r="L10" s="75" t="s">
        <v>238</v>
      </c>
      <c r="M10" s="75" t="s">
        <v>229</v>
      </c>
    </row>
    <row r="11" spans="1:13">
      <c r="A11" s="75">
        <v>151463</v>
      </c>
      <c r="B11" s="75" t="s">
        <v>237</v>
      </c>
      <c r="C11" s="75" t="s">
        <v>232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 t="s">
        <v>231</v>
      </c>
      <c r="L11" s="75" t="s">
        <v>236</v>
      </c>
      <c r="M11" s="75" t="s">
        <v>229</v>
      </c>
    </row>
    <row r="12" spans="1:13">
      <c r="A12" s="75">
        <v>151464</v>
      </c>
      <c r="B12" s="75" t="s">
        <v>235</v>
      </c>
      <c r="C12" s="75" t="s">
        <v>232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 t="s">
        <v>231</v>
      </c>
      <c r="L12" s="75" t="s">
        <v>234</v>
      </c>
      <c r="M12" s="75" t="s">
        <v>229</v>
      </c>
    </row>
    <row r="13" spans="1:13">
      <c r="A13" s="75">
        <v>151465</v>
      </c>
      <c r="B13" s="75" t="s">
        <v>233</v>
      </c>
      <c r="C13" s="75" t="s">
        <v>232</v>
      </c>
      <c r="D13" s="75">
        <v>0</v>
      </c>
      <c r="E13" s="75">
        <v>0</v>
      </c>
      <c r="F13" s="75">
        <v>0</v>
      </c>
      <c r="G13" s="75">
        <v>0</v>
      </c>
      <c r="H13" s="75">
        <v>0</v>
      </c>
      <c r="I13" s="75">
        <v>0</v>
      </c>
      <c r="J13" s="75">
        <v>0</v>
      </c>
      <c r="K13" s="75" t="s">
        <v>231</v>
      </c>
      <c r="L13" s="75" t="s">
        <v>230</v>
      </c>
      <c r="M13" s="75" t="s">
        <v>229</v>
      </c>
    </row>
  </sheetData>
  <autoFilter ref="A1:M1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0CA5442-C2DA-43F1-A162-45733585A7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2025-04-02T05:47:56Z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
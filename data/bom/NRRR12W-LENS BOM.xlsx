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Brijesh-pc\d\SURYA- BOM\1) OK BOMs\7) NRRR\"/>
    </mc:Choice>
  </mc:AlternateContent>
  <bookViews>
    <workbookView xWindow="-120" yWindow="-60" windowWidth="15600" windowHeight="11100" tabRatio="597"/>
  </bookViews>
  <sheets>
    <sheet name="Stock Item" sheetId="23" r:id="rId1"/>
    <sheet name="Stock Item (Read Me)" sheetId="10" state="hidden" r:id="rId2"/>
    <sheet name="Backend data" sheetId="24" r:id="rId3"/>
    <sheet name="Result (2)" sheetId="28" r:id="rId4"/>
  </sheets>
  <externalReferences>
    <externalReference r:id="rId5"/>
  </externalReferences>
  <definedNames>
    <definedName name="_xlnm._FilterDatabase" localSheetId="3" hidden="1">'Result (2)'!$A$1:$O$43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" i="23" l="1"/>
  <c r="N17" i="23"/>
  <c r="Q17" i="23" s="1"/>
  <c r="Q25" i="23" l="1"/>
  <c r="Q23" i="23"/>
  <c r="L4" i="23" l="1"/>
  <c r="N4" i="23"/>
  <c r="Q4" i="23" s="1"/>
  <c r="N7" i="23"/>
  <c r="Q7" i="23" s="1"/>
  <c r="Q3" i="23"/>
  <c r="L3" i="23" s="1"/>
  <c r="L11" i="23" l="1"/>
  <c r="M11" i="23" s="1"/>
  <c r="N10" i="23"/>
  <c r="Q10" i="23" s="1"/>
  <c r="L10" i="23" s="1"/>
  <c r="M10" i="23" s="1"/>
  <c r="M18" i="23"/>
  <c r="M17" i="23"/>
  <c r="M16" i="23"/>
  <c r="M15" i="23"/>
  <c r="M14" i="23"/>
  <c r="M13" i="23"/>
  <c r="M12" i="23"/>
  <c r="M9" i="23"/>
  <c r="M8" i="23"/>
  <c r="M7" i="23"/>
  <c r="M4" i="23"/>
  <c r="M3" i="23"/>
  <c r="Q2" i="23"/>
  <c r="L2" i="23" s="1"/>
  <c r="M2" i="23" s="1"/>
  <c r="M19" i="23" l="1"/>
  <c r="M26" i="23" l="1"/>
  <c r="M25" i="23"/>
  <c r="M24" i="23"/>
  <c r="M23" i="23"/>
  <c r="M22" i="23"/>
  <c r="M21" i="23"/>
  <c r="D3" i="24"/>
  <c r="H5" i="24" l="1"/>
  <c r="G3" i="24"/>
  <c r="H3" i="24" l="1"/>
  <c r="F3" i="24"/>
  <c r="G4" i="24" l="1"/>
  <c r="H4" i="24"/>
  <c r="A2" i="23"/>
  <c r="E3" i="24"/>
  <c r="H8" i="24" l="1"/>
  <c r="I3" i="24"/>
  <c r="I7" i="24" s="1"/>
  <c r="H7" i="24" l="1"/>
  <c r="H6" i="24"/>
  <c r="F18" i="23" s="1"/>
  <c r="I6" i="24"/>
  <c r="I8" i="24"/>
  <c r="C3" i="24"/>
  <c r="D4" i="24" s="1"/>
  <c r="E7" i="24" l="1"/>
  <c r="E8" i="24"/>
  <c r="C8" i="24"/>
  <c r="C6" i="24"/>
  <c r="F2" i="23" s="1"/>
  <c r="F7" i="24"/>
  <c r="F8" i="24"/>
  <c r="C7" i="24"/>
  <c r="G6" i="24"/>
  <c r="F17" i="23" s="1"/>
  <c r="E6" i="24"/>
  <c r="F6" i="24"/>
  <c r="F5" i="23" s="1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 shape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 shape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 shape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 shape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<sst xmlns="http://schemas.openxmlformats.org/spreadsheetml/2006/main" count="796" uniqueCount="385">
  <si>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</si>
  <si>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</si>
  <si>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</si>
  <si>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</si>
  <si>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</si>
  <si>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</si>
  <si>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</si>
  <si>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</si>
  <si>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</si>
  <si>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</si>
  <si>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</si>
  <si>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</si>
  <si>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</si>
  <si>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</si>
  <si>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</si>
  <si>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</si>
  <si>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</si>
  <si>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</si>
  <si>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</si>
  <si>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</si>
  <si>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</si>
  <si>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</si>
  <si>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</si>
  <si>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</si>
  <si>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</si>
  <si>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</si>
  <si>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</si>
  <si>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</si>
  <si>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</si>
  <si>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</si>
  <si>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</si>
  <si>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</si>
  <si>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</si>
  <si>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</si>
  <si>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</si>
  <si>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</si>
  <si>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</si>
  <si>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</si>
  <si>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</si>
  <si>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</si>
  <si>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</si>
  <si>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</si>
  <si>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</si>
  <si>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</si>
  <si>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</si>
  <si>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</si>
  <si>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</si>
  <si>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</si>
  <si>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</si>
  <si>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</si>
  <si>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</si>
  <si>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</si>
  <si>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</si>
  <si>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</si>
  <si>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</si>
  <si>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</si>
  <si>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</si>
  <si>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</si>
  <si>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</si>
  <si>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</si>
  <si>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</si>
  <si>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</si>
  <si>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</si>
  <si>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</si>
  <si>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</si>
  <si>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</si>
  <si>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</si>
  <si>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</si>
  <si>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</si>
  <si>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</si>
  <si>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</si>
  <si>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</si>
  <si>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</si>
  <si>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</si>
  <si>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</si>
  <si>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</si>
  <si>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</si>
  <si>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</si>
  <si>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</si>
  <si>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</si>
  <si>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</si>
  <si>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</si>
  <si>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</si>
  <si>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</si>
  <si>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</si>
  <si>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</si>
  <si>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</si>
  <si>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</si>
  <si>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</si>
  <si>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</si>
  <si>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</si>
  <si>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</si>
  <si>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</si>
  <si>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</si>
  <si>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</si>
  <si>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</si>
  <si>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</si>
  <si>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</si>
  <si>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</si>
  <si>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</si>
  <si>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</si>
  <si>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</si>
  <si>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</si>
  <si>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</si>
  <si>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</si>
  <si>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</si>
  <si>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</si>
  <si>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</si>
  <si>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</si>
  <si>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</si>
  <si>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</si>
  <si>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</si>
  <si>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</si>
  <si>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</si>
  <si>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</si>
  <si>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</si>
  <si>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</si>
  <si>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</si>
  <si>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</si>
  <si>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</si>
  <si>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</si>
  <si>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</si>
  <si>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</si>
  <si>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</si>
  <si>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</si>
  <si>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</si>
  <si>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</si>
  <si>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</si>
  <si>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</si>
  <si>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</si>
  <si>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</si>
  <si>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</si>
  <si>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</si>
  <si>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</si>
  <si>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</si>
  <si>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</si>
  <si>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</si>
  <si>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</si>
  <si>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</si>
  <si>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</si>
  <si>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</si>
  <si>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</si>
  <si>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</si>
  <si>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</si>
  <si>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</si>
  <si>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</si>
  <si>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</si>
  <si>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</si>
  <si>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</si>
  <si>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</si>
  <si>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</si>
  <si>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</si>
  <si>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</si>
  <si>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</si>
  <si>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</si>
  <si>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</si>
  <si>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</si>
  <si>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</si>
  <si>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</si>
  <si>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</si>
  <si>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</si>
  <si>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</si>
  <si>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</si>
  <si>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</si>
  <si>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</si>
  <si>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</si>
  <si>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</si>
  <si>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</si>
  <si>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</si>
  <si>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</si>
  <si>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</si>
  <si>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</si>
  <si>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</si>
  <si>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</si>
  <si>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</si>
  <si>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</si>
  <si>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</si>
  <si>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</si>
  <si>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</si>
  <si>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</si>
  <si>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</si>
  <si>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</si>
  <si>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</si>
  <si>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</si>
  <si>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</si>
  <si>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</si>
  <si>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</si>
  <si>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</si>
  <si>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</si>
  <si>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Mechanical Store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</si>
  <si>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</si>
  <si>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</si>
  <si>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</si>
  <si>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</si>
  <si>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</si>
  <si>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</si>
  <si>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</si>
  <si>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</si>
  <si>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</si>
  <si>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</si>
  <si>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</si>
  <si>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</si>
  <si>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</si>
  <si>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</si>
  <si>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</si>
  <si>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R</t>
  </si>
  <si>
    <t>BOM LED PCB</t>
  </si>
  <si>
    <t>COLOUR TEMPERATURE</t>
  </si>
  <si>
    <t>Down light Series</t>
  </si>
  <si>
    <t>T</t>
  </si>
  <si>
    <t>Constant Current</t>
  </si>
  <si>
    <t>DALI Dimming</t>
  </si>
  <si>
    <t>PBX-COB 8-15W</t>
  </si>
  <si>
    <t>SBX-COB 8-18W (12Nos)</t>
  </si>
  <si>
    <t>Conn. 2Pin Ass. Wire Black Male (Small)</t>
  </si>
  <si>
    <t>Sleeve M4mm Fiber Glass White</t>
  </si>
  <si>
    <t>Wire Clip-M3-MS</t>
  </si>
  <si>
    <t>Screw No. 4X6.5mm Self Pan Combi. PH - SS</t>
  </si>
  <si>
    <t>Screw M3X6mm CSK PH - SS</t>
  </si>
  <si>
    <t>Rivet 1/8" x 1/4" MS (Big)</t>
  </si>
  <si>
    <t>Electronics Store</t>
  </si>
  <si>
    <t>3000K</t>
  </si>
  <si>
    <t>4000K</t>
  </si>
  <si>
    <t>TRIAC Dimming</t>
  </si>
  <si>
    <t>Bluetooth Dimming</t>
  </si>
  <si>
    <t>Trim-O-68 I-51 H-63mm White NRRR8-18W</t>
  </si>
  <si>
    <t>Trim-O-68 I-51 H-63mm Black NRRR8-18W</t>
  </si>
  <si>
    <t>Trim-O-68 I-51 H-63mm Inner Black NRRR8-18W</t>
  </si>
  <si>
    <t>R12</t>
  </si>
  <si>
    <t>HS 50x34.5mm (SR-DR-NR-12W)</t>
  </si>
  <si>
    <t>27-</t>
  </si>
  <si>
    <t>COB 30W 2700K 12LED 34-38V 890mA 19x19mm CRI-90</t>
  </si>
  <si>
    <t>30-</t>
  </si>
  <si>
    <t>COB 30-36W 3000K 12LED 34-38V 890mA 19x19mm CRI-90</t>
  </si>
  <si>
    <t>40-</t>
  </si>
  <si>
    <t>COB 30-36W 4000K 12LED 34-38V 890mA 19x19mm CRI-90</t>
  </si>
  <si>
    <t>50-</t>
  </si>
  <si>
    <t>COB 30-36W 5000K 12LED 34-38V 890mA 19x19mm CRI-90</t>
  </si>
  <si>
    <t>60-</t>
  </si>
  <si>
    <t>COB 30-36W 6000K 12LED 34-38V 890mA 19x19mm CRI-90</t>
  </si>
  <si>
    <t>27T-</t>
  </si>
  <si>
    <t>30T-</t>
  </si>
  <si>
    <t>40T-</t>
  </si>
  <si>
    <t>50T-</t>
  </si>
  <si>
    <t>60T-</t>
  </si>
  <si>
    <t>27I-</t>
  </si>
  <si>
    <t>30I-</t>
  </si>
  <si>
    <t>40I-</t>
  </si>
  <si>
    <t>50I-</t>
  </si>
  <si>
    <t>60I-</t>
  </si>
  <si>
    <t>26ID-</t>
  </si>
  <si>
    <t>27BT-</t>
  </si>
  <si>
    <t>30BT-</t>
  </si>
  <si>
    <t>40BT-</t>
  </si>
  <si>
    <t>50BT-</t>
  </si>
  <si>
    <t>60BT-</t>
  </si>
  <si>
    <t>26BTD-</t>
  </si>
  <si>
    <t>08-</t>
  </si>
  <si>
    <t>PS 8W 200MA 36V LPF (PCB MT43-8-12W-V2 LPF)</t>
  </si>
  <si>
    <t>08T-</t>
  </si>
  <si>
    <t>PS 8W 200MA 36V Triac Dimming</t>
  </si>
  <si>
    <t>08I-</t>
  </si>
  <si>
    <t>Dali Driver SC-10W PE19DA4240  (AI-Dimming)-25-40V</t>
  </si>
  <si>
    <t>08BT-</t>
  </si>
  <si>
    <t>PS CCT 8W 170MA 36V BT-SC (PCB LT 7-20W-CCT-V 1.1 REV-1)</t>
  </si>
  <si>
    <t>08ID-</t>
  </si>
  <si>
    <t>Dali Driver DC-10W PE694R4230(AI-Dimming)-25-40V</t>
  </si>
  <si>
    <t>08BTD-</t>
  </si>
  <si>
    <t>PS CCT 8W 170MA 36V BT-DC (PCB LT 7-20W-CCT-V 1.1 REV-1)</t>
  </si>
  <si>
    <t>12-</t>
  </si>
  <si>
    <t>PS 12-20W 300mA 36-72V Maxic (PCB LT-MX-20W-V2)</t>
  </si>
  <si>
    <t>12T-</t>
  </si>
  <si>
    <t>PS 12W 300mA 36V Triac Dimming</t>
  </si>
  <si>
    <t>12I-</t>
  </si>
  <si>
    <t>12BT-</t>
  </si>
  <si>
    <t>PS CCT 12W 250MA 36V BT-SC (PCB LT 7-20W-CCT-V 1.1 REV-1)</t>
  </si>
  <si>
    <t>12ID-</t>
  </si>
  <si>
    <t>12BTD-</t>
  </si>
  <si>
    <t>PS CCT 12W 250MA 36V BT-DC (PCB LT 7-20W-CCT-V 1.1 REV-1)</t>
  </si>
  <si>
    <t>15-</t>
  </si>
  <si>
    <t>PS 15W 370mA 36V Maxic(PCB LT-MX-20W-V2)</t>
  </si>
  <si>
    <t>15T-</t>
  </si>
  <si>
    <t>PS 15W 350mA 25-42V Triac Dimm</t>
  </si>
  <si>
    <t>15I-</t>
  </si>
  <si>
    <t>Dali Driver SC-15-20W PE19DA4240 (AI-Dimming)9-42V</t>
  </si>
  <si>
    <t>15BT-</t>
  </si>
  <si>
    <t>PS CCT 15W 320MA 36V BT-SC (PCB LT 7-20W-CCT-V 1.1 REV-1)</t>
  </si>
  <si>
    <t>15ID-</t>
  </si>
  <si>
    <t>Dali Driver DC-20W PE69R4240 (AI-Dimming)-25-40V</t>
  </si>
  <si>
    <t>15BTD-</t>
  </si>
  <si>
    <t>PS CCT 15W 320MA 36V BT-DC (PCB LT 7-20W-CCT-V 1.1 REV-1)</t>
  </si>
  <si>
    <t>18-</t>
  </si>
  <si>
    <t>PS 18W 440mA 36V Maxic(PCB LT-MX-20W-V2)</t>
  </si>
  <si>
    <t>18T-</t>
  </si>
  <si>
    <t>PS 18W 450mA 36V Track Dimming</t>
  </si>
  <si>
    <t>18I-</t>
  </si>
  <si>
    <t>18BT-</t>
  </si>
  <si>
    <t>PS CCT 18W 375MA 36V BT-SC (PCB LT 7-20W-CCT-V 1.1 REV-1)</t>
  </si>
  <si>
    <t>18ID-</t>
  </si>
  <si>
    <t>18BTD-</t>
  </si>
  <si>
    <t>PS CCT 18W 375MA 36V BT-DC (PCB LT 7-20W-CCT-V 1.1 REV-1)</t>
  </si>
  <si>
    <t>LED COB Dual Colour 30W (2700K-5000k)</t>
  </si>
  <si>
    <t>Refl. 50027-W OD-50 LES ID-20 H-26.5mm 8-18W (Honghui)</t>
  </si>
  <si>
    <t>COB Holder 50027-W OD-38 ID-17 H-3.5mm 8-18W (Honghui)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</si>
  <si>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</si>
  <si>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</si>
  <si>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</si>
  <si>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</si>
  <si>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</si>
  <si>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</si>
  <si>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</si>
  <si>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</si>
  <si>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</si>
  <si>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</si>
  <si>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Beam Angle</t>
  </si>
  <si>
    <t>Color Temp</t>
  </si>
  <si>
    <t>Driving System</t>
  </si>
  <si>
    <t>Trim</t>
  </si>
  <si>
    <t>Watt</t>
  </si>
  <si>
    <t>5000K</t>
  </si>
  <si>
    <t>Round White Trim</t>
  </si>
  <si>
    <t>12 Watt</t>
  </si>
  <si>
    <t>Round Black Trim</t>
  </si>
  <si>
    <t>Round Two Color Trim</t>
  </si>
  <si>
    <t>2700K - 6000K Dual Color</t>
  </si>
  <si>
    <t>Dali + Dual Color (2700K - 6000K)</t>
  </si>
  <si>
    <t>Bluetooth + Dual Color (2700K - 6000K)</t>
  </si>
  <si>
    <t>NRRR12W50</t>
  </si>
  <si>
    <t>Wide - 40°</t>
  </si>
  <si>
    <t>NRRR12W40</t>
  </si>
  <si>
    <t>NRRR12W30</t>
  </si>
  <si>
    <t>NRRB12W50</t>
  </si>
  <si>
    <t>NRRB12W40</t>
  </si>
  <si>
    <t>NRRB12W30</t>
  </si>
  <si>
    <t>NRRT12W50</t>
  </si>
  <si>
    <t>NRRT12W40</t>
  </si>
  <si>
    <t>NRRT12W30</t>
  </si>
  <si>
    <t>NRRR12W50T</t>
  </si>
  <si>
    <t>NRRR12W40T</t>
  </si>
  <si>
    <t>NRRR12W30T</t>
  </si>
  <si>
    <t>NRRB12W50T</t>
  </si>
  <si>
    <t>NRRB12W40T</t>
  </si>
  <si>
    <t>NRRB12W30T</t>
  </si>
  <si>
    <t>NRRT12W50T</t>
  </si>
  <si>
    <t>NRRT12W40T</t>
  </si>
  <si>
    <t>NRRT12W30T</t>
  </si>
  <si>
    <t>NRRR12W50I</t>
  </si>
  <si>
    <t>NRRR12W40I</t>
  </si>
  <si>
    <t>NRRR12W30I</t>
  </si>
  <si>
    <t>NRRB12W50I</t>
  </si>
  <si>
    <t>NRRB12W40I</t>
  </si>
  <si>
    <t>NRRB12W30I</t>
  </si>
  <si>
    <t>NRRT12W50I</t>
  </si>
  <si>
    <t>NRRT12W40I</t>
  </si>
  <si>
    <t>NRRT12W30I</t>
  </si>
  <si>
    <t>NRRR12W50BT</t>
  </si>
  <si>
    <t>NRRR12W40BT</t>
  </si>
  <si>
    <t>NRRR12W30BT</t>
  </si>
  <si>
    <t>NRRB12W50BT</t>
  </si>
  <si>
    <t>NRRB12W40BT</t>
  </si>
  <si>
    <t>NRRB12W30BT</t>
  </si>
  <si>
    <t>NRRT12W50BT</t>
  </si>
  <si>
    <t>NRRT12W40BT</t>
  </si>
  <si>
    <t>NRRT12W30BT</t>
  </si>
  <si>
    <t>NRRR12W26ID</t>
  </si>
  <si>
    <t>NRRB12W26ID</t>
  </si>
  <si>
    <t>NRRT12W26ID</t>
  </si>
  <si>
    <t>NRRR12W26BTD</t>
  </si>
  <si>
    <t>NRRB12W26BTD</t>
  </si>
  <si>
    <t>NRRT12W26BTD</t>
  </si>
  <si>
    <t>W</t>
  </si>
  <si>
    <t>Lens 50027-W D-20 H-11.82  ID-15mm 40°  - 8-18W</t>
  </si>
  <si>
    <t>Unit Price</t>
  </si>
  <si>
    <t>USD</t>
  </si>
  <si>
    <t>INS&amp;FRED</t>
  </si>
  <si>
    <t>BCD</t>
  </si>
  <si>
    <t>Total Cost</t>
  </si>
  <si>
    <t>NRRR12-CC</t>
  </si>
  <si>
    <t>NRRR12 Track Dimming</t>
  </si>
  <si>
    <t>NRRR12 Dali Single Color</t>
  </si>
  <si>
    <t>NRRR12 BT Single Color</t>
  </si>
  <si>
    <t>NRRR12  Dali Dual Color</t>
  </si>
  <si>
    <t>NRRR12  BT Dual Color</t>
  </si>
  <si>
    <t>PS Rate Mention with Total Amt</t>
  </si>
  <si>
    <t>Locking Spring  L-57 W-10mm T-0.2mm DR/NR-5/18W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</si>
</sst>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 &quot;Rs.&quot;\ * #,##0.00_ ;_ &quot;Rs.&quot;\ * \-#,##0.00_ ;_ &quot;Rs.&quot;\ * &quot;-&quot;??_ ;_ @_ "/>
    <numFmt numFmtId="165" formatCode="&quot;$&quot;#,##0.0000"/>
    <numFmt numFmtId="166" formatCode="_ [$Rs.-4009]\ * #,##0.00_ ;_ [$Rs.-4009]\ * \-#,##0.00_ ;_ [$Rs.-4009]\ * &quot;-&quot;??_ ;_ @_ "/>
    <numFmt numFmtId="167" formatCode="&quot;$&quot;#,##0.000"/>
    <numFmt numFmtId="168" formatCode="_-[$Rs-420]* #,##0.00_-;_-[$Rs-420]* #,##0.00\-;_-[$Rs-420]* &quot;-&quot;??_-;_-@_-"/>
    <numFmt numFmtId="169" formatCode="_-[$$-409]* #,##0.00_ ;_-[$$-409]* \-#,##0.00\ ;_-[$$-409]* &quot;-&quot;??_ ;_-@_ "/>
  </numFmts>
  <fonts count="3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  <charset val="134"/>
    </font>
    <font>
      <sz val="16"/>
      <color theme="1"/>
      <name val="Times New Roman"/>
      <family val="1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indexed="64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  <xf numFmtId="0" fontId="23" fillId="0" borderId="0"/>
    <xf numFmtId="0" fontId="25" fillId="0" borderId="0"/>
    <xf numFmtId="164" fontId="26" fillId="0" borderId="0" applyFont="0" applyFill="0" applyBorder="0" applyAlignment="0" applyProtection="0"/>
  </cellStyleXfs>
  <cellXfs count="130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0" fillId="0" borderId="14" xfId="0" applyBorder="1"/>
    <xf numFmtId="0" fontId="0" fillId="6" borderId="1" xfId="0" applyFill="1" applyBorder="1"/>
    <xf numFmtId="0" fontId="19" fillId="0" borderId="0" xfId="0" applyFont="1"/>
    <xf numFmtId="0" fontId="0" fillId="0" borderId="6" xfId="0" applyBorder="1"/>
    <xf numFmtId="0" fontId="0" fillId="0" borderId="16" xfId="0" applyBorder="1"/>
    <xf numFmtId="0" fontId="0" fillId="2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0" borderId="14" xfId="2" applyBorder="1" applyAlignment="1">
      <alignment horizontal="left"/>
    </xf>
    <xf numFmtId="0" fontId="21" fillId="11" borderId="0" xfId="0" applyFont="1" applyFill="1" applyAlignment="1">
      <alignment horizontal="left" vertical="center" wrapText="1"/>
    </xf>
    <xf numFmtId="0" fontId="0" fillId="12" borderId="1" xfId="0" applyFill="1" applyBorder="1"/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49" fontId="2" fillId="0" borderId="1" xfId="2" applyNumberFormat="1" applyBorder="1"/>
    <xf numFmtId="0" fontId="0" fillId="11" borderId="1" xfId="0" applyFill="1" applyBorder="1"/>
    <xf numFmtId="0" fontId="25" fillId="0" borderId="0" xfId="5"/>
    <xf numFmtId="0" fontId="27" fillId="0" borderId="1" xfId="0" applyNumberFormat="1" applyFont="1" applyBorder="1" applyAlignment="1">
      <alignment horizontal="center" vertical="center" wrapText="1"/>
    </xf>
    <xf numFmtId="165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166" fontId="29" fillId="0" borderId="1" xfId="0" applyNumberFormat="1" applyFont="1" applyBorder="1" applyAlignment="1">
      <alignment horizontal="center" vertical="center"/>
    </xf>
    <xf numFmtId="168" fontId="27" fillId="13" borderId="1" xfId="0" applyNumberFormat="1" applyFont="1" applyFill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9" fontId="29" fillId="0" borderId="1" xfId="6" applyNumberFormat="1" applyFont="1" applyBorder="1" applyAlignment="1">
      <alignment horizontal="center"/>
    </xf>
    <xf numFmtId="9" fontId="29" fillId="0" borderId="1" xfId="0" applyNumberFormat="1" applyFont="1" applyBorder="1" applyAlignment="1">
      <alignment horizontal="center"/>
    </xf>
    <xf numFmtId="0" fontId="16" fillId="5" borderId="2" xfId="0" applyFont="1" applyFill="1" applyBorder="1" applyAlignment="1">
      <alignment horizontal="center" vertical="center"/>
    </xf>
    <xf numFmtId="0" fontId="0" fillId="0" borderId="2" xfId="0" applyBorder="1"/>
    <xf numFmtId="165" fontId="27" fillId="0" borderId="14" xfId="0" applyNumberFormat="1" applyFont="1" applyBorder="1" applyAlignment="1">
      <alignment horizontal="center" vertical="center"/>
    </xf>
    <xf numFmtId="167" fontId="28" fillId="0" borderId="14" xfId="0" applyNumberFormat="1" applyFont="1" applyBorder="1" applyAlignment="1">
      <alignment horizontal="center" vertical="center"/>
    </xf>
    <xf numFmtId="166" fontId="8" fillId="6" borderId="17" xfId="0" applyNumberFormat="1" applyFont="1" applyFill="1" applyBorder="1" applyAlignment="1">
      <alignment horizontal="center" vertical="center"/>
    </xf>
    <xf numFmtId="0" fontId="1" fillId="0" borderId="0" xfId="0" applyFont="1" applyBorder="1"/>
    <xf numFmtId="167" fontId="28" fillId="0" borderId="0" xfId="0" applyNumberFormat="1" applyFont="1" applyBorder="1" applyAlignment="1">
      <alignment horizontal="right" vertical="center"/>
    </xf>
    <xf numFmtId="9" fontId="28" fillId="0" borderId="0" xfId="0" applyNumberFormat="1" applyFont="1" applyBorder="1" applyAlignment="1">
      <alignment horizontal="right" vertical="center"/>
    </xf>
    <xf numFmtId="165" fontId="28" fillId="0" borderId="0" xfId="0" applyNumberFormat="1" applyFont="1" applyBorder="1" applyAlignment="1">
      <alignment horizontal="right" vertical="center"/>
    </xf>
    <xf numFmtId="168" fontId="8" fillId="13" borderId="1" xfId="0" applyNumberFormat="1" applyFont="1" applyFill="1" applyBorder="1" applyAlignment="1">
      <alignment horizontal="right" vertical="center"/>
    </xf>
    <xf numFmtId="166" fontId="0" fillId="0" borderId="0" xfId="0" applyNumberFormat="1"/>
    <xf numFmtId="166" fontId="29" fillId="14" borderId="1" xfId="0" applyNumberFormat="1" applyFont="1" applyFill="1" applyBorder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166" fontId="29" fillId="0" borderId="1" xfId="0" applyNumberFormat="1" applyFont="1" applyBorder="1" applyAlignment="1">
      <alignment horizontal="center" vertical="center"/>
    </xf>
    <xf numFmtId="167" fontId="28" fillId="0" borderId="1" xfId="0" applyNumberFormat="1" applyFont="1" applyBorder="1" applyAlignment="1">
      <alignment horizontal="center" vertical="center"/>
    </xf>
    <xf numFmtId="9" fontId="28" fillId="0" borderId="1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urrency" xfId="6" builtinId="4"/>
    <cellStyle name="Hyperlink 2" xfId="1"/>
    <cellStyle name="Normal" xfId="0" builtinId="0"/>
    <cellStyle name="Normal 2" xfId="2"/>
    <cellStyle name="Normal 2 2" xfId="3"/>
    <cellStyle name="Normal 3" xfId="4"/>
    <cellStyle name="Normal 4" xfId="5"/>
  </cellStyles>
  <dxfs count="16"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RRR-F-%20B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 Item"/>
      <sheetName val="Stock Item (Read Me)"/>
      <sheetName val="Backend data"/>
      <sheetName val="Resul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tabSelected="1" zoomScale="96" zoomScaleNormal="96" workbookViewId="0">
      <selection activeCell="D12" sqref="D12"/>
    </sheetView>
  </sheetViews>
  <sheetFormatPr defaultColWidth="9" defaultRowHeight="15"/>
  <cols>
    <col min="1" max="1" width="34.7109375" customWidth="1"/>
    <col min="2" max="2" width="22.28515625" customWidth="1"/>
    <col min="3" max="3" width="8.28515625" customWidth="1"/>
    <col min="4" max="4" width="19.7109375" customWidth="1"/>
    <col min="5" max="5" width="20.42578125" customWidth="1"/>
    <col min="6" max="6" width="57" customWidth="1"/>
    <col min="7" max="7" width="28" customWidth="1"/>
    <col min="8" max="8" width="27.7109375" hidden="1" customWidth="1"/>
    <col min="9" max="9" width="31.85546875" hidden="1" customWidth="1"/>
    <col min="10" max="10" width="27.7109375" hidden="1" customWidth="1"/>
    <col min="11" max="11" width="27.7109375" customWidth="1"/>
    <col min="12" max="12" width="15.42578125" customWidth="1"/>
    <col min="13" max="13" width="11.42578125" customWidth="1"/>
    <col min="14" max="14" width="11.5703125" customWidth="1"/>
    <col min="15" max="15" width="13.42578125" customWidth="1"/>
    <col min="17" max="17" width="10.28515625" customWidth="1"/>
  </cols>
  <sheetData>
    <row r="1" spans="1:18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99" t="s">
        <v>8</v>
      </c>
      <c r="L1" s="86" t="s">
        <v>372</v>
      </c>
      <c r="M1" s="86" t="s">
        <v>194</v>
      </c>
      <c r="N1" s="101" t="s">
        <v>373</v>
      </c>
      <c r="O1" s="88" t="s">
        <v>374</v>
      </c>
      <c r="P1" s="89" t="s">
        <v>375</v>
      </c>
      <c r="Q1" s="87" t="s">
        <v>376</v>
      </c>
    </row>
    <row r="2" spans="1:18">
      <c r="A2" s="49" t="str">
        <f>$D$2</f>
        <v>NRRR12W30</v>
      </c>
      <c r="B2" s="49" t="s">
        <v>208</v>
      </c>
      <c r="C2" s="49" t="s">
        <v>190</v>
      </c>
      <c r="D2" s="79" t="s">
        <v>330</v>
      </c>
      <c r="E2" s="49">
        <v>1</v>
      </c>
      <c r="F2" s="80" t="str">
        <f>'Backend data'!C6</f>
        <v>Trim-O-68 I-51 H-63mm White NRRR8-18W</v>
      </c>
      <c r="G2" s="74">
        <v>1</v>
      </c>
      <c r="H2" s="73" t="s">
        <v>189</v>
      </c>
      <c r="I2" s="49" t="s">
        <v>9</v>
      </c>
      <c r="J2" s="49"/>
      <c r="K2" s="100"/>
      <c r="L2" s="93">
        <f>Q2*87</f>
        <v>55.984499999999997</v>
      </c>
      <c r="M2" s="93">
        <f>L2*G2</f>
        <v>55.984499999999997</v>
      </c>
      <c r="N2" s="102">
        <v>0.42899999999999999</v>
      </c>
      <c r="O2" s="95">
        <v>0.5</v>
      </c>
      <c r="P2" s="95"/>
      <c r="Q2" s="96">
        <f>N2+(N2*(O2+P2))</f>
        <v>0.64349999999999996</v>
      </c>
    </row>
    <row r="3" spans="1:18">
      <c r="A3" s="49"/>
      <c r="B3" s="49"/>
      <c r="C3" s="49"/>
      <c r="D3" s="49"/>
      <c r="E3" s="49"/>
      <c r="F3" s="82" t="s">
        <v>229</v>
      </c>
      <c r="G3" s="74">
        <v>1</v>
      </c>
      <c r="H3" s="73" t="s">
        <v>189</v>
      </c>
      <c r="I3" s="49" t="s">
        <v>9</v>
      </c>
      <c r="J3" s="49"/>
      <c r="K3" s="100"/>
      <c r="L3" s="93">
        <f>Q3*87</f>
        <v>60.291000000000004</v>
      </c>
      <c r="M3" s="93">
        <f t="shared" ref="M3:M18" si="0">L3*G3</f>
        <v>60.291000000000004</v>
      </c>
      <c r="N3" s="102">
        <v>0.46200000000000002</v>
      </c>
      <c r="O3" s="95">
        <v>0.5</v>
      </c>
      <c r="P3" s="95"/>
      <c r="Q3" s="96">
        <f>N3+(N3*(O3+P3))</f>
        <v>0.69300000000000006</v>
      </c>
    </row>
    <row r="4" spans="1:18">
      <c r="A4" s="49"/>
      <c r="B4" s="49"/>
      <c r="C4" s="49"/>
      <c r="D4" s="49"/>
      <c r="E4" s="49"/>
      <c r="F4" s="49" t="s">
        <v>302</v>
      </c>
      <c r="G4" s="74">
        <v>1</v>
      </c>
      <c r="H4" s="73" t="s">
        <v>189</v>
      </c>
      <c r="I4" s="49" t="s">
        <v>9</v>
      </c>
      <c r="J4" s="49"/>
      <c r="K4" s="100"/>
      <c r="L4" s="117">
        <f>Q4*87</f>
        <v>7.83</v>
      </c>
      <c r="M4" s="117">
        <f t="shared" si="0"/>
        <v>7.83</v>
      </c>
      <c r="N4" s="118">
        <f>0.06</f>
        <v>0.06</v>
      </c>
      <c r="O4" s="119">
        <v>0.5</v>
      </c>
      <c r="P4" s="119"/>
      <c r="Q4" s="120">
        <f>N4+(N4*(O4+P4))</f>
        <v>0.09</v>
      </c>
    </row>
    <row r="5" spans="1:18">
      <c r="A5" s="49"/>
      <c r="B5" s="49"/>
      <c r="C5" s="49"/>
      <c r="D5" s="49"/>
      <c r="E5" s="49"/>
      <c r="F5" s="84" t="str">
        <f>'Backend data'!F6</f>
        <v>Lens 50027-W D-20 H-11.82  ID-15mm 40°  - 8-18W</v>
      </c>
      <c r="G5" s="74">
        <v>1</v>
      </c>
      <c r="H5" s="73" t="s">
        <v>189</v>
      </c>
      <c r="I5" s="49" t="s">
        <v>9</v>
      </c>
      <c r="J5" s="49"/>
      <c r="K5" s="100"/>
      <c r="L5" s="117"/>
      <c r="M5" s="117"/>
      <c r="N5" s="118"/>
      <c r="O5" s="119"/>
      <c r="P5" s="119"/>
      <c r="Q5" s="120"/>
    </row>
    <row r="6" spans="1:18">
      <c r="A6" s="49"/>
      <c r="B6" s="49"/>
      <c r="C6" s="49"/>
      <c r="D6" s="49"/>
      <c r="E6" s="49"/>
      <c r="F6" s="49" t="s">
        <v>303</v>
      </c>
      <c r="G6" s="74">
        <v>1</v>
      </c>
      <c r="H6" s="73" t="s">
        <v>189</v>
      </c>
      <c r="I6" s="49" t="s">
        <v>9</v>
      </c>
      <c r="J6" s="49"/>
      <c r="K6" s="100"/>
      <c r="L6" s="117"/>
      <c r="M6" s="117"/>
      <c r="N6" s="118"/>
      <c r="O6" s="119"/>
      <c r="P6" s="119"/>
      <c r="Q6" s="120"/>
    </row>
    <row r="7" spans="1:18">
      <c r="A7" s="49"/>
      <c r="B7" s="49"/>
      <c r="C7" s="49"/>
      <c r="D7" s="49"/>
      <c r="E7" s="49"/>
      <c r="F7" s="49" t="s">
        <v>384</v>
      </c>
      <c r="G7" s="74">
        <v>2</v>
      </c>
      <c r="H7" s="73" t="s">
        <v>189</v>
      </c>
      <c r="I7" s="49" t="s">
        <v>9</v>
      </c>
      <c r="J7" s="49"/>
      <c r="K7" s="100"/>
      <c r="L7" s="93">
        <v>2.2200000000000002</v>
      </c>
      <c r="M7" s="93">
        <f t="shared" si="0"/>
        <v>4.4400000000000004</v>
      </c>
      <c r="N7" s="97">
        <f>0.06/2</f>
        <v>0.03</v>
      </c>
      <c r="O7" s="98">
        <v>0.5</v>
      </c>
      <c r="P7" s="91"/>
      <c r="Q7" s="96">
        <f>N7+(N7*(O7+P7))</f>
        <v>4.4999999999999998E-2</v>
      </c>
    </row>
    <row r="8" spans="1:18">
      <c r="A8" s="49"/>
      <c r="B8" s="49"/>
      <c r="C8" s="49"/>
      <c r="D8" s="49"/>
      <c r="E8" s="49"/>
      <c r="F8" s="72" t="s">
        <v>212</v>
      </c>
      <c r="G8" s="74">
        <v>1</v>
      </c>
      <c r="H8" s="73" t="s">
        <v>189</v>
      </c>
      <c r="I8" s="49" t="s">
        <v>9</v>
      </c>
      <c r="J8" s="49"/>
      <c r="K8" s="100"/>
      <c r="L8" s="93">
        <v>8.5</v>
      </c>
      <c r="M8" s="93">
        <f t="shared" si="0"/>
        <v>8.5</v>
      </c>
      <c r="N8" s="92"/>
      <c r="O8" s="92"/>
      <c r="P8" s="92"/>
      <c r="Q8" s="92"/>
    </row>
    <row r="9" spans="1:18">
      <c r="A9" s="49"/>
      <c r="B9" s="49"/>
      <c r="C9" s="49"/>
      <c r="D9" s="49"/>
      <c r="E9" s="49"/>
      <c r="F9" s="72" t="s">
        <v>213</v>
      </c>
      <c r="G9" s="74">
        <v>0.08</v>
      </c>
      <c r="H9" s="73" t="s">
        <v>189</v>
      </c>
      <c r="I9" s="49" t="s">
        <v>9</v>
      </c>
      <c r="J9" s="49"/>
      <c r="K9" s="100"/>
      <c r="L9" s="93">
        <v>27</v>
      </c>
      <c r="M9" s="93">
        <f t="shared" si="0"/>
        <v>2.16</v>
      </c>
      <c r="N9" s="92"/>
      <c r="O9" s="92"/>
      <c r="P9" s="92"/>
      <c r="Q9" s="92"/>
    </row>
    <row r="10" spans="1:18">
      <c r="A10" s="49"/>
      <c r="B10" s="49"/>
      <c r="C10" s="49"/>
      <c r="D10" s="49"/>
      <c r="E10" s="49"/>
      <c r="F10" s="49" t="s">
        <v>214</v>
      </c>
      <c r="G10" s="74">
        <v>1</v>
      </c>
      <c r="H10" s="73" t="s">
        <v>189</v>
      </c>
      <c r="I10" s="49" t="s">
        <v>9</v>
      </c>
      <c r="J10" s="49"/>
      <c r="K10" s="100"/>
      <c r="L10" s="93">
        <f>Q10*87</f>
        <v>3.915</v>
      </c>
      <c r="M10" s="93">
        <f t="shared" si="0"/>
        <v>3.915</v>
      </c>
      <c r="N10" s="97">
        <f>0.06/2</f>
        <v>0.03</v>
      </c>
      <c r="O10" s="98">
        <v>0.5</v>
      </c>
      <c r="P10" s="91"/>
      <c r="Q10" s="96">
        <f>N10+(N10*(O10+P10))</f>
        <v>4.4999999999999998E-2</v>
      </c>
    </row>
    <row r="11" spans="1:18">
      <c r="A11" s="49"/>
      <c r="B11" s="49"/>
      <c r="C11" s="49"/>
      <c r="D11" s="49"/>
      <c r="E11" s="49"/>
      <c r="F11" s="49" t="s">
        <v>215</v>
      </c>
      <c r="G11" s="74">
        <v>0.12</v>
      </c>
      <c r="H11" s="73" t="s">
        <v>189</v>
      </c>
      <c r="I11" s="49" t="s">
        <v>9</v>
      </c>
      <c r="J11" s="49"/>
      <c r="K11" s="100"/>
      <c r="L11" s="93">
        <f>5.7/1000*120</f>
        <v>0.68400000000000005</v>
      </c>
      <c r="M11" s="93">
        <f t="shared" si="0"/>
        <v>8.208E-2</v>
      </c>
      <c r="N11" s="92"/>
      <c r="O11" s="92"/>
      <c r="P11" s="92"/>
      <c r="Q11" s="92"/>
      <c r="R11" s="90"/>
    </row>
    <row r="12" spans="1:18">
      <c r="A12" s="49"/>
      <c r="B12" s="49"/>
      <c r="C12" s="49"/>
      <c r="D12" s="49"/>
      <c r="E12" s="49"/>
      <c r="F12" s="49" t="s">
        <v>216</v>
      </c>
      <c r="G12" s="74">
        <v>1</v>
      </c>
      <c r="H12" s="73" t="s">
        <v>189</v>
      </c>
      <c r="I12" s="49" t="s">
        <v>9</v>
      </c>
      <c r="J12" s="49"/>
      <c r="K12" s="100"/>
      <c r="L12" s="93">
        <v>0.6</v>
      </c>
      <c r="M12" s="93">
        <f t="shared" si="0"/>
        <v>0.6</v>
      </c>
      <c r="N12" s="92"/>
      <c r="O12" s="92"/>
      <c r="P12" s="92"/>
      <c r="Q12" s="92"/>
      <c r="R12" s="90"/>
    </row>
    <row r="13" spans="1:18">
      <c r="A13" s="49"/>
      <c r="B13" s="49"/>
      <c r="C13" s="49"/>
      <c r="D13" s="49"/>
      <c r="E13" s="49"/>
      <c r="F13" s="49" t="s">
        <v>217</v>
      </c>
      <c r="G13" s="74">
        <v>1</v>
      </c>
      <c r="H13" s="73" t="s">
        <v>189</v>
      </c>
      <c r="I13" s="49" t="s">
        <v>9</v>
      </c>
      <c r="J13" s="49"/>
      <c r="K13" s="100"/>
      <c r="L13" s="93">
        <v>0.21</v>
      </c>
      <c r="M13" s="93">
        <f t="shared" si="0"/>
        <v>0.21</v>
      </c>
      <c r="N13" s="92"/>
      <c r="O13" s="92"/>
      <c r="P13" s="92"/>
      <c r="Q13" s="92"/>
      <c r="R13" s="90"/>
    </row>
    <row r="14" spans="1:18">
      <c r="A14" s="49"/>
      <c r="B14" s="49"/>
      <c r="C14" s="49"/>
      <c r="D14" s="49"/>
      <c r="E14" s="49"/>
      <c r="F14" s="49" t="s">
        <v>218</v>
      </c>
      <c r="G14" s="74">
        <v>2</v>
      </c>
      <c r="H14" s="73" t="s">
        <v>189</v>
      </c>
      <c r="I14" s="49" t="s">
        <v>9</v>
      </c>
      <c r="J14" s="49"/>
      <c r="K14" s="100"/>
      <c r="L14" s="93">
        <v>0.48</v>
      </c>
      <c r="M14" s="93">
        <f t="shared" si="0"/>
        <v>0.96</v>
      </c>
      <c r="N14" s="92"/>
      <c r="O14" s="92"/>
      <c r="P14" s="92"/>
      <c r="Q14" s="92"/>
      <c r="R14" s="90"/>
    </row>
    <row r="15" spans="1:18">
      <c r="A15" s="49"/>
      <c r="B15" s="49"/>
      <c r="C15" s="49"/>
      <c r="D15" s="49"/>
      <c r="E15" s="49"/>
      <c r="F15" s="49" t="s">
        <v>219</v>
      </c>
      <c r="G15" s="74">
        <v>4</v>
      </c>
      <c r="H15" s="73" t="s">
        <v>189</v>
      </c>
      <c r="I15" s="49" t="s">
        <v>9</v>
      </c>
      <c r="J15" s="49"/>
      <c r="K15" s="100"/>
      <c r="L15" s="93">
        <v>0.23</v>
      </c>
      <c r="M15" s="93">
        <f t="shared" si="0"/>
        <v>0.92</v>
      </c>
      <c r="N15" s="92"/>
      <c r="O15" s="92"/>
      <c r="P15" s="92"/>
      <c r="Q15" s="92"/>
      <c r="R15" s="90"/>
    </row>
    <row r="16" spans="1:18" ht="20.25">
      <c r="A16" s="49"/>
      <c r="B16" s="49"/>
      <c r="C16" s="49"/>
      <c r="D16" s="49"/>
      <c r="E16" s="49"/>
      <c r="F16" s="49"/>
      <c r="G16" s="81"/>
      <c r="H16" s="65"/>
      <c r="I16" s="49" t="s">
        <v>9</v>
      </c>
      <c r="J16" s="49"/>
      <c r="K16" s="100"/>
      <c r="L16" s="93">
        <v>0</v>
      </c>
      <c r="M16" s="93">
        <f t="shared" si="0"/>
        <v>0</v>
      </c>
      <c r="N16" s="92"/>
      <c r="O16" s="92"/>
      <c r="P16" s="92"/>
      <c r="Q16" s="92"/>
      <c r="R16" s="90"/>
    </row>
    <row r="17" spans="1:18">
      <c r="A17" s="49"/>
      <c r="B17" s="49"/>
      <c r="C17" s="49"/>
      <c r="D17" s="49"/>
      <c r="E17" s="49"/>
      <c r="F17" s="71" t="str">
        <f>'Backend data'!G6</f>
        <v>COB 30-36W 3000K 12LED 34-38V 890mA 19x19mm CRI-90</v>
      </c>
      <c r="G17" s="74">
        <v>1</v>
      </c>
      <c r="H17" s="49" t="s">
        <v>220</v>
      </c>
      <c r="I17" s="49" t="s">
        <v>9</v>
      </c>
      <c r="J17" s="49"/>
      <c r="K17" s="100"/>
      <c r="L17" s="110">
        <f>Q17*87</f>
        <v>84.825000000000003</v>
      </c>
      <c r="M17" s="110">
        <f t="shared" si="0"/>
        <v>84.825000000000003</v>
      </c>
      <c r="N17" s="111">
        <f>0.65</f>
        <v>0.65</v>
      </c>
      <c r="O17" s="112">
        <v>0.5</v>
      </c>
      <c r="P17" s="114"/>
      <c r="Q17" s="113">
        <f>N17+(N17*(O17+P17))</f>
        <v>0.97500000000000009</v>
      </c>
      <c r="R17" s="90"/>
    </row>
    <row r="18" spans="1:18">
      <c r="A18" s="49"/>
      <c r="B18" s="49"/>
      <c r="C18" s="49"/>
      <c r="D18" s="49"/>
      <c r="E18" s="49"/>
      <c r="F18" s="71" t="str">
        <f>'Backend data'!H6</f>
        <v>PS 12-20W 300mA 36-72V Maxic (PCB LT-MX-20W-V2)</v>
      </c>
      <c r="G18" s="74">
        <v>1</v>
      </c>
      <c r="H18" s="73" t="s">
        <v>189</v>
      </c>
      <c r="I18" s="49" t="s">
        <v>9</v>
      </c>
      <c r="J18" s="49"/>
      <c r="K18" s="100"/>
      <c r="L18" s="93">
        <v>0</v>
      </c>
      <c r="M18" s="93">
        <f t="shared" si="0"/>
        <v>0</v>
      </c>
      <c r="N18" s="104" t="s">
        <v>383</v>
      </c>
      <c r="O18" s="92"/>
      <c r="P18" s="92"/>
      <c r="Q18" s="92"/>
      <c r="R18" s="104"/>
    </row>
    <row r="19" spans="1:18" ht="21.75" customHeight="1" thickBot="1">
      <c r="M19" s="103">
        <f>SUM(M2:M18)</f>
        <v>230.71758</v>
      </c>
    </row>
    <row r="20" spans="1:18" ht="15.75" thickTop="1"/>
    <row r="21" spans="1:18" ht="21.75" customHeight="1">
      <c r="K21" s="115" t="s">
        <v>377</v>
      </c>
      <c r="L21" s="116"/>
      <c r="M21" s="94">
        <f>M19+98</f>
        <v>328.71758</v>
      </c>
    </row>
    <row r="22" spans="1:18" ht="21.75" customHeight="1">
      <c r="K22" s="115" t="s">
        <v>378</v>
      </c>
      <c r="L22" s="116"/>
      <c r="M22" s="94">
        <f>M19+275</f>
        <v>505.71758</v>
      </c>
    </row>
    <row r="23" spans="1:18" ht="21.75" customHeight="1">
      <c r="K23" s="115" t="s">
        <v>379</v>
      </c>
      <c r="L23" s="116"/>
      <c r="M23" s="108">
        <f>((M19)+(Q23*87))</f>
        <v>888.43758000000003</v>
      </c>
      <c r="N23" s="105">
        <v>5.04</v>
      </c>
      <c r="O23" s="106">
        <v>0.5</v>
      </c>
      <c r="P23" s="106"/>
      <c r="Q23" s="107">
        <f>N23+(N23*(O23+P23))</f>
        <v>7.5600000000000005</v>
      </c>
    </row>
    <row r="24" spans="1:18" ht="21.75" customHeight="1">
      <c r="K24" s="115" t="s">
        <v>380</v>
      </c>
      <c r="L24" s="116"/>
      <c r="M24" s="94">
        <f>M19+330</f>
        <v>560.71758</v>
      </c>
    </row>
    <row r="25" spans="1:18" ht="21.75" customHeight="1">
      <c r="K25" s="115" t="s">
        <v>381</v>
      </c>
      <c r="L25" s="116"/>
      <c r="M25" s="108">
        <f>((M19)+(Q25*87))</f>
        <v>945.20507999999984</v>
      </c>
      <c r="N25" s="105">
        <v>5.4749999999999996</v>
      </c>
      <c r="O25" s="106">
        <v>0.5</v>
      </c>
      <c r="P25" s="106"/>
      <c r="Q25" s="107">
        <f>N25+(N25*(O25+P25))</f>
        <v>8.2124999999999986</v>
      </c>
    </row>
    <row r="26" spans="1:18" ht="21.75" customHeight="1">
      <c r="K26" s="115" t="s">
        <v>382</v>
      </c>
      <c r="L26" s="116"/>
      <c r="M26" s="94">
        <f>M19+330</f>
        <v>560.71758</v>
      </c>
    </row>
    <row r="28" spans="1:18">
      <c r="N28" s="109"/>
      <c r="O28" s="109"/>
    </row>
  </sheetData>
  <mergeCells count="12">
    <mergeCell ref="L4:L6"/>
    <mergeCell ref="N4:N6"/>
    <mergeCell ref="O4:O6"/>
    <mergeCell ref="P4:P6"/>
    <mergeCell ref="Q4:Q6"/>
    <mergeCell ref="M4:M6"/>
    <mergeCell ref="K26:L26"/>
    <mergeCell ref="K21:L21"/>
    <mergeCell ref="K22:L22"/>
    <mergeCell ref="K23:L23"/>
    <mergeCell ref="K24:L24"/>
    <mergeCell ref="K25:L25"/>
  </mergeCells>
  <conditionalFormatting sqref="F1 F23:F1048576">
    <cfRule type="containsText" dxfId="15" priority="15" operator="containsText" text="PS-">
      <formula>NOT(ISERROR(SEARCH("PS-",F1)))</formula>
    </cfRule>
    <cfRule type="containsText" dxfId="14" priority="18" operator="containsText" text="COB-">
      <formula>NOT(ISERROR(SEARCH("COB-",F1)))</formula>
    </cfRule>
    <cfRule type="containsText" dxfId="13" priority="20" operator="containsText" text="TRIM">
      <formula>NOT(ISERROR(SEARCH("TRIM",F1)))</formula>
    </cfRule>
  </conditionalFormatting>
  <conditionalFormatting sqref="F1:G1 F23:G1048576">
    <cfRule type="containsText" dxfId="12" priority="14" operator="containsText" text="REFLECTOR">
      <formula>NOT(ISERROR(SEARCH("REFLECTOR",F1)))</formula>
    </cfRule>
  </conditionalFormatting>
  <conditionalFormatting sqref="G16">
    <cfRule type="expression" dxfId="11" priority="1">
      <formula>$K16="CH"</formula>
    </cfRule>
  </conditionalFormatting>
  <conditionalFormatting sqref="F2 F7:F10 F12">
    <cfRule type="containsText" dxfId="10" priority="4" operator="containsText" text="PS-">
      <formula>NOT(ISERROR(SEARCH("PS-",F2)))</formula>
    </cfRule>
    <cfRule type="containsText" dxfId="9" priority="5" operator="containsText" text="COB-">
      <formula>NOT(ISERROR(SEARCH("COB-",F2)))</formula>
    </cfRule>
    <cfRule type="containsText" dxfId="8" priority="6" operator="containsText" text="TRIM">
      <formula>NOT(ISERROR(SEARCH("TRIM",F2)))</formula>
    </cfRule>
  </conditionalFormatting>
  <conditionalFormatting sqref="F2 F10 F7 F8:G9 F12">
    <cfRule type="containsText" dxfId="7" priority="3" operator="containsText" text="REFLECTOR">
      <formula>NOT(ISERROR(SEARCH("REFLECTOR",F2)))</formula>
    </cfRule>
  </conditionalFormatting>
  <pageMargins left="0.69930555555555995" right="0.69930555555555995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F1:G1 F23:G1048576</xm:sqref>
        </x14:conditionalFormatting>
        <x14:conditionalFormatting xmlns:xm="http://schemas.microsoft.com/office/excel/2006/main">
          <x14:cfRule type="expression" priority="2" id="{EF98DA57-5B78-4329-B328-4F5A06796994}">
            <xm:f>$F:$F='[NRRR-F- BOM.xlsx]Backend data'!#REF!</xm:f>
            <x14:dxf>
              <fill>
                <patternFill patternType="solid">
                  <bgColor theme="7" tint="0.59996337778862885"/>
                </patternFill>
              </fill>
            </x14:dxf>
          </x14:cfRule>
          <xm:sqref>F2 F7:F10 F12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'Result (2)'!$B$2:$B$43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22" t="s">
        <v>20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4"/>
    </row>
    <row r="6" spans="1:17" ht="12.6" customHeight="1">
      <c r="A6" s="16" t="s">
        <v>21</v>
      </c>
      <c r="B6" s="12" t="s">
        <v>15</v>
      </c>
      <c r="C6" s="13"/>
      <c r="E6" s="122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4"/>
    </row>
    <row r="7" spans="1:17" ht="12.6" customHeight="1">
      <c r="A7" s="16" t="s">
        <v>22</v>
      </c>
      <c r="B7" s="12" t="s">
        <v>15</v>
      </c>
      <c r="C7" s="13"/>
      <c r="E7" s="122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4"/>
    </row>
    <row r="8" spans="1:17" ht="12.6" customHeight="1">
      <c r="A8" s="16" t="s">
        <v>23</v>
      </c>
      <c r="B8" s="12" t="s">
        <v>15</v>
      </c>
      <c r="C8" s="13"/>
      <c r="E8" s="122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4"/>
    </row>
    <row r="9" spans="1:17" ht="12.95" customHeight="1">
      <c r="A9" s="16" t="s">
        <v>24</v>
      </c>
      <c r="B9" s="12" t="s">
        <v>15</v>
      </c>
      <c r="C9" s="13"/>
      <c r="E9" s="122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4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</row>
    <row r="20" spans="1:17" ht="25.5">
      <c r="A20" s="16" t="s">
        <v>40</v>
      </c>
      <c r="B20" s="12" t="s">
        <v>15</v>
      </c>
      <c r="C20" s="13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</row>
    <row r="21" spans="1:17">
      <c r="A21" s="16" t="s">
        <v>41</v>
      </c>
      <c r="B21" s="12" t="s">
        <v>15</v>
      </c>
      <c r="C21" s="13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</row>
    <row r="22" spans="1:17">
      <c r="A22" s="6" t="s">
        <v>42</v>
      </c>
      <c r="B22" s="30"/>
      <c r="C22" s="3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A13" workbookViewId="0">
      <selection activeCell="I26" sqref="I26"/>
    </sheetView>
  </sheetViews>
  <sheetFormatPr defaultRowHeight="15"/>
  <cols>
    <col min="1" max="1" width="2" customWidth="1"/>
    <col min="2" max="2" width="11.5703125" customWidth="1"/>
    <col min="3" max="3" width="57.85546875" style="51" customWidth="1"/>
    <col min="4" max="4" width="20.140625" customWidth="1"/>
    <col min="5" max="5" width="10.42578125" bestFit="1" customWidth="1"/>
    <col min="6" max="6" width="17.5703125" customWidth="1"/>
    <col min="7" max="7" width="29.5703125" customWidth="1"/>
    <col min="8" max="8" width="46" style="51" customWidth="1"/>
    <col min="9" max="9" width="12.7109375" customWidth="1"/>
    <col min="11" max="11" width="2.7109375" customWidth="1"/>
    <col min="13" max="13" width="55.42578125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54.28515625" style="5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195</v>
      </c>
      <c r="D2" s="61" t="s">
        <v>203</v>
      </c>
      <c r="E2" s="55" t="s">
        <v>196</v>
      </c>
      <c r="F2" s="55" t="s">
        <v>197</v>
      </c>
      <c r="G2" s="55" t="s">
        <v>199</v>
      </c>
      <c r="H2" s="54" t="s">
        <v>198</v>
      </c>
      <c r="I2" s="62" t="s">
        <v>204</v>
      </c>
    </row>
    <row r="3" spans="2:9">
      <c r="C3" s="63" t="str">
        <f>MID('Stock Item'!$D$2,4,1)</f>
        <v>R</v>
      </c>
      <c r="D3" s="52" t="str">
        <f>MID('Stock Item'!$D$2,5,2)</f>
        <v>12</v>
      </c>
      <c r="E3" s="63" t="str">
        <f>MID('Stock Item'!$D$2,3,1)</f>
        <v>R</v>
      </c>
      <c r="F3" s="63" t="str">
        <f>MID('Stock Item'!$D$2,7,1)</f>
        <v>W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R</v>
      </c>
    </row>
    <row r="4" spans="2:9">
      <c r="D4" s="64" t="str">
        <f>CONCATENATE($C$3,$D$3)</f>
        <v>R12</v>
      </c>
      <c r="G4" s="64" t="str">
        <f>CONCATENATE($G$3,$H$3,"-")</f>
        <v>30-</v>
      </c>
      <c r="H4" s="51" t="str">
        <f>CONCATENATE($D$3,H3,"-")</f>
        <v>12-</v>
      </c>
    </row>
    <row r="5" spans="2:9">
      <c r="H5" s="51" t="str">
        <f>CONCATENATE('Stock Item'!D2)</f>
        <v>NRRR12W30</v>
      </c>
    </row>
    <row r="6" spans="2:9" ht="30">
      <c r="B6" s="54" t="s">
        <v>200</v>
      </c>
      <c r="C6" s="58" t="str">
        <f>VLOOKUP($C$3,$B$23:$E$72,2,0)</f>
        <v>Trim-O-68 I-51 H-63mm White NRRR8-18W</v>
      </c>
      <c r="D6" s="57" t="str">
        <f>VLOOKUP($D$4,G23:$J$100,2,0)</f>
        <v>HS 50x34.5mm (SR-DR-NR-12W)</v>
      </c>
      <c r="E6" s="57" t="e">
        <f>VLOOKUP($E$3,$L$23:$O$72,2,0)</f>
        <v>#N/A</v>
      </c>
      <c r="F6" s="57" t="str">
        <f>VLOOKUP($F$3,$Q$23:$T$72,2,0)</f>
        <v>Lens 50027-W D-20 H-11.82  ID-15mm 40°  - 8-18W</v>
      </c>
      <c r="G6" s="57" t="str">
        <f>VLOOKUP($G$4,$V$23:$Y$72,2,0)</f>
        <v>COB 30-36W 3000K 12LED 34-38V 890mA 19x19mm CRI-90</v>
      </c>
      <c r="H6" s="56" t="str">
        <f>VLOOKUP($H$4,$AA$23:$AD$72,2,0)</f>
        <v>PS 12-20W 300mA 36-72V Maxic (PCB LT-MX-20W-V2)</v>
      </c>
      <c r="I6" s="56" t="e">
        <f>VLOOKUP($I$3,AF23:$AI$100,2,0)</f>
        <v>#N/A</v>
      </c>
    </row>
    <row r="7" spans="2:9" ht="30">
      <c r="B7" s="54" t="s">
        <v>201</v>
      </c>
      <c r="C7" s="58">
        <f>VLOOKUP($C$3,$B$23:$E$72,4,0)</f>
        <v>0</v>
      </c>
      <c r="D7" s="57">
        <f>VLOOKUP($D$4,G23:$J$100,4,0)</f>
        <v>0</v>
      </c>
      <c r="E7" s="57" t="e">
        <f>VLOOKUP($E$3,$L$23:$O$72,4,0)</f>
        <v>#N/A</v>
      </c>
      <c r="F7" s="57">
        <f>VLOOKUP($F$3,$Q$23:$T$72,4,0)</f>
        <v>0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202</v>
      </c>
      <c r="C8" s="58">
        <f>VLOOKUP($C$3,$B$23:$E$72,3,0)</f>
        <v>0</v>
      </c>
      <c r="D8" s="57">
        <f>VLOOKUP($D$4,G23:$J$100,3,0)</f>
        <v>0</v>
      </c>
      <c r="E8" s="57" t="e">
        <f>VLOOKUP($E$3,$L$23:$O$72,3,0)</f>
        <v>#N/A</v>
      </c>
      <c r="F8" s="57">
        <f>VLOOKUP($F$3,$Q$23:$T$72,3,0)</f>
        <v>0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7" t="s">
        <v>206</v>
      </c>
    </row>
    <row r="19" spans="2:35" ht="13.9" customHeight="1"/>
    <row r="21" spans="2:35">
      <c r="B21" s="128" t="s">
        <v>195</v>
      </c>
      <c r="C21" s="129"/>
      <c r="D21" s="129"/>
      <c r="E21" s="129"/>
      <c r="G21" s="128" t="s">
        <v>203</v>
      </c>
      <c r="H21" s="129"/>
      <c r="I21" s="129"/>
      <c r="J21" s="129"/>
      <c r="L21" s="128" t="s">
        <v>196</v>
      </c>
      <c r="M21" s="129"/>
      <c r="N21" s="129"/>
      <c r="O21" s="129"/>
      <c r="Q21" s="128" t="s">
        <v>197</v>
      </c>
      <c r="R21" s="129"/>
      <c r="S21" s="129"/>
      <c r="T21" s="129"/>
      <c r="V21" s="128" t="s">
        <v>207</v>
      </c>
      <c r="W21" s="129"/>
      <c r="X21" s="129"/>
      <c r="Y21" s="129"/>
      <c r="AA21" s="125" t="s">
        <v>198</v>
      </c>
      <c r="AB21" s="126"/>
      <c r="AC21" s="126"/>
      <c r="AD21" s="127"/>
      <c r="AF21" s="125" t="s">
        <v>204</v>
      </c>
      <c r="AG21" s="126"/>
      <c r="AH21" s="126"/>
      <c r="AI21" s="127"/>
    </row>
    <row r="22" spans="2:35">
      <c r="B22" s="50" t="s">
        <v>191</v>
      </c>
      <c r="C22" s="53" t="s">
        <v>192</v>
      </c>
      <c r="D22" s="50" t="s">
        <v>193</v>
      </c>
      <c r="E22" s="50" t="s">
        <v>194</v>
      </c>
      <c r="G22" s="50" t="s">
        <v>191</v>
      </c>
      <c r="H22" s="53" t="s">
        <v>192</v>
      </c>
      <c r="I22" s="50" t="s">
        <v>193</v>
      </c>
      <c r="J22" s="50" t="s">
        <v>194</v>
      </c>
      <c r="L22" s="50" t="s">
        <v>191</v>
      </c>
      <c r="M22" s="53" t="s">
        <v>192</v>
      </c>
      <c r="N22" s="50" t="s">
        <v>193</v>
      </c>
      <c r="O22" s="50" t="s">
        <v>194</v>
      </c>
      <c r="Q22" s="50" t="s">
        <v>191</v>
      </c>
      <c r="R22" s="53" t="s">
        <v>192</v>
      </c>
      <c r="S22" s="50" t="s">
        <v>193</v>
      </c>
      <c r="T22" s="50" t="s">
        <v>194</v>
      </c>
      <c r="V22" s="50" t="s">
        <v>191</v>
      </c>
      <c r="W22" s="50" t="s">
        <v>192</v>
      </c>
      <c r="X22" s="50" t="s">
        <v>193</v>
      </c>
      <c r="Y22" s="50" t="s">
        <v>194</v>
      </c>
      <c r="AA22" s="50" t="s">
        <v>191</v>
      </c>
      <c r="AB22" s="53" t="s">
        <v>192</v>
      </c>
      <c r="AC22" s="50" t="s">
        <v>193</v>
      </c>
      <c r="AD22" s="50" t="s">
        <v>194</v>
      </c>
      <c r="AF22" s="50" t="s">
        <v>191</v>
      </c>
      <c r="AG22" s="50" t="s">
        <v>192</v>
      </c>
      <c r="AH22" s="50" t="s">
        <v>193</v>
      </c>
      <c r="AI22" s="50" t="s">
        <v>194</v>
      </c>
    </row>
    <row r="23" spans="2:35">
      <c r="B23" s="49" t="s">
        <v>205</v>
      </c>
      <c r="C23" s="71" t="s">
        <v>225</v>
      </c>
      <c r="D23" s="70"/>
      <c r="E23" s="70"/>
      <c r="G23" s="49"/>
      <c r="H23" s="82"/>
      <c r="L23" s="69"/>
      <c r="M23" s="68"/>
      <c r="Q23" s="76" t="s">
        <v>370</v>
      </c>
      <c r="R23" s="49" t="s">
        <v>371</v>
      </c>
      <c r="V23" s="75" t="s">
        <v>230</v>
      </c>
      <c r="W23" s="70" t="s">
        <v>231</v>
      </c>
      <c r="X23" s="49"/>
      <c r="AA23" s="83" t="s">
        <v>257</v>
      </c>
      <c r="AB23" s="49" t="s">
        <v>258</v>
      </c>
      <c r="AF23" s="60"/>
      <c r="AG23" s="60"/>
    </row>
    <row r="24" spans="2:35">
      <c r="B24" s="49" t="s">
        <v>19</v>
      </c>
      <c r="C24" s="71" t="s">
        <v>226</v>
      </c>
      <c r="D24" s="70"/>
      <c r="E24" s="70"/>
      <c r="G24" s="49"/>
      <c r="H24" s="82"/>
      <c r="L24" s="65"/>
      <c r="M24" s="49"/>
      <c r="Q24" s="76"/>
      <c r="R24" s="77"/>
      <c r="V24" s="75" t="s">
        <v>232</v>
      </c>
      <c r="W24" s="70" t="s">
        <v>233</v>
      </c>
      <c r="X24" s="49"/>
      <c r="AA24" s="83" t="s">
        <v>259</v>
      </c>
      <c r="AB24" s="49" t="s">
        <v>260</v>
      </c>
      <c r="AF24" s="60"/>
      <c r="AG24" s="60"/>
    </row>
    <row r="25" spans="2:35">
      <c r="B25" s="49" t="s">
        <v>209</v>
      </c>
      <c r="C25" s="71" t="s">
        <v>227</v>
      </c>
      <c r="D25" s="70"/>
      <c r="E25" s="70"/>
      <c r="G25" s="49"/>
      <c r="H25" s="82"/>
      <c r="L25" s="65"/>
      <c r="M25" s="66"/>
      <c r="V25" s="75" t="s">
        <v>234</v>
      </c>
      <c r="W25" s="70" t="s">
        <v>235</v>
      </c>
      <c r="X25" s="49"/>
      <c r="AA25" s="83" t="s">
        <v>261</v>
      </c>
      <c r="AB25" s="49" t="s">
        <v>262</v>
      </c>
      <c r="AF25" s="49"/>
      <c r="AG25" s="60"/>
    </row>
    <row r="26" spans="2:35">
      <c r="G26" s="49" t="s">
        <v>228</v>
      </c>
      <c r="H26" s="82" t="s">
        <v>229</v>
      </c>
      <c r="L26" s="65"/>
      <c r="M26" s="49"/>
      <c r="V26" s="75" t="s">
        <v>236</v>
      </c>
      <c r="W26" s="70" t="s">
        <v>237</v>
      </c>
      <c r="X26" s="49"/>
      <c r="AA26" s="83" t="s">
        <v>263</v>
      </c>
      <c r="AB26" s="49" t="s">
        <v>264</v>
      </c>
      <c r="AF26" s="49"/>
      <c r="AG26" s="60"/>
    </row>
    <row r="27" spans="2:35">
      <c r="G27" s="49"/>
      <c r="H27" s="82"/>
      <c r="V27" s="75" t="s">
        <v>238</v>
      </c>
      <c r="W27" s="70" t="s">
        <v>239</v>
      </c>
      <c r="X27" s="49"/>
      <c r="AA27" s="75" t="s">
        <v>265</v>
      </c>
      <c r="AB27" s="49" t="s">
        <v>266</v>
      </c>
    </row>
    <row r="28" spans="2:35">
      <c r="G28" s="49"/>
      <c r="H28" s="82"/>
      <c r="V28" s="75"/>
      <c r="W28" s="75"/>
      <c r="X28" s="49"/>
      <c r="AA28" s="75" t="s">
        <v>267</v>
      </c>
      <c r="AB28" s="49" t="s">
        <v>268</v>
      </c>
    </row>
    <row r="29" spans="2:35">
      <c r="G29" s="49"/>
      <c r="H29" s="82"/>
      <c r="V29" s="75" t="s">
        <v>240</v>
      </c>
      <c r="W29" s="70" t="s">
        <v>231</v>
      </c>
      <c r="X29" s="49"/>
    </row>
    <row r="30" spans="2:35">
      <c r="G30" s="49"/>
      <c r="H30" s="82"/>
      <c r="V30" s="75" t="s">
        <v>241</v>
      </c>
      <c r="W30" s="70" t="s">
        <v>233</v>
      </c>
      <c r="X30" s="49"/>
      <c r="AA30" s="83" t="s">
        <v>269</v>
      </c>
      <c r="AB30" s="49" t="s">
        <v>270</v>
      </c>
    </row>
    <row r="31" spans="2:35">
      <c r="G31" s="49"/>
      <c r="H31" s="82"/>
      <c r="V31" s="75" t="s">
        <v>242</v>
      </c>
      <c r="W31" s="70" t="s">
        <v>235</v>
      </c>
      <c r="AA31" s="83" t="s">
        <v>271</v>
      </c>
      <c r="AB31" s="49" t="s">
        <v>272</v>
      </c>
    </row>
    <row r="32" spans="2:35">
      <c r="G32" s="49"/>
      <c r="H32" s="82"/>
      <c r="V32" s="75" t="s">
        <v>243</v>
      </c>
      <c r="W32" s="70" t="s">
        <v>237</v>
      </c>
      <c r="AA32" s="83" t="s">
        <v>273</v>
      </c>
      <c r="AB32" s="49" t="s">
        <v>262</v>
      </c>
    </row>
    <row r="33" spans="7:28">
      <c r="G33" s="49"/>
      <c r="H33" s="82"/>
      <c r="V33" s="75" t="s">
        <v>244</v>
      </c>
      <c r="W33" s="70" t="s">
        <v>239</v>
      </c>
      <c r="AA33" s="83" t="s">
        <v>274</v>
      </c>
      <c r="AB33" s="49" t="s">
        <v>275</v>
      </c>
    </row>
    <row r="34" spans="7:28">
      <c r="G34" s="49"/>
      <c r="H34" s="82"/>
      <c r="V34" s="75"/>
      <c r="W34" s="75"/>
      <c r="AA34" s="75" t="s">
        <v>276</v>
      </c>
      <c r="AB34" s="49" t="s">
        <v>266</v>
      </c>
    </row>
    <row r="35" spans="7:28">
      <c r="V35" s="75" t="s">
        <v>245</v>
      </c>
      <c r="W35" s="70" t="s">
        <v>231</v>
      </c>
      <c r="AA35" s="75" t="s">
        <v>277</v>
      </c>
      <c r="AB35" s="49" t="s">
        <v>278</v>
      </c>
    </row>
    <row r="36" spans="7:28">
      <c r="V36" s="75" t="s">
        <v>246</v>
      </c>
      <c r="W36" s="70" t="s">
        <v>233</v>
      </c>
    </row>
    <row r="37" spans="7:28">
      <c r="V37" s="75" t="s">
        <v>247</v>
      </c>
      <c r="W37" s="70" t="s">
        <v>235</v>
      </c>
      <c r="AA37" s="83" t="s">
        <v>279</v>
      </c>
      <c r="AB37" s="49" t="s">
        <v>280</v>
      </c>
    </row>
    <row r="38" spans="7:28">
      <c r="V38" s="75" t="s">
        <v>248</v>
      </c>
      <c r="W38" s="70" t="s">
        <v>237</v>
      </c>
      <c r="AA38" s="83" t="s">
        <v>281</v>
      </c>
      <c r="AB38" s="49" t="s">
        <v>282</v>
      </c>
    </row>
    <row r="39" spans="7:28">
      <c r="V39" s="75" t="s">
        <v>249</v>
      </c>
      <c r="W39" s="70" t="s">
        <v>239</v>
      </c>
      <c r="AA39" s="83" t="s">
        <v>283</v>
      </c>
      <c r="AB39" s="49" t="s">
        <v>284</v>
      </c>
    </row>
    <row r="40" spans="7:28">
      <c r="V40" s="75" t="s">
        <v>250</v>
      </c>
      <c r="W40" s="70" t="s">
        <v>301</v>
      </c>
      <c r="AA40" s="83" t="s">
        <v>285</v>
      </c>
      <c r="AB40" s="49" t="s">
        <v>286</v>
      </c>
    </row>
    <row r="41" spans="7:28">
      <c r="V41" s="49"/>
      <c r="W41" s="49"/>
      <c r="AA41" s="75" t="s">
        <v>287</v>
      </c>
      <c r="AB41" s="49" t="s">
        <v>288</v>
      </c>
    </row>
    <row r="42" spans="7:28">
      <c r="V42" s="75" t="s">
        <v>251</v>
      </c>
      <c r="W42" s="70" t="s">
        <v>231</v>
      </c>
      <c r="AA42" s="75" t="s">
        <v>289</v>
      </c>
      <c r="AB42" s="49" t="s">
        <v>290</v>
      </c>
    </row>
    <row r="43" spans="7:28">
      <c r="V43" s="75" t="s">
        <v>252</v>
      </c>
      <c r="W43" s="70" t="s">
        <v>233</v>
      </c>
    </row>
    <row r="44" spans="7:28">
      <c r="V44" s="75" t="s">
        <v>253</v>
      </c>
      <c r="W44" s="70" t="s">
        <v>235</v>
      </c>
      <c r="AA44" s="83" t="s">
        <v>291</v>
      </c>
      <c r="AB44" s="49" t="s">
        <v>292</v>
      </c>
    </row>
    <row r="45" spans="7:28">
      <c r="V45" s="75" t="s">
        <v>254</v>
      </c>
      <c r="W45" s="70" t="s">
        <v>237</v>
      </c>
      <c r="AA45" s="83" t="s">
        <v>293</v>
      </c>
      <c r="AB45" s="49" t="s">
        <v>294</v>
      </c>
    </row>
    <row r="46" spans="7:28">
      <c r="V46" s="75" t="s">
        <v>255</v>
      </c>
      <c r="W46" s="70" t="s">
        <v>239</v>
      </c>
      <c r="AA46" s="83" t="s">
        <v>295</v>
      </c>
      <c r="AB46" s="49" t="s">
        <v>284</v>
      </c>
    </row>
    <row r="47" spans="7:28">
      <c r="V47" s="49" t="s">
        <v>256</v>
      </c>
      <c r="W47" s="70" t="s">
        <v>301</v>
      </c>
      <c r="AA47" s="83" t="s">
        <v>296</v>
      </c>
      <c r="AB47" s="49" t="s">
        <v>297</v>
      </c>
    </row>
    <row r="48" spans="7:28">
      <c r="V48" s="78"/>
      <c r="W48" s="75"/>
      <c r="AA48" s="75" t="s">
        <v>298</v>
      </c>
      <c r="AB48" s="49" t="s">
        <v>288</v>
      </c>
    </row>
    <row r="49" spans="22:28">
      <c r="V49" s="78"/>
      <c r="W49" s="75"/>
      <c r="AA49" s="75" t="s">
        <v>299</v>
      </c>
      <c r="AB49" s="49" t="s">
        <v>300</v>
      </c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phoneticPr fontId="24" type="noConversion"/>
  <conditionalFormatting sqref="C23:C25">
    <cfRule type="expression" dxfId="4" priority="1">
      <formula>$F:$F=$C$2:$H$2</formula>
    </cfRule>
    <cfRule type="containsText" dxfId="3" priority="2" operator="containsText" text="REFLECTOR">
      <formula>NOT(ISERROR(SEARCH("REFLECTOR",C23)))</formula>
    </cfRule>
    <cfRule type="containsText" dxfId="2" priority="3" operator="containsText" text="PS-">
      <formula>NOT(ISERROR(SEARCH("PS-",C23)))</formula>
    </cfRule>
    <cfRule type="containsText" dxfId="1" priority="4" operator="containsText" text="COB-">
      <formula>NOT(ISERROR(SEARCH("COB-",C23)))</formula>
    </cfRule>
    <cfRule type="containsText" dxfId="0" priority="5" operator="containsText" text="TRIM">
      <formula>NOT(ISERROR(SEARCH("TRIM",C23)))</formula>
    </cfRule>
  </conditionalFormatting>
  <pageMargins left="0.7" right="0.7" top="0.75" bottom="0.75" header="0.3" footer="0.3"/>
  <ignoredErrors>
    <ignoredError sqref="E6:E8 D6:D8 I6:I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opLeftCell="A24" workbookViewId="0">
      <selection activeCell="D15" sqref="D15"/>
    </sheetView>
  </sheetViews>
  <sheetFormatPr defaultRowHeight="15"/>
  <cols>
    <col min="1" max="1" width="9.140625" style="85"/>
    <col min="2" max="2" width="24.85546875" style="85" customWidth="1"/>
    <col min="3" max="16384" width="9.140625" style="85"/>
  </cols>
  <sheetData>
    <row r="1" spans="1:15">
      <c r="A1" s="85" t="s">
        <v>304</v>
      </c>
      <c r="B1" s="85" t="s">
        <v>305</v>
      </c>
      <c r="C1" s="85" t="s">
        <v>306</v>
      </c>
      <c r="D1" s="85" t="s">
        <v>307</v>
      </c>
      <c r="E1" s="85" t="s">
        <v>308</v>
      </c>
      <c r="F1" s="85" t="s">
        <v>309</v>
      </c>
      <c r="G1" s="85" t="s">
        <v>310</v>
      </c>
      <c r="H1" s="85" t="s">
        <v>311</v>
      </c>
      <c r="I1" s="85" t="s">
        <v>312</v>
      </c>
      <c r="J1" s="85" t="s">
        <v>313</v>
      </c>
      <c r="K1" s="85" t="s">
        <v>314</v>
      </c>
      <c r="L1" s="85" t="s">
        <v>315</v>
      </c>
      <c r="M1" s="85" t="s">
        <v>316</v>
      </c>
      <c r="N1" s="85" t="s">
        <v>317</v>
      </c>
      <c r="O1" s="85" t="s">
        <v>318</v>
      </c>
    </row>
    <row r="2" spans="1:15">
      <c r="A2" s="85">
        <v>203535</v>
      </c>
      <c r="B2" s="85" t="s">
        <v>327</v>
      </c>
      <c r="D2" s="85">
        <v>0</v>
      </c>
      <c r="E2" s="85">
        <v>0</v>
      </c>
      <c r="F2" s="85">
        <v>0</v>
      </c>
      <c r="G2" s="85">
        <v>0</v>
      </c>
      <c r="H2" s="85">
        <v>0</v>
      </c>
      <c r="I2" s="85">
        <v>0</v>
      </c>
      <c r="J2" s="85">
        <v>0</v>
      </c>
      <c r="K2" s="85" t="s">
        <v>328</v>
      </c>
      <c r="L2" s="85" t="s">
        <v>319</v>
      </c>
      <c r="M2" s="85" t="s">
        <v>210</v>
      </c>
      <c r="N2" s="85" t="s">
        <v>320</v>
      </c>
      <c r="O2" s="85" t="s">
        <v>321</v>
      </c>
    </row>
    <row r="3" spans="1:15">
      <c r="A3" s="85">
        <v>203536</v>
      </c>
      <c r="B3" s="85" t="s">
        <v>329</v>
      </c>
      <c r="D3" s="85">
        <v>0</v>
      </c>
      <c r="E3" s="85">
        <v>0</v>
      </c>
      <c r="F3" s="85">
        <v>0</v>
      </c>
      <c r="G3" s="85">
        <v>0</v>
      </c>
      <c r="H3" s="85">
        <v>0</v>
      </c>
      <c r="I3" s="85">
        <v>0</v>
      </c>
      <c r="J3" s="85">
        <v>0</v>
      </c>
      <c r="K3" s="85" t="s">
        <v>328</v>
      </c>
      <c r="L3" s="85" t="s">
        <v>222</v>
      </c>
      <c r="M3" s="85" t="s">
        <v>210</v>
      </c>
      <c r="N3" s="85" t="s">
        <v>320</v>
      </c>
      <c r="O3" s="85" t="s">
        <v>321</v>
      </c>
    </row>
    <row r="4" spans="1:15">
      <c r="A4" s="85">
        <v>203537</v>
      </c>
      <c r="B4" s="85" t="s">
        <v>330</v>
      </c>
      <c r="D4" s="85">
        <v>0</v>
      </c>
      <c r="E4" s="85">
        <v>0</v>
      </c>
      <c r="F4" s="85">
        <v>0</v>
      </c>
      <c r="G4" s="85">
        <v>0</v>
      </c>
      <c r="H4" s="85">
        <v>0</v>
      </c>
      <c r="I4" s="85">
        <v>0</v>
      </c>
      <c r="J4" s="85">
        <v>0</v>
      </c>
      <c r="K4" s="85" t="s">
        <v>328</v>
      </c>
      <c r="L4" s="85" t="s">
        <v>221</v>
      </c>
      <c r="M4" s="85" t="s">
        <v>210</v>
      </c>
      <c r="N4" s="85" t="s">
        <v>320</v>
      </c>
      <c r="O4" s="85" t="s">
        <v>321</v>
      </c>
    </row>
    <row r="5" spans="1:15">
      <c r="A5" s="85">
        <v>203539</v>
      </c>
      <c r="B5" s="85" t="s">
        <v>331</v>
      </c>
      <c r="D5" s="85">
        <v>0</v>
      </c>
      <c r="E5" s="85">
        <v>0</v>
      </c>
      <c r="F5" s="85">
        <v>0</v>
      </c>
      <c r="G5" s="85">
        <v>0</v>
      </c>
      <c r="H5" s="85">
        <v>0</v>
      </c>
      <c r="I5" s="85">
        <v>0</v>
      </c>
      <c r="J5" s="85">
        <v>0</v>
      </c>
      <c r="K5" s="85" t="s">
        <v>328</v>
      </c>
      <c r="L5" s="85" t="s">
        <v>319</v>
      </c>
      <c r="M5" s="85" t="s">
        <v>210</v>
      </c>
      <c r="N5" s="85" t="s">
        <v>322</v>
      </c>
      <c r="O5" s="85" t="s">
        <v>321</v>
      </c>
    </row>
    <row r="6" spans="1:15">
      <c r="A6" s="85">
        <v>203540</v>
      </c>
      <c r="B6" s="85" t="s">
        <v>332</v>
      </c>
      <c r="D6" s="85">
        <v>0</v>
      </c>
      <c r="E6" s="85">
        <v>0</v>
      </c>
      <c r="F6" s="85">
        <v>0</v>
      </c>
      <c r="G6" s="85">
        <v>0</v>
      </c>
      <c r="H6" s="85">
        <v>0</v>
      </c>
      <c r="I6" s="85">
        <v>0</v>
      </c>
      <c r="J6" s="85">
        <v>0</v>
      </c>
      <c r="K6" s="85" t="s">
        <v>328</v>
      </c>
      <c r="L6" s="85" t="s">
        <v>222</v>
      </c>
      <c r="M6" s="85" t="s">
        <v>210</v>
      </c>
      <c r="N6" s="85" t="s">
        <v>322</v>
      </c>
      <c r="O6" s="85" t="s">
        <v>321</v>
      </c>
    </row>
    <row r="7" spans="1:15">
      <c r="A7" s="85">
        <v>203541</v>
      </c>
      <c r="B7" s="85" t="s">
        <v>333</v>
      </c>
      <c r="D7" s="85">
        <v>0</v>
      </c>
      <c r="E7" s="85">
        <v>0</v>
      </c>
      <c r="F7" s="85">
        <v>0</v>
      </c>
      <c r="G7" s="85">
        <v>0</v>
      </c>
      <c r="H7" s="85">
        <v>0</v>
      </c>
      <c r="I7" s="85">
        <v>0</v>
      </c>
      <c r="J7" s="85">
        <v>0</v>
      </c>
      <c r="K7" s="85" t="s">
        <v>328</v>
      </c>
      <c r="L7" s="85" t="s">
        <v>221</v>
      </c>
      <c r="M7" s="85" t="s">
        <v>210</v>
      </c>
      <c r="N7" s="85" t="s">
        <v>322</v>
      </c>
      <c r="O7" s="85" t="s">
        <v>321</v>
      </c>
    </row>
    <row r="8" spans="1:15">
      <c r="A8" s="85">
        <v>203543</v>
      </c>
      <c r="B8" s="85" t="s">
        <v>334</v>
      </c>
      <c r="D8" s="85">
        <v>0</v>
      </c>
      <c r="E8" s="85">
        <v>0</v>
      </c>
      <c r="F8" s="85">
        <v>0</v>
      </c>
      <c r="G8" s="85">
        <v>0</v>
      </c>
      <c r="H8" s="85">
        <v>0</v>
      </c>
      <c r="I8" s="85">
        <v>0</v>
      </c>
      <c r="J8" s="85">
        <v>0</v>
      </c>
      <c r="K8" s="85" t="s">
        <v>328</v>
      </c>
      <c r="L8" s="85" t="s">
        <v>319</v>
      </c>
      <c r="M8" s="85" t="s">
        <v>210</v>
      </c>
      <c r="N8" s="85" t="s">
        <v>323</v>
      </c>
      <c r="O8" s="85" t="s">
        <v>321</v>
      </c>
    </row>
    <row r="9" spans="1:15">
      <c r="A9" s="85">
        <v>203544</v>
      </c>
      <c r="B9" s="85" t="s">
        <v>335</v>
      </c>
      <c r="D9" s="85">
        <v>0</v>
      </c>
      <c r="E9" s="85">
        <v>0</v>
      </c>
      <c r="F9" s="85">
        <v>0</v>
      </c>
      <c r="G9" s="85">
        <v>0</v>
      </c>
      <c r="H9" s="85">
        <v>0</v>
      </c>
      <c r="I9" s="85">
        <v>0</v>
      </c>
      <c r="J9" s="85">
        <v>0</v>
      </c>
      <c r="K9" s="85" t="s">
        <v>328</v>
      </c>
      <c r="L9" s="85" t="s">
        <v>222</v>
      </c>
      <c r="M9" s="85" t="s">
        <v>210</v>
      </c>
      <c r="N9" s="85" t="s">
        <v>323</v>
      </c>
      <c r="O9" s="85" t="s">
        <v>321</v>
      </c>
    </row>
    <row r="10" spans="1:15">
      <c r="A10" s="85">
        <v>203545</v>
      </c>
      <c r="B10" s="85" t="s">
        <v>336</v>
      </c>
      <c r="D10" s="85">
        <v>0</v>
      </c>
      <c r="E10" s="85">
        <v>0</v>
      </c>
      <c r="F10" s="85">
        <v>0</v>
      </c>
      <c r="G10" s="85">
        <v>0</v>
      </c>
      <c r="H10" s="85">
        <v>0</v>
      </c>
      <c r="I10" s="85">
        <v>0</v>
      </c>
      <c r="J10" s="85">
        <v>0</v>
      </c>
      <c r="K10" s="85" t="s">
        <v>328</v>
      </c>
      <c r="L10" s="85" t="s">
        <v>221</v>
      </c>
      <c r="M10" s="85" t="s">
        <v>210</v>
      </c>
      <c r="N10" s="85" t="s">
        <v>323</v>
      </c>
      <c r="O10" s="85" t="s">
        <v>321</v>
      </c>
    </row>
    <row r="11" spans="1:15">
      <c r="A11" s="85">
        <v>203583</v>
      </c>
      <c r="B11" s="85" t="s">
        <v>337</v>
      </c>
      <c r="D11" s="85">
        <v>0</v>
      </c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 t="s">
        <v>328</v>
      </c>
      <c r="L11" s="85" t="s">
        <v>319</v>
      </c>
      <c r="M11" s="85" t="s">
        <v>223</v>
      </c>
      <c r="N11" s="85" t="s">
        <v>320</v>
      </c>
      <c r="O11" s="85" t="s">
        <v>321</v>
      </c>
    </row>
    <row r="12" spans="1:15">
      <c r="A12" s="85">
        <v>203584</v>
      </c>
      <c r="B12" s="85" t="s">
        <v>338</v>
      </c>
      <c r="D12" s="85">
        <v>0</v>
      </c>
      <c r="E12" s="85">
        <v>0</v>
      </c>
      <c r="F12" s="85">
        <v>0</v>
      </c>
      <c r="G12" s="85">
        <v>0</v>
      </c>
      <c r="H12" s="85">
        <v>0</v>
      </c>
      <c r="I12" s="85">
        <v>0</v>
      </c>
      <c r="J12" s="85">
        <v>0</v>
      </c>
      <c r="K12" s="85" t="s">
        <v>328</v>
      </c>
      <c r="L12" s="85" t="s">
        <v>222</v>
      </c>
      <c r="M12" s="85" t="s">
        <v>223</v>
      </c>
      <c r="N12" s="85" t="s">
        <v>320</v>
      </c>
      <c r="O12" s="85" t="s">
        <v>321</v>
      </c>
    </row>
    <row r="13" spans="1:15">
      <c r="A13" s="85">
        <v>203585</v>
      </c>
      <c r="B13" s="85" t="s">
        <v>339</v>
      </c>
      <c r="D13" s="85">
        <v>0</v>
      </c>
      <c r="E13" s="85">
        <v>0</v>
      </c>
      <c r="F13" s="85">
        <v>0</v>
      </c>
      <c r="G13" s="85">
        <v>0</v>
      </c>
      <c r="H13" s="85">
        <v>0</v>
      </c>
      <c r="I13" s="85">
        <v>0</v>
      </c>
      <c r="J13" s="85">
        <v>0</v>
      </c>
      <c r="K13" s="85" t="s">
        <v>328</v>
      </c>
      <c r="L13" s="85" t="s">
        <v>221</v>
      </c>
      <c r="M13" s="85" t="s">
        <v>223</v>
      </c>
      <c r="N13" s="85" t="s">
        <v>320</v>
      </c>
      <c r="O13" s="85" t="s">
        <v>321</v>
      </c>
    </row>
    <row r="14" spans="1:15">
      <c r="A14" s="85">
        <v>203587</v>
      </c>
      <c r="B14" s="85" t="s">
        <v>340</v>
      </c>
      <c r="D14" s="85">
        <v>0</v>
      </c>
      <c r="E14" s="85">
        <v>0</v>
      </c>
      <c r="F14" s="85">
        <v>0</v>
      </c>
      <c r="G14" s="85">
        <v>0</v>
      </c>
      <c r="H14" s="85">
        <v>0</v>
      </c>
      <c r="I14" s="85">
        <v>0</v>
      </c>
      <c r="J14" s="85">
        <v>0</v>
      </c>
      <c r="K14" s="85" t="s">
        <v>328</v>
      </c>
      <c r="L14" s="85" t="s">
        <v>319</v>
      </c>
      <c r="M14" s="85" t="s">
        <v>223</v>
      </c>
      <c r="N14" s="85" t="s">
        <v>322</v>
      </c>
      <c r="O14" s="85" t="s">
        <v>321</v>
      </c>
    </row>
    <row r="15" spans="1:15">
      <c r="A15" s="85">
        <v>203588</v>
      </c>
      <c r="B15" s="85" t="s">
        <v>341</v>
      </c>
      <c r="D15" s="85">
        <v>0</v>
      </c>
      <c r="E15" s="85">
        <v>0</v>
      </c>
      <c r="F15" s="85">
        <v>0</v>
      </c>
      <c r="G15" s="85">
        <v>0</v>
      </c>
      <c r="H15" s="85">
        <v>0</v>
      </c>
      <c r="I15" s="85">
        <v>0</v>
      </c>
      <c r="J15" s="85">
        <v>0</v>
      </c>
      <c r="K15" s="85" t="s">
        <v>328</v>
      </c>
      <c r="L15" s="85" t="s">
        <v>222</v>
      </c>
      <c r="M15" s="85" t="s">
        <v>223</v>
      </c>
      <c r="N15" s="85" t="s">
        <v>322</v>
      </c>
      <c r="O15" s="85" t="s">
        <v>321</v>
      </c>
    </row>
    <row r="16" spans="1:15">
      <c r="A16" s="85">
        <v>203589</v>
      </c>
      <c r="B16" s="85" t="s">
        <v>342</v>
      </c>
      <c r="D16" s="85">
        <v>0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 t="s">
        <v>328</v>
      </c>
      <c r="L16" s="85" t="s">
        <v>221</v>
      </c>
      <c r="M16" s="85" t="s">
        <v>223</v>
      </c>
      <c r="N16" s="85" t="s">
        <v>322</v>
      </c>
      <c r="O16" s="85" t="s">
        <v>321</v>
      </c>
    </row>
    <row r="17" spans="1:15">
      <c r="A17" s="85">
        <v>203591</v>
      </c>
      <c r="B17" s="85" t="s">
        <v>343</v>
      </c>
      <c r="D17" s="85">
        <v>0</v>
      </c>
      <c r="E17" s="85">
        <v>0</v>
      </c>
      <c r="F17" s="85">
        <v>0</v>
      </c>
      <c r="G17" s="85">
        <v>0</v>
      </c>
      <c r="H17" s="85">
        <v>0</v>
      </c>
      <c r="I17" s="85">
        <v>0</v>
      </c>
      <c r="J17" s="85">
        <v>0</v>
      </c>
      <c r="K17" s="85" t="s">
        <v>328</v>
      </c>
      <c r="L17" s="85" t="s">
        <v>319</v>
      </c>
      <c r="M17" s="85" t="s">
        <v>223</v>
      </c>
      <c r="N17" s="85" t="s">
        <v>323</v>
      </c>
      <c r="O17" s="85" t="s">
        <v>321</v>
      </c>
    </row>
    <row r="18" spans="1:15">
      <c r="A18" s="85">
        <v>203592</v>
      </c>
      <c r="B18" s="85" t="s">
        <v>344</v>
      </c>
      <c r="D18" s="85">
        <v>0</v>
      </c>
      <c r="E18" s="85">
        <v>0</v>
      </c>
      <c r="F18" s="85">
        <v>0</v>
      </c>
      <c r="G18" s="85">
        <v>0</v>
      </c>
      <c r="H18" s="85">
        <v>0</v>
      </c>
      <c r="I18" s="85">
        <v>0</v>
      </c>
      <c r="J18" s="85">
        <v>0</v>
      </c>
      <c r="K18" s="85" t="s">
        <v>328</v>
      </c>
      <c r="L18" s="85" t="s">
        <v>222</v>
      </c>
      <c r="M18" s="85" t="s">
        <v>223</v>
      </c>
      <c r="N18" s="85" t="s">
        <v>323</v>
      </c>
      <c r="O18" s="85" t="s">
        <v>321</v>
      </c>
    </row>
    <row r="19" spans="1:15">
      <c r="A19" s="85">
        <v>203593</v>
      </c>
      <c r="B19" s="85" t="s">
        <v>345</v>
      </c>
      <c r="D19" s="85">
        <v>0</v>
      </c>
      <c r="E19" s="85">
        <v>0</v>
      </c>
      <c r="F19" s="85">
        <v>0</v>
      </c>
      <c r="G19" s="85">
        <v>0</v>
      </c>
      <c r="H19" s="85">
        <v>0</v>
      </c>
      <c r="I19" s="85">
        <v>0</v>
      </c>
      <c r="J19" s="85">
        <v>0</v>
      </c>
      <c r="K19" s="85" t="s">
        <v>328</v>
      </c>
      <c r="L19" s="85" t="s">
        <v>221</v>
      </c>
      <c r="M19" s="85" t="s">
        <v>223</v>
      </c>
      <c r="N19" s="85" t="s">
        <v>323</v>
      </c>
      <c r="O19" s="85" t="s">
        <v>321</v>
      </c>
    </row>
    <row r="20" spans="1:15">
      <c r="A20" s="85">
        <v>203631</v>
      </c>
      <c r="B20" s="85" t="s">
        <v>346</v>
      </c>
      <c r="D20" s="85">
        <v>0</v>
      </c>
      <c r="E20" s="85">
        <v>0</v>
      </c>
      <c r="F20" s="85">
        <v>0</v>
      </c>
      <c r="G20" s="85">
        <v>0</v>
      </c>
      <c r="H20" s="85">
        <v>0</v>
      </c>
      <c r="I20" s="85">
        <v>0</v>
      </c>
      <c r="J20" s="85">
        <v>0</v>
      </c>
      <c r="K20" s="85" t="s">
        <v>328</v>
      </c>
      <c r="L20" s="85" t="s">
        <v>319</v>
      </c>
      <c r="M20" s="85" t="s">
        <v>211</v>
      </c>
      <c r="N20" s="85" t="s">
        <v>320</v>
      </c>
      <c r="O20" s="85" t="s">
        <v>321</v>
      </c>
    </row>
    <row r="21" spans="1:15">
      <c r="A21" s="85">
        <v>203632</v>
      </c>
      <c r="B21" s="85" t="s">
        <v>347</v>
      </c>
      <c r="D21" s="85">
        <v>0</v>
      </c>
      <c r="E21" s="85">
        <v>0</v>
      </c>
      <c r="F21" s="85">
        <v>0</v>
      </c>
      <c r="G21" s="85">
        <v>0</v>
      </c>
      <c r="H21" s="85">
        <v>0</v>
      </c>
      <c r="I21" s="85">
        <v>0</v>
      </c>
      <c r="J21" s="85">
        <v>0</v>
      </c>
      <c r="K21" s="85" t="s">
        <v>328</v>
      </c>
      <c r="L21" s="85" t="s">
        <v>222</v>
      </c>
      <c r="M21" s="85" t="s">
        <v>211</v>
      </c>
      <c r="N21" s="85" t="s">
        <v>320</v>
      </c>
      <c r="O21" s="85" t="s">
        <v>321</v>
      </c>
    </row>
    <row r="22" spans="1:15">
      <c r="A22" s="85">
        <v>203633</v>
      </c>
      <c r="B22" s="85" t="s">
        <v>348</v>
      </c>
      <c r="D22" s="85">
        <v>0</v>
      </c>
      <c r="E22" s="85">
        <v>0</v>
      </c>
      <c r="F22" s="85">
        <v>0</v>
      </c>
      <c r="G22" s="85">
        <v>0</v>
      </c>
      <c r="H22" s="85">
        <v>0</v>
      </c>
      <c r="I22" s="85">
        <v>0</v>
      </c>
      <c r="J22" s="85">
        <v>0</v>
      </c>
      <c r="K22" s="85" t="s">
        <v>328</v>
      </c>
      <c r="L22" s="85" t="s">
        <v>221</v>
      </c>
      <c r="M22" s="85" t="s">
        <v>211</v>
      </c>
      <c r="N22" s="85" t="s">
        <v>320</v>
      </c>
      <c r="O22" s="85" t="s">
        <v>321</v>
      </c>
    </row>
    <row r="23" spans="1:15">
      <c r="A23" s="85">
        <v>203635</v>
      </c>
      <c r="B23" s="85" t="s">
        <v>349</v>
      </c>
      <c r="D23" s="85">
        <v>0</v>
      </c>
      <c r="E23" s="85">
        <v>0</v>
      </c>
      <c r="F23" s="85">
        <v>0</v>
      </c>
      <c r="G23" s="85">
        <v>0</v>
      </c>
      <c r="H23" s="85">
        <v>0</v>
      </c>
      <c r="I23" s="85">
        <v>0</v>
      </c>
      <c r="J23" s="85">
        <v>0</v>
      </c>
      <c r="K23" s="85" t="s">
        <v>328</v>
      </c>
      <c r="L23" s="85" t="s">
        <v>319</v>
      </c>
      <c r="M23" s="85" t="s">
        <v>211</v>
      </c>
      <c r="N23" s="85" t="s">
        <v>322</v>
      </c>
      <c r="O23" s="85" t="s">
        <v>321</v>
      </c>
    </row>
    <row r="24" spans="1:15">
      <c r="A24" s="85">
        <v>203636</v>
      </c>
      <c r="B24" s="85" t="s">
        <v>350</v>
      </c>
      <c r="D24" s="85">
        <v>0</v>
      </c>
      <c r="E24" s="85">
        <v>0</v>
      </c>
      <c r="F24" s="85">
        <v>0</v>
      </c>
      <c r="G24" s="85">
        <v>0</v>
      </c>
      <c r="H24" s="85">
        <v>0</v>
      </c>
      <c r="I24" s="85">
        <v>0</v>
      </c>
      <c r="J24" s="85">
        <v>0</v>
      </c>
      <c r="K24" s="85" t="s">
        <v>328</v>
      </c>
      <c r="L24" s="85" t="s">
        <v>222</v>
      </c>
      <c r="M24" s="85" t="s">
        <v>211</v>
      </c>
      <c r="N24" s="85" t="s">
        <v>322</v>
      </c>
      <c r="O24" s="85" t="s">
        <v>321</v>
      </c>
    </row>
    <row r="25" spans="1:15">
      <c r="A25" s="85">
        <v>203637</v>
      </c>
      <c r="B25" s="85" t="s">
        <v>351</v>
      </c>
      <c r="D25" s="85">
        <v>0</v>
      </c>
      <c r="E25" s="85">
        <v>0</v>
      </c>
      <c r="F25" s="85">
        <v>0</v>
      </c>
      <c r="G25" s="85">
        <v>0</v>
      </c>
      <c r="H25" s="85">
        <v>0</v>
      </c>
      <c r="I25" s="85">
        <v>0</v>
      </c>
      <c r="J25" s="85">
        <v>0</v>
      </c>
      <c r="K25" s="85" t="s">
        <v>328</v>
      </c>
      <c r="L25" s="85" t="s">
        <v>221</v>
      </c>
      <c r="M25" s="85" t="s">
        <v>211</v>
      </c>
      <c r="N25" s="85" t="s">
        <v>322</v>
      </c>
      <c r="O25" s="85" t="s">
        <v>321</v>
      </c>
    </row>
    <row r="26" spans="1:15">
      <c r="A26" s="85">
        <v>203639</v>
      </c>
      <c r="B26" s="85" t="s">
        <v>352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 t="s">
        <v>328</v>
      </c>
      <c r="L26" s="85" t="s">
        <v>319</v>
      </c>
      <c r="M26" s="85" t="s">
        <v>211</v>
      </c>
      <c r="N26" s="85" t="s">
        <v>323</v>
      </c>
      <c r="O26" s="85" t="s">
        <v>321</v>
      </c>
    </row>
    <row r="27" spans="1:15">
      <c r="A27" s="85">
        <v>203640</v>
      </c>
      <c r="B27" s="85" t="s">
        <v>353</v>
      </c>
      <c r="D27" s="85">
        <v>0</v>
      </c>
      <c r="E27" s="85">
        <v>0</v>
      </c>
      <c r="F27" s="85">
        <v>0</v>
      </c>
      <c r="G27" s="85">
        <v>0</v>
      </c>
      <c r="H27" s="85">
        <v>0</v>
      </c>
      <c r="I27" s="85">
        <v>0</v>
      </c>
      <c r="J27" s="85">
        <v>0</v>
      </c>
      <c r="K27" s="85" t="s">
        <v>328</v>
      </c>
      <c r="L27" s="85" t="s">
        <v>222</v>
      </c>
      <c r="M27" s="85" t="s">
        <v>211</v>
      </c>
      <c r="N27" s="85" t="s">
        <v>323</v>
      </c>
      <c r="O27" s="85" t="s">
        <v>321</v>
      </c>
    </row>
    <row r="28" spans="1:15">
      <c r="A28" s="85">
        <v>203641</v>
      </c>
      <c r="B28" s="85" t="s">
        <v>354</v>
      </c>
      <c r="D28" s="85">
        <v>0</v>
      </c>
      <c r="E28" s="85">
        <v>0</v>
      </c>
      <c r="F28" s="85">
        <v>0</v>
      </c>
      <c r="G28" s="85">
        <v>0</v>
      </c>
      <c r="H28" s="85">
        <v>0</v>
      </c>
      <c r="I28" s="85">
        <v>0</v>
      </c>
      <c r="J28" s="85">
        <v>0</v>
      </c>
      <c r="K28" s="85" t="s">
        <v>328</v>
      </c>
      <c r="L28" s="85" t="s">
        <v>221</v>
      </c>
      <c r="M28" s="85" t="s">
        <v>211</v>
      </c>
      <c r="N28" s="85" t="s">
        <v>323</v>
      </c>
      <c r="O28" s="85" t="s">
        <v>321</v>
      </c>
    </row>
    <row r="29" spans="1:15">
      <c r="A29" s="85">
        <v>203679</v>
      </c>
      <c r="B29" s="85" t="s">
        <v>355</v>
      </c>
      <c r="D29" s="85">
        <v>0</v>
      </c>
      <c r="E29" s="85">
        <v>0</v>
      </c>
      <c r="F29" s="85">
        <v>0</v>
      </c>
      <c r="G29" s="85">
        <v>0</v>
      </c>
      <c r="H29" s="85">
        <v>0</v>
      </c>
      <c r="I29" s="85">
        <v>0</v>
      </c>
      <c r="J29" s="85">
        <v>0</v>
      </c>
      <c r="K29" s="85" t="s">
        <v>328</v>
      </c>
      <c r="L29" s="85" t="s">
        <v>319</v>
      </c>
      <c r="M29" s="85" t="s">
        <v>224</v>
      </c>
      <c r="N29" s="85" t="s">
        <v>320</v>
      </c>
      <c r="O29" s="85" t="s">
        <v>321</v>
      </c>
    </row>
    <row r="30" spans="1:15">
      <c r="A30" s="85">
        <v>203680</v>
      </c>
      <c r="B30" s="85" t="s">
        <v>356</v>
      </c>
      <c r="D30" s="85">
        <v>0</v>
      </c>
      <c r="E30" s="85">
        <v>0</v>
      </c>
      <c r="F30" s="85">
        <v>0</v>
      </c>
      <c r="G30" s="85">
        <v>0</v>
      </c>
      <c r="H30" s="85">
        <v>0</v>
      </c>
      <c r="I30" s="85">
        <v>0</v>
      </c>
      <c r="J30" s="85">
        <v>0</v>
      </c>
      <c r="K30" s="85" t="s">
        <v>328</v>
      </c>
      <c r="L30" s="85" t="s">
        <v>222</v>
      </c>
      <c r="M30" s="85" t="s">
        <v>224</v>
      </c>
      <c r="N30" s="85" t="s">
        <v>320</v>
      </c>
      <c r="O30" s="85" t="s">
        <v>321</v>
      </c>
    </row>
    <row r="31" spans="1:15">
      <c r="A31" s="85">
        <v>203681</v>
      </c>
      <c r="B31" s="85" t="s">
        <v>357</v>
      </c>
      <c r="D31" s="85">
        <v>0</v>
      </c>
      <c r="E31" s="85">
        <v>0</v>
      </c>
      <c r="F31" s="85">
        <v>0</v>
      </c>
      <c r="G31" s="85">
        <v>0</v>
      </c>
      <c r="H31" s="85">
        <v>0</v>
      </c>
      <c r="I31" s="85">
        <v>0</v>
      </c>
      <c r="J31" s="85">
        <v>0</v>
      </c>
      <c r="K31" s="85" t="s">
        <v>328</v>
      </c>
      <c r="L31" s="85" t="s">
        <v>221</v>
      </c>
      <c r="M31" s="85" t="s">
        <v>224</v>
      </c>
      <c r="N31" s="85" t="s">
        <v>320</v>
      </c>
      <c r="O31" s="85" t="s">
        <v>321</v>
      </c>
    </row>
    <row r="32" spans="1:15">
      <c r="A32" s="85">
        <v>203683</v>
      </c>
      <c r="B32" s="85" t="s">
        <v>358</v>
      </c>
      <c r="D32" s="85">
        <v>0</v>
      </c>
      <c r="E32" s="85">
        <v>0</v>
      </c>
      <c r="F32" s="85">
        <v>0</v>
      </c>
      <c r="G32" s="85">
        <v>0</v>
      </c>
      <c r="H32" s="85">
        <v>0</v>
      </c>
      <c r="I32" s="85">
        <v>0</v>
      </c>
      <c r="J32" s="85">
        <v>0</v>
      </c>
      <c r="K32" s="85" t="s">
        <v>328</v>
      </c>
      <c r="L32" s="85" t="s">
        <v>319</v>
      </c>
      <c r="M32" s="85" t="s">
        <v>224</v>
      </c>
      <c r="N32" s="85" t="s">
        <v>322</v>
      </c>
      <c r="O32" s="85" t="s">
        <v>321</v>
      </c>
    </row>
    <row r="33" spans="1:15">
      <c r="A33" s="85">
        <v>203684</v>
      </c>
      <c r="B33" s="85" t="s">
        <v>359</v>
      </c>
      <c r="D33" s="85">
        <v>0</v>
      </c>
      <c r="E33" s="85">
        <v>0</v>
      </c>
      <c r="F33" s="85">
        <v>0</v>
      </c>
      <c r="G33" s="85">
        <v>0</v>
      </c>
      <c r="H33" s="85">
        <v>0</v>
      </c>
      <c r="I33" s="85">
        <v>0</v>
      </c>
      <c r="J33" s="85">
        <v>0</v>
      </c>
      <c r="K33" s="85" t="s">
        <v>328</v>
      </c>
      <c r="L33" s="85" t="s">
        <v>222</v>
      </c>
      <c r="M33" s="85" t="s">
        <v>224</v>
      </c>
      <c r="N33" s="85" t="s">
        <v>322</v>
      </c>
      <c r="O33" s="85" t="s">
        <v>321</v>
      </c>
    </row>
    <row r="34" spans="1:15">
      <c r="A34" s="85">
        <v>203685</v>
      </c>
      <c r="B34" s="85" t="s">
        <v>360</v>
      </c>
      <c r="D34" s="85">
        <v>0</v>
      </c>
      <c r="E34" s="85">
        <v>0</v>
      </c>
      <c r="F34" s="85">
        <v>0</v>
      </c>
      <c r="G34" s="85">
        <v>0</v>
      </c>
      <c r="H34" s="85">
        <v>0</v>
      </c>
      <c r="I34" s="85">
        <v>0</v>
      </c>
      <c r="J34" s="85">
        <v>0</v>
      </c>
      <c r="K34" s="85" t="s">
        <v>328</v>
      </c>
      <c r="L34" s="85" t="s">
        <v>221</v>
      </c>
      <c r="M34" s="85" t="s">
        <v>224</v>
      </c>
      <c r="N34" s="85" t="s">
        <v>322</v>
      </c>
      <c r="O34" s="85" t="s">
        <v>321</v>
      </c>
    </row>
    <row r="35" spans="1:15">
      <c r="A35" s="85">
        <v>203687</v>
      </c>
      <c r="B35" s="85" t="s">
        <v>361</v>
      </c>
      <c r="D35" s="85">
        <v>0</v>
      </c>
      <c r="E35" s="85">
        <v>0</v>
      </c>
      <c r="F35" s="85">
        <v>0</v>
      </c>
      <c r="G35" s="85">
        <v>0</v>
      </c>
      <c r="H35" s="85">
        <v>0</v>
      </c>
      <c r="I35" s="85">
        <v>0</v>
      </c>
      <c r="J35" s="85">
        <v>0</v>
      </c>
      <c r="K35" s="85" t="s">
        <v>328</v>
      </c>
      <c r="L35" s="85" t="s">
        <v>319</v>
      </c>
      <c r="M35" s="85" t="s">
        <v>224</v>
      </c>
      <c r="N35" s="85" t="s">
        <v>323</v>
      </c>
      <c r="O35" s="85" t="s">
        <v>321</v>
      </c>
    </row>
    <row r="36" spans="1:15">
      <c r="A36" s="85">
        <v>203688</v>
      </c>
      <c r="B36" s="85" t="s">
        <v>362</v>
      </c>
      <c r="D36" s="85">
        <v>0</v>
      </c>
      <c r="E36" s="85">
        <v>0</v>
      </c>
      <c r="F36" s="85">
        <v>0</v>
      </c>
      <c r="G36" s="85">
        <v>0</v>
      </c>
      <c r="H36" s="85">
        <v>0</v>
      </c>
      <c r="I36" s="85">
        <v>0</v>
      </c>
      <c r="J36" s="85">
        <v>0</v>
      </c>
      <c r="K36" s="85" t="s">
        <v>328</v>
      </c>
      <c r="L36" s="85" t="s">
        <v>222</v>
      </c>
      <c r="M36" s="85" t="s">
        <v>224</v>
      </c>
      <c r="N36" s="85" t="s">
        <v>323</v>
      </c>
      <c r="O36" s="85" t="s">
        <v>321</v>
      </c>
    </row>
    <row r="37" spans="1:15">
      <c r="A37" s="85">
        <v>203689</v>
      </c>
      <c r="B37" s="85" t="s">
        <v>363</v>
      </c>
      <c r="D37" s="85">
        <v>0</v>
      </c>
      <c r="E37" s="85">
        <v>0</v>
      </c>
      <c r="F37" s="85">
        <v>0</v>
      </c>
      <c r="G37" s="85">
        <v>0</v>
      </c>
      <c r="H37" s="85">
        <v>0</v>
      </c>
      <c r="I37" s="85">
        <v>0</v>
      </c>
      <c r="J37" s="85">
        <v>0</v>
      </c>
      <c r="K37" s="85" t="s">
        <v>328</v>
      </c>
      <c r="L37" s="85" t="s">
        <v>221</v>
      </c>
      <c r="M37" s="85" t="s">
        <v>224</v>
      </c>
      <c r="N37" s="85" t="s">
        <v>323</v>
      </c>
      <c r="O37" s="85" t="s">
        <v>321</v>
      </c>
    </row>
    <row r="38" spans="1:15">
      <c r="A38" s="85">
        <v>203730</v>
      </c>
      <c r="B38" s="85" t="s">
        <v>364</v>
      </c>
      <c r="D38" s="85">
        <v>0</v>
      </c>
      <c r="E38" s="85">
        <v>0</v>
      </c>
      <c r="F38" s="85">
        <v>0</v>
      </c>
      <c r="G38" s="85">
        <v>0</v>
      </c>
      <c r="H38" s="85">
        <v>0</v>
      </c>
      <c r="I38" s="85">
        <v>0</v>
      </c>
      <c r="J38" s="85">
        <v>0</v>
      </c>
      <c r="K38" s="85" t="s">
        <v>328</v>
      </c>
      <c r="L38" s="85" t="s">
        <v>324</v>
      </c>
      <c r="M38" s="85" t="s">
        <v>325</v>
      </c>
      <c r="N38" s="85" t="s">
        <v>320</v>
      </c>
      <c r="O38" s="85" t="s">
        <v>321</v>
      </c>
    </row>
    <row r="39" spans="1:15">
      <c r="A39" s="85">
        <v>203734</v>
      </c>
      <c r="B39" s="85" t="s">
        <v>365</v>
      </c>
      <c r="D39" s="85">
        <v>0</v>
      </c>
      <c r="E39" s="85">
        <v>0</v>
      </c>
      <c r="F39" s="85">
        <v>0</v>
      </c>
      <c r="G39" s="85">
        <v>0</v>
      </c>
      <c r="H39" s="85">
        <v>0</v>
      </c>
      <c r="I39" s="85">
        <v>0</v>
      </c>
      <c r="J39" s="85">
        <v>0</v>
      </c>
      <c r="K39" s="85" t="s">
        <v>328</v>
      </c>
      <c r="L39" s="85" t="s">
        <v>324</v>
      </c>
      <c r="M39" s="85" t="s">
        <v>325</v>
      </c>
      <c r="N39" s="85" t="s">
        <v>322</v>
      </c>
      <c r="O39" s="85" t="s">
        <v>321</v>
      </c>
    </row>
    <row r="40" spans="1:15">
      <c r="A40" s="85">
        <v>203738</v>
      </c>
      <c r="B40" s="85" t="s">
        <v>366</v>
      </c>
      <c r="D40" s="85">
        <v>0</v>
      </c>
      <c r="E40" s="85">
        <v>0</v>
      </c>
      <c r="F40" s="85">
        <v>0</v>
      </c>
      <c r="G40" s="85">
        <v>0</v>
      </c>
      <c r="H40" s="85">
        <v>0</v>
      </c>
      <c r="I40" s="85">
        <v>0</v>
      </c>
      <c r="J40" s="85">
        <v>0</v>
      </c>
      <c r="K40" s="85" t="s">
        <v>328</v>
      </c>
      <c r="L40" s="85" t="s">
        <v>324</v>
      </c>
      <c r="M40" s="85" t="s">
        <v>325</v>
      </c>
      <c r="N40" s="85" t="s">
        <v>323</v>
      </c>
      <c r="O40" s="85" t="s">
        <v>321</v>
      </c>
    </row>
    <row r="41" spans="1:15">
      <c r="A41" s="85">
        <v>203778</v>
      </c>
      <c r="B41" s="85" t="s">
        <v>367</v>
      </c>
      <c r="D41" s="85">
        <v>0</v>
      </c>
      <c r="E41" s="85">
        <v>0</v>
      </c>
      <c r="F41" s="85">
        <v>0</v>
      </c>
      <c r="G41" s="85">
        <v>0</v>
      </c>
      <c r="H41" s="85">
        <v>0</v>
      </c>
      <c r="I41" s="85">
        <v>0</v>
      </c>
      <c r="J41" s="85">
        <v>0</v>
      </c>
      <c r="K41" s="85" t="s">
        <v>328</v>
      </c>
      <c r="L41" s="85" t="s">
        <v>324</v>
      </c>
      <c r="M41" s="85" t="s">
        <v>326</v>
      </c>
      <c r="N41" s="85" t="s">
        <v>320</v>
      </c>
      <c r="O41" s="85" t="s">
        <v>321</v>
      </c>
    </row>
    <row r="42" spans="1:15">
      <c r="A42" s="85">
        <v>203782</v>
      </c>
      <c r="B42" s="85" t="s">
        <v>368</v>
      </c>
      <c r="D42" s="85">
        <v>0</v>
      </c>
      <c r="E42" s="85">
        <v>0</v>
      </c>
      <c r="F42" s="85">
        <v>0</v>
      </c>
      <c r="G42" s="85">
        <v>0</v>
      </c>
      <c r="H42" s="85">
        <v>0</v>
      </c>
      <c r="I42" s="85">
        <v>0</v>
      </c>
      <c r="J42" s="85">
        <v>0</v>
      </c>
      <c r="K42" s="85" t="s">
        <v>328</v>
      </c>
      <c r="L42" s="85" t="s">
        <v>324</v>
      </c>
      <c r="M42" s="85" t="s">
        <v>326</v>
      </c>
      <c r="N42" s="85" t="s">
        <v>322</v>
      </c>
      <c r="O42" s="85" t="s">
        <v>321</v>
      </c>
    </row>
    <row r="43" spans="1:15">
      <c r="A43" s="85">
        <v>203786</v>
      </c>
      <c r="B43" s="85" t="s">
        <v>369</v>
      </c>
      <c r="D43" s="85">
        <v>0</v>
      </c>
      <c r="E43" s="85">
        <v>0</v>
      </c>
      <c r="F43" s="85">
        <v>0</v>
      </c>
      <c r="G43" s="85">
        <v>0</v>
      </c>
      <c r="H43" s="85">
        <v>0</v>
      </c>
      <c r="I43" s="85">
        <v>0</v>
      </c>
      <c r="J43" s="85">
        <v>0</v>
      </c>
      <c r="K43" s="85" t="s">
        <v>328</v>
      </c>
      <c r="L43" s="85" t="s">
        <v>324</v>
      </c>
      <c r="M43" s="85" t="s">
        <v>326</v>
      </c>
      <c r="N43" s="85" t="s">
        <v>323</v>
      </c>
      <c r="O43" s="85" t="s">
        <v>321</v>
      </c>
    </row>
  </sheetData>
  <autoFilter ref="A1:O4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sanjay</cp:lastModifiedBy>
  <dcterms:created xsi:type="dcterms:W3CDTF">2023-07-04T06:39:00Z</dcterms:created>
  <dcterms:modified xsi:type="dcterms:W3CDTF">2025-03-17T03:42:19Z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
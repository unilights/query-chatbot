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5600" windowHeight="11160" tabRatio="597"/>
  </bookViews>
  <sheets>
    <sheet name="Stock Item" sheetId="23" r:id="rId1"/>
    <sheet name="Stock Item (Read Me)" sheetId="10" state="hidden" r:id="rId2"/>
    <sheet name="Backend data" sheetId="24" r:id="rId3"/>
    <sheet name="Result (2)" sheetId="26" r:id="rId4"/>
  </sheets>
  <externalReferences>
    <externalReference r:id="rId5"/>
  </externalReferences>
  <definedNames>
    <definedName name="_xlnm._FilterDatabase" localSheetId="3" hidden="1">'Result (2)'!$A$1:$O$85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3" i="23" l="1"/>
  <c r="R21" i="23"/>
  <c r="L10" i="23" l="1"/>
  <c r="M14" i="23" l="1"/>
  <c r="M13" i="23"/>
  <c r="M12" i="23"/>
  <c r="M11" i="23"/>
  <c r="M10" i="23"/>
  <c r="M9" i="23"/>
  <c r="M8" i="23"/>
  <c r="Q15" i="23"/>
  <c r="L15" i="23" s="1"/>
  <c r="M15" i="23" s="1"/>
  <c r="Q7" i="23"/>
  <c r="L7" i="23" s="1"/>
  <c r="M7" i="23" s="1"/>
  <c r="Q6" i="23"/>
  <c r="L6" i="23" s="1"/>
  <c r="M6" i="23" s="1"/>
  <c r="Q4" i="23"/>
  <c r="L4" i="23" s="1"/>
  <c r="M4" i="23" s="1"/>
  <c r="Q3" i="23"/>
  <c r="L3" i="23" s="1"/>
  <c r="M3" i="23" s="1"/>
  <c r="Q23" i="23" l="1"/>
  <c r="Q21" i="23"/>
  <c r="Q2" i="23" l="1"/>
  <c r="L2" i="23" s="1"/>
  <c r="M2" i="23" s="1"/>
  <c r="M17" i="23" s="1"/>
  <c r="M22" i="23" l="1"/>
  <c r="M19" i="23"/>
  <c r="M24" i="23"/>
  <c r="M20" i="23"/>
  <c r="M21" i="23"/>
  <c r="M23" i="23"/>
  <c r="D3" i="24"/>
  <c r="H5" i="24" l="1"/>
  <c r="G3" i="24"/>
  <c r="H3" i="24" l="1"/>
  <c r="H4" i="24" s="1"/>
  <c r="G4" i="24" s="1"/>
  <c r="F3" i="24"/>
  <c r="D4" i="24" s="1"/>
  <c r="A2" i="23" l="1"/>
  <c r="E3" i="24"/>
  <c r="H8" i="24" l="1"/>
  <c r="I3" i="24"/>
  <c r="I7" i="24" s="1"/>
  <c r="H7" i="24" l="1"/>
  <c r="H6" i="24"/>
  <c r="F16" i="23" s="1"/>
  <c r="I6" i="24"/>
  <c r="I8" i="24"/>
  <c r="C3" i="24"/>
  <c r="E7" i="24" l="1"/>
  <c r="E8" i="24"/>
  <c r="C8" i="24"/>
  <c r="C6" i="24"/>
  <c r="F2" i="23" s="1"/>
  <c r="F7" i="24"/>
  <c r="F8" i="24"/>
  <c r="C7" i="24"/>
  <c r="G6" i="24"/>
  <c r="F15" i="23" s="1"/>
  <c r="E6" i="24"/>
  <c r="F6" i="24"/>
  <c r="F4" i="23" s="1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<sst xmlns="http://schemas.openxmlformats.org/spreadsheetml/2006/main" count="1011" uniqueCount="399">
  <si>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</si>
  <si>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</si>
  <si>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</si>
  <si>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</si>
  <si>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</si>
  <si>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</si>
  <si>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</si>
  <si>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</si>
  <si>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</si>
  <si>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</si>
  <si>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</si>
  <si>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</si>
  <si>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</si>
  <si>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</si>
  <si>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</si>
  <si>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</si>
  <si>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</si>
  <si>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</si>
  <si>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</si>
  <si>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</si>
  <si>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</si>
  <si>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</si>
  <si>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</si>
  <si>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</si>
  <si>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</si>
  <si>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</si>
  <si>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</si>
  <si>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</si>
  <si>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</si>
  <si>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</si>
  <si>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</si>
  <si>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</si>
  <si>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</si>
  <si>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</si>
  <si>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</si>
  <si>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</si>
  <si>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</si>
  <si>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</si>
  <si>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</si>
  <si>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</si>
  <si>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</si>
  <si>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</si>
  <si>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</si>
  <si>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</si>
  <si>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</si>
  <si>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</si>
  <si>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</si>
  <si>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</si>
  <si>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</si>
  <si>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</si>
  <si>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</si>
  <si>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</si>
  <si>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</si>
  <si>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</si>
  <si>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</si>
  <si>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</si>
  <si>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</si>
  <si>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</si>
  <si>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</si>
  <si>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</si>
  <si>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</si>
  <si>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</si>
  <si>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</si>
  <si>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</si>
  <si>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</si>
  <si>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</si>
  <si>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</si>
  <si>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</si>
  <si>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</si>
  <si>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</si>
  <si>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</si>
  <si>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</si>
  <si>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</si>
  <si>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</si>
  <si>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</si>
  <si>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</si>
  <si>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</si>
  <si>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</si>
  <si>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</si>
  <si>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</si>
  <si>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</si>
  <si>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</si>
  <si>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</si>
  <si>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</si>
  <si>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</si>
  <si>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</si>
  <si>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</si>
  <si>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</si>
  <si>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</si>
  <si>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</si>
  <si>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</si>
  <si>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</si>
  <si>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</si>
  <si>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</si>
  <si>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</si>
  <si>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</si>
  <si>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</si>
  <si>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</si>
  <si>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</si>
  <si>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</si>
  <si>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</si>
  <si>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</si>
  <si>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</si>
  <si>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</si>
  <si>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</si>
  <si>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</si>
  <si>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</si>
  <si>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</si>
  <si>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</si>
  <si>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</si>
  <si>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</si>
  <si>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</si>
  <si>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</si>
  <si>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</si>
  <si>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</si>
  <si>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</si>
  <si>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</si>
  <si>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</si>
  <si>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</si>
  <si>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</si>
  <si>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</si>
  <si>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</si>
  <si>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</si>
  <si>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</si>
  <si>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</si>
  <si>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</si>
  <si>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</si>
  <si>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</si>
  <si>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</si>
  <si>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</si>
  <si>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</si>
  <si>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</si>
  <si>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</si>
  <si>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</si>
  <si>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</si>
  <si>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</si>
  <si>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</si>
  <si>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</si>
  <si>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</si>
  <si>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</si>
  <si>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</si>
  <si>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</si>
  <si>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</si>
  <si>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</si>
  <si>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</si>
  <si>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</si>
  <si>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</si>
  <si>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</si>
  <si>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</si>
  <si>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</si>
  <si>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</si>
  <si>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</si>
  <si>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</si>
  <si>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</si>
  <si>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</si>
  <si>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</si>
  <si>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</si>
  <si>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</si>
  <si>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</si>
  <si>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</si>
  <si>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</si>
  <si>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</si>
  <si>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</si>
  <si>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</si>
  <si>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</si>
  <si>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</si>
  <si>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</si>
  <si>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</si>
  <si>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</si>
  <si>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</si>
  <si>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</si>
  <si>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</si>
  <si>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</si>
  <si>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</si>
  <si>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</si>
  <si>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</si>
  <si>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</si>
  <si>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</si>
  <si>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</si>
  <si>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</si>
  <si>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</si>
  <si>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</si>
  <si>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</si>
  <si>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</si>
  <si>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</si>
  <si>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</si>
  <si>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</si>
  <si>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</si>
  <si>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</si>
  <si>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</si>
  <si>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</si>
  <si>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</si>
  <si>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</si>
  <si>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</si>
  <si>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</si>
  <si>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</si>
  <si>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</si>
  <si>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</si>
  <si>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</si>
  <si>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</si>
  <si>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</si>
  <si>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</si>
  <si>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</si>
  <si>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</si>
  <si>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</si>
  <si>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</si>
  <si>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</si>
  <si>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30-</t>
  </si>
  <si>
    <t>40-</t>
  </si>
  <si>
    <t>60-</t>
  </si>
  <si>
    <t>T</t>
  </si>
  <si>
    <t>-</t>
  </si>
  <si>
    <t>Downlight Series</t>
  </si>
  <si>
    <t>BOM LED PCB</t>
  </si>
  <si>
    <t xml:space="preserve">Electronics Store </t>
  </si>
  <si>
    <t>Wire Clip-M3-MS</t>
  </si>
  <si>
    <t>27-</t>
  </si>
  <si>
    <t>50-</t>
  </si>
  <si>
    <t>T-</t>
  </si>
  <si>
    <t>I-</t>
  </si>
  <si>
    <t>BT-</t>
  </si>
  <si>
    <t>ID-</t>
  </si>
  <si>
    <t>BTD-</t>
  </si>
  <si>
    <t>27T-</t>
  </si>
  <si>
    <t>30T-</t>
  </si>
  <si>
    <t>40T-</t>
  </si>
  <si>
    <t>50T-</t>
  </si>
  <si>
    <t>60T-</t>
  </si>
  <si>
    <t>30I-</t>
  </si>
  <si>
    <t>40I-</t>
  </si>
  <si>
    <t>50I-</t>
  </si>
  <si>
    <t>60I-</t>
  </si>
  <si>
    <t>27BT-</t>
  </si>
  <si>
    <t>30BT-</t>
  </si>
  <si>
    <t>40BT-</t>
  </si>
  <si>
    <t>50BT-</t>
  </si>
  <si>
    <t>60BT-</t>
  </si>
  <si>
    <t>27I-</t>
  </si>
  <si>
    <t>26BTD-</t>
  </si>
  <si>
    <t>26ID-</t>
  </si>
  <si>
    <t>White</t>
  </si>
  <si>
    <t>Medium</t>
  </si>
  <si>
    <t>4000K</t>
  </si>
  <si>
    <t>Constant Current</t>
  </si>
  <si>
    <t>08W</t>
  </si>
  <si>
    <t>NRLR08M50</t>
  </si>
  <si>
    <t>5000K</t>
  </si>
  <si>
    <t>3000K</t>
  </si>
  <si>
    <t>NRLB08M30</t>
  </si>
  <si>
    <t>Black</t>
  </si>
  <si>
    <t>NRLB08M40</t>
  </si>
  <si>
    <t>NRLB08M50</t>
  </si>
  <si>
    <t>NRLT08M30</t>
  </si>
  <si>
    <t>Two Color</t>
  </si>
  <si>
    <t>NRLT08M40</t>
  </si>
  <si>
    <t>NRLT08M50</t>
  </si>
  <si>
    <t>NRLR08M30T</t>
  </si>
  <si>
    <t>TRIAC Dimming</t>
  </si>
  <si>
    <t>NRLR08M40T</t>
  </si>
  <si>
    <t>NRLR08M50T</t>
  </si>
  <si>
    <t>NRLB08M30T</t>
  </si>
  <si>
    <t>NRLB08M40T</t>
  </si>
  <si>
    <t>NRLB08M50T</t>
  </si>
  <si>
    <t>NRLT08M30T</t>
  </si>
  <si>
    <t>NRLT08M40T</t>
  </si>
  <si>
    <t>NRLT08M50T</t>
  </si>
  <si>
    <t>NRLR08M30I</t>
  </si>
  <si>
    <t>DALI Dimming</t>
  </si>
  <si>
    <t>NRLR08M40I</t>
  </si>
  <si>
    <t>NRLR08M50I</t>
  </si>
  <si>
    <t>NRLB08M30I</t>
  </si>
  <si>
    <t>NRLB08M40I</t>
  </si>
  <si>
    <t>NRLB08M50I</t>
  </si>
  <si>
    <t>NRLT08M30I</t>
  </si>
  <si>
    <t>NRLT08M40I</t>
  </si>
  <si>
    <t>NRLT08M50I</t>
  </si>
  <si>
    <t>NRLR08M26ID</t>
  </si>
  <si>
    <t>2700K - 6000K</t>
  </si>
  <si>
    <t>DALI Dual</t>
  </si>
  <si>
    <t>NRLB08M26ID</t>
  </si>
  <si>
    <t>NRLT08M26ID</t>
  </si>
  <si>
    <t>NRLR08M30BT</t>
  </si>
  <si>
    <t>Bluetooth Dimming</t>
  </si>
  <si>
    <t>NRLR08M40BT</t>
  </si>
  <si>
    <t>NRLR08M50BT</t>
  </si>
  <si>
    <t>NRLB08M30BT</t>
  </si>
  <si>
    <t>NRLB08M40BT</t>
  </si>
  <si>
    <t>NRLB08M50BT</t>
  </si>
  <si>
    <t>NRLT08M30BT</t>
  </si>
  <si>
    <t>NRLT08M40BT</t>
  </si>
  <si>
    <t>NRLT08M50BT</t>
  </si>
  <si>
    <t>NRLR08M26BTD</t>
  </si>
  <si>
    <t>Bluetooth Dual</t>
  </si>
  <si>
    <t>NRLB08M26BTD</t>
  </si>
  <si>
    <t>NRLT08M26BTD</t>
  </si>
  <si>
    <t>Screw No. 4X6.5mm Self Pan Combi. PH - SS</t>
  </si>
  <si>
    <t>Screw M3X6mm CSK PH - SS</t>
  </si>
  <si>
    <t>R08</t>
  </si>
  <si>
    <t>HS 50X24.5mm 8W DR-NR-SR</t>
  </si>
  <si>
    <t>HS-50X24.5mm(SR-DR-NR-12W)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</si>
  <si>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</si>
  <si>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</si>
  <si>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</si>
  <si>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</si>
  <si>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</si>
  <si>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</si>
  <si>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</si>
  <si>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</si>
  <si>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</si>
  <si>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</si>
  <si>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Trim</t>
  </si>
  <si>
    <t>Beam Angle</t>
  </si>
  <si>
    <t>Color Temperature</t>
  </si>
  <si>
    <t>Driving System</t>
  </si>
  <si>
    <t>Watt</t>
  </si>
  <si>
    <t>NRLR08M30</t>
  </si>
  <si>
    <t>NRLR08N30</t>
  </si>
  <si>
    <t>Narrow</t>
  </si>
  <si>
    <t>NRLR08M40</t>
  </si>
  <si>
    <t>NRLR08N40</t>
  </si>
  <si>
    <t>NRLR08N50</t>
  </si>
  <si>
    <t>NRLB08N30</t>
  </si>
  <si>
    <t>NRLB08N40</t>
  </si>
  <si>
    <t>NRLB08N50</t>
  </si>
  <si>
    <t>NRLT08N30</t>
  </si>
  <si>
    <t>NRLT08N40</t>
  </si>
  <si>
    <t>NRLT08N50</t>
  </si>
  <si>
    <t>NRLR08N30T</t>
  </si>
  <si>
    <t>NRLR08N40T</t>
  </si>
  <si>
    <t>NRLR08N50T</t>
  </si>
  <si>
    <t>NRLB08N30T</t>
  </si>
  <si>
    <t>NRLB08N40T</t>
  </si>
  <si>
    <t>NRLB08N50T</t>
  </si>
  <si>
    <t>NRLT08N30T</t>
  </si>
  <si>
    <t>NRLT08N40T</t>
  </si>
  <si>
    <t>NRLT08N50T</t>
  </si>
  <si>
    <t>NRLR08N30I</t>
  </si>
  <si>
    <t>NRLR08N40I</t>
  </si>
  <si>
    <t>NRLR08N50I</t>
  </si>
  <si>
    <t>NRLB08N30I</t>
  </si>
  <si>
    <t>NRLB08N40I</t>
  </si>
  <si>
    <t>NRLB08N50I</t>
  </si>
  <si>
    <t>NRLT08N30I</t>
  </si>
  <si>
    <t>NRLT08N40I</t>
  </si>
  <si>
    <t>NRLT08N50I</t>
  </si>
  <si>
    <t>NRLR08N26ID</t>
  </si>
  <si>
    <t>NRLB08N26ID</t>
  </si>
  <si>
    <t>NRLT08N26ID</t>
  </si>
  <si>
    <t>NRLR08N30BT</t>
  </si>
  <si>
    <t>NRLR08N40BT</t>
  </si>
  <si>
    <t>NRLR08N50BT</t>
  </si>
  <si>
    <t>NRLB08N30BT</t>
  </si>
  <si>
    <t>NRLB08N40BT</t>
  </si>
  <si>
    <t>NRLB08N50BT</t>
  </si>
  <si>
    <t>NRLT08N30BT</t>
  </si>
  <si>
    <t>NRLT08N40BT</t>
  </si>
  <si>
    <t>NRLT08N50BT</t>
  </si>
  <si>
    <t>NRLR08N26BTD</t>
  </si>
  <si>
    <t>NRLB08N26BTD</t>
  </si>
  <si>
    <t>NRLT08N26BTD</t>
  </si>
  <si>
    <t>M</t>
  </si>
  <si>
    <t>N</t>
  </si>
  <si>
    <t>Rivet 1/8" x 1/4" MS (Big)</t>
  </si>
  <si>
    <t>Lens GLC-O-50 L-13.4 H-13.4  24° PC ( Zhenglian)</t>
  </si>
  <si>
    <t>Lens GLC-O-50 L-13.4 H-13.4   15° PC ( Zhenglian)</t>
  </si>
  <si>
    <t>PS 8W 200MA 36V LPF (PCB MT43-8-12W-V2 LPF)</t>
  </si>
  <si>
    <t>PS 8W 200MA 36V Triac Dimming</t>
  </si>
  <si>
    <t>Dali Driver SC-10W PE19DA4240  (AI-Dimming)-25-40V</t>
  </si>
  <si>
    <t>PS CCT 8W 170MA 36V BT-SC (PCB LT 7-20W-CCT-V 1.1 REV-1)</t>
  </si>
  <si>
    <t>Dali Driver DC-10W PE694R4230(AI-Dimming)-25-40V</t>
  </si>
  <si>
    <t>PS CCT 8W 170MA 36V BT-DC (PCB LT 7-20W-CCT-V 1.1 REV-1)</t>
  </si>
  <si>
    <t>COB 30W 2700K 12LED 34-38V 890mA 19x19mm CRI-90</t>
  </si>
  <si>
    <t>COB 30-36W 3000K 12LED 34-38V 890mA 19x19mm CRI-90</t>
  </si>
  <si>
    <t>COB 30-36W 4000K 12LED 34-38V 890mA 19x19mm CRI-90</t>
  </si>
  <si>
    <t>COB 30-36W 5000K 12LED 34-38V 890mA 19x19mm CRI-90</t>
  </si>
  <si>
    <t>COB 30-36W 6000K 12LED 34-38V 890mA 19x19mm CRI-90</t>
  </si>
  <si>
    <t>LED COB Dual Colour 30W 2700K-5000k</t>
  </si>
  <si>
    <t>Trim-O-68 I-51 H-63mm White NRRR8-18W</t>
  </si>
  <si>
    <t>Trim-O-68 I-51 H-63mm Black NRRR8-18W</t>
  </si>
  <si>
    <t>Trim-O-68 I-51 H-63mm Inner Black NRRR8-18W</t>
  </si>
  <si>
    <t>Conn. 2Pin Ass. Wire Black Male (Small)</t>
  </si>
  <si>
    <t>Locking Spring  L-57 W-10mm T-0.2mm DR/NR-5/18W</t>
  </si>
  <si>
    <t>PBX-COB 8-15W</t>
  </si>
  <si>
    <t>SBX-COB 8-18W (12Nos)</t>
  </si>
  <si>
    <t>Sleeve M4mm Fiber Glass White</t>
  </si>
  <si>
    <t>COB Holder OD-35 ID-17 H-3.5mm 8-18W</t>
  </si>
  <si>
    <t>Unit Price</t>
  </si>
  <si>
    <t>USD</t>
  </si>
  <si>
    <t>INS&amp;FRED</t>
  </si>
  <si>
    <t>BCD</t>
  </si>
  <si>
    <t>Total Cost</t>
  </si>
  <si>
    <t>PS Rate Mention with Total Amt</t>
  </si>
  <si>
    <t>NRLR08-CC</t>
  </si>
  <si>
    <t>NRLR08 Track Dimming</t>
  </si>
  <si>
    <t>NRLR08 Dali Single Color</t>
  </si>
  <si>
    <t>NRLR08 BT Single Color</t>
  </si>
  <si>
    <t>NRLR08  Dali Dual Color</t>
  </si>
  <si>
    <t>NRLR08  BT Dual Color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</si>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</sst>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&quot;$&quot;#,##0.0000"/>
    <numFmt numFmtId="165" formatCode="_ [$Rs.-4009]\ * #,##0.00_ ;_ [$Rs.-4009]\ * \-#,##0.00_ ;_ [$Rs.-4009]\ * &quot;-&quot;??_ ;_ @_ "/>
    <numFmt numFmtId="166" formatCode="_-[$$-409]* #,##0.00_ ;_-[$$-409]* \-#,##0.00\ ;_-[$$-409]* &quot;-&quot;??_ ;_-@_ "/>
    <numFmt numFmtId="167" formatCode="_-[$Rs-420]* #,##0.00_-;_-[$Rs-420]* #,##0.00\-;_-[$Rs-420]* &quot;-&quot;??_-;_-@_-"/>
    <numFmt numFmtId="168" formatCode="&quot;$&quot;#,##0.000"/>
    <numFmt numFmtId="169" formatCode="_-[$$-409]* #,##0.000_ ;_-[$$-409]* \-#,##0.000\ ;_-[$$-409]* &quot;-&quot;??_ ;_-@_ "/>
    <numFmt numFmtId="170" formatCode="_-[$$-409]* #,##0.0000_ ;_-[$$-409]* \-#,##0.0000\ ;_-[$$-409]* &quot;-&quot;??_ ;_-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facad-Regula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7" fillId="0" borderId="0" applyNumberFormat="0" applyFill="0" applyBorder="0" applyAlignment="0" applyProtection="0"/>
    <xf numFmtId="0" fontId="4" fillId="0" borderId="0"/>
    <xf numFmtId="0" fontId="23" fillId="0" borderId="0"/>
  </cellStyleXfs>
  <cellXfs count="138">
    <xf numFmtId="0" fontId="0" fillId="0" borderId="0" xfId="0"/>
    <xf numFmtId="0" fontId="7" fillId="0" borderId="0" xfId="0" applyFont="1"/>
    <xf numFmtId="0" fontId="8" fillId="2" borderId="0" xfId="0" applyFont="1" applyFill="1"/>
    <xf numFmtId="0" fontId="9" fillId="3" borderId="1" xfId="0" applyFont="1" applyFill="1" applyBorder="1" applyAlignment="1">
      <alignment horizontal="center" wrapText="1"/>
    </xf>
    <xf numFmtId="0" fontId="10" fillId="2" borderId="0" xfId="0" applyFont="1" applyFill="1"/>
    <xf numFmtId="0" fontId="0" fillId="2" borderId="0" xfId="0" applyFill="1"/>
    <xf numFmtId="0" fontId="9" fillId="4" borderId="1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wrapText="1"/>
    </xf>
    <xf numFmtId="0" fontId="11" fillId="2" borderId="4" xfId="0" applyFont="1" applyFill="1" applyBorder="1"/>
    <xf numFmtId="0" fontId="7" fillId="2" borderId="5" xfId="0" applyFont="1" applyFill="1" applyBorder="1"/>
    <xf numFmtId="0" fontId="9" fillId="0" borderId="6" xfId="0" applyFont="1" applyBorder="1" applyAlignment="1">
      <alignment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/>
    <xf numFmtId="0" fontId="12" fillId="2" borderId="7" xfId="0" applyFont="1" applyFill="1" applyBorder="1" applyAlignment="1">
      <alignment horizontal="left" indent="2"/>
    </xf>
    <xf numFmtId="0" fontId="7" fillId="2" borderId="0" xfId="0" applyFont="1" applyFill="1" applyAlignment="1">
      <alignment horizontal="left" indent="2"/>
    </xf>
    <xf numFmtId="0" fontId="7" fillId="0" borderId="1" xfId="0" applyFont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indent="2"/>
    </xf>
    <xf numFmtId="0" fontId="7" fillId="2" borderId="7" xfId="0" applyFont="1" applyFill="1" applyBorder="1" applyAlignment="1">
      <alignment horizontal="left" indent="2"/>
    </xf>
    <xf numFmtId="0" fontId="13" fillId="2" borderId="7" xfId="0" applyFont="1" applyFill="1" applyBorder="1" applyAlignment="1">
      <alignment horizontal="left" indent="2"/>
    </xf>
    <xf numFmtId="0" fontId="13" fillId="2" borderId="0" xfId="0" applyFont="1" applyFill="1" applyAlignment="1">
      <alignment horizontal="left" indent="2"/>
    </xf>
    <xf numFmtId="0" fontId="13" fillId="2" borderId="7" xfId="0" applyFont="1" applyFill="1" applyBorder="1" applyAlignment="1">
      <alignment horizontal="left" indent="3"/>
    </xf>
    <xf numFmtId="0" fontId="14" fillId="2" borderId="7" xfId="0" applyFont="1" applyFill="1" applyBorder="1" applyAlignment="1">
      <alignment horizontal="left" indent="3"/>
    </xf>
    <xf numFmtId="0" fontId="15" fillId="2" borderId="0" xfId="0" applyFont="1" applyFill="1" applyAlignment="1">
      <alignment horizontal="left" indent="3"/>
    </xf>
    <xf numFmtId="0" fontId="16" fillId="0" borderId="3" xfId="0" applyFont="1" applyBorder="1" applyAlignment="1">
      <alignment wrapText="1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12" fillId="2" borderId="0" xfId="0" applyFont="1" applyFill="1"/>
    <xf numFmtId="0" fontId="9" fillId="2" borderId="0" xfId="0" applyFont="1" applyFill="1"/>
    <xf numFmtId="0" fontId="9" fillId="4" borderId="2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left" indent="1"/>
    </xf>
    <xf numFmtId="0" fontId="15" fillId="2" borderId="0" xfId="0" applyFont="1" applyFill="1" applyAlignment="1">
      <alignment horizontal="left" indent="1"/>
    </xf>
    <xf numFmtId="0" fontId="7" fillId="0" borderId="3" xfId="0" applyFont="1" applyBorder="1" applyAlignment="1">
      <alignment wrapText="1"/>
    </xf>
    <xf numFmtId="0" fontId="11" fillId="2" borderId="5" xfId="0" applyFont="1" applyFill="1" applyBorder="1"/>
    <xf numFmtId="0" fontId="17" fillId="2" borderId="0" xfId="1" applyFill="1" applyBorder="1" applyAlignment="1"/>
    <xf numFmtId="0" fontId="17" fillId="2" borderId="0" xfId="1" applyFill="1" applyBorder="1"/>
    <xf numFmtId="0" fontId="11" fillId="2" borderId="10" xfId="0" applyFont="1" applyFill="1" applyBorder="1"/>
    <xf numFmtId="0" fontId="7" fillId="2" borderId="11" xfId="0" applyFont="1" applyFill="1" applyBorder="1" applyAlignment="1">
      <alignment horizontal="left" indent="2"/>
    </xf>
    <xf numFmtId="0" fontId="13" fillId="2" borderId="11" xfId="0" applyFont="1" applyFill="1" applyBorder="1" applyAlignment="1">
      <alignment horizontal="left" indent="2"/>
    </xf>
    <xf numFmtId="0" fontId="7" fillId="2" borderId="11" xfId="0" applyFont="1" applyFill="1" applyBorder="1"/>
    <xf numFmtId="0" fontId="7" fillId="2" borderId="12" xfId="0" applyFont="1" applyFill="1" applyBorder="1"/>
    <xf numFmtId="0" fontId="8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8" fillId="5" borderId="1" xfId="0" applyFont="1" applyFill="1" applyBorder="1" applyAlignment="1">
      <alignment horizontal="center" vertical="center"/>
    </xf>
    <xf numFmtId="0" fontId="0" fillId="0" borderId="1" xfId="0" applyBorder="1"/>
    <xf numFmtId="0" fontId="20" fillId="6" borderId="1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20" fillId="6" borderId="1" xfId="0" applyFont="1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6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4" fillId="0" borderId="1" xfId="0" applyFont="1" applyBorder="1"/>
    <xf numFmtId="0" fontId="4" fillId="7" borderId="1" xfId="0" applyFont="1" applyFill="1" applyBorder="1"/>
    <xf numFmtId="0" fontId="4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10" borderId="1" xfId="0" applyFill="1" applyBorder="1"/>
    <xf numFmtId="0" fontId="21" fillId="0" borderId="0" xfId="0" applyFont="1"/>
    <xf numFmtId="0" fontId="0" fillId="0" borderId="1" xfId="0" applyBorder="1" applyAlignment="1">
      <alignment horizontal="center"/>
    </xf>
    <xf numFmtId="0" fontId="0" fillId="9" borderId="1" xfId="0" applyFill="1" applyBorder="1"/>
    <xf numFmtId="0" fontId="0" fillId="12" borderId="1" xfId="0" applyFill="1" applyBorder="1"/>
    <xf numFmtId="0" fontId="4" fillId="0" borderId="6" xfId="2" applyBorder="1"/>
    <xf numFmtId="0" fontId="4" fillId="0" borderId="1" xfId="2" applyBorder="1"/>
    <xf numFmtId="49" fontId="4" fillId="0" borderId="16" xfId="2" applyNumberFormat="1" applyBorder="1"/>
    <xf numFmtId="49" fontId="4" fillId="0" borderId="14" xfId="2" applyNumberFormat="1" applyBorder="1"/>
    <xf numFmtId="0" fontId="4" fillId="0" borderId="14" xfId="2" applyBorder="1"/>
    <xf numFmtId="0" fontId="4" fillId="0" borderId="0" xfId="2"/>
    <xf numFmtId="0" fontId="4" fillId="0" borderId="2" xfId="2" applyBorder="1"/>
    <xf numFmtId="0" fontId="0" fillId="0" borderId="15" xfId="0" applyFill="1" applyBorder="1" applyAlignment="1">
      <alignment horizontal="center"/>
    </xf>
    <xf numFmtId="0" fontId="4" fillId="11" borderId="1" xfId="0" applyFont="1" applyFill="1" applyBorder="1"/>
    <xf numFmtId="0" fontId="22" fillId="10" borderId="0" xfId="0" applyFont="1" applyFill="1" applyAlignment="1">
      <alignment horizontal="left" vertical="center" wrapText="1"/>
    </xf>
    <xf numFmtId="0" fontId="23" fillId="0" borderId="0" xfId="3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4" fillId="10" borderId="1" xfId="0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0" fillId="0" borderId="1" xfId="0" applyFont="1" applyBorder="1"/>
    <xf numFmtId="0" fontId="0" fillId="2" borderId="1" xfId="0" applyFill="1" applyBorder="1"/>
    <xf numFmtId="0" fontId="0" fillId="12" borderId="1" xfId="0" applyFont="1" applyFill="1" applyBorder="1"/>
    <xf numFmtId="0" fontId="2" fillId="0" borderId="1" xfId="0" applyFont="1" applyBorder="1"/>
    <xf numFmtId="0" fontId="0" fillId="6" borderId="1" xfId="0" applyFill="1" applyBorder="1"/>
    <xf numFmtId="0" fontId="24" fillId="0" borderId="1" xfId="0" applyNumberFormat="1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" fillId="0" borderId="0" xfId="0" applyFont="1"/>
    <xf numFmtId="167" fontId="24" fillId="8" borderId="1" xfId="0" applyNumberFormat="1" applyFont="1" applyFill="1" applyBorder="1" applyAlignment="1">
      <alignment horizontal="center" vertical="center"/>
    </xf>
    <xf numFmtId="168" fontId="25" fillId="0" borderId="0" xfId="0" applyNumberFormat="1" applyFont="1" applyBorder="1" applyAlignment="1">
      <alignment horizontal="center" vertical="center"/>
    </xf>
    <xf numFmtId="9" fontId="25" fillId="0" borderId="0" xfId="0" applyNumberFormat="1" applyFont="1" applyBorder="1" applyAlignment="1">
      <alignment horizontal="center" vertical="center"/>
    </xf>
    <xf numFmtId="164" fontId="25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10" fillId="8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165" fontId="26" fillId="0" borderId="1" xfId="0" applyNumberFormat="1" applyFont="1" applyBorder="1" applyAlignment="1">
      <alignment horizontal="center" vertical="center"/>
    </xf>
    <xf numFmtId="9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6" fontId="26" fillId="0" borderId="0" xfId="0" applyNumberFormat="1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Font="1"/>
    <xf numFmtId="0" fontId="26" fillId="0" borderId="0" xfId="0" applyFont="1" applyBorder="1"/>
    <xf numFmtId="165" fontId="27" fillId="6" borderId="17" xfId="0" applyNumberFormat="1" applyFont="1" applyFill="1" applyBorder="1" applyAlignment="1">
      <alignment horizontal="center" vertical="center"/>
    </xf>
    <xf numFmtId="169" fontId="26" fillId="0" borderId="1" xfId="0" applyNumberFormat="1" applyFont="1" applyBorder="1" applyAlignment="1">
      <alignment horizontal="center" vertical="center"/>
    </xf>
    <xf numFmtId="9" fontId="26" fillId="0" borderId="18" xfId="0" applyNumberFormat="1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9" fontId="26" fillId="0" borderId="0" xfId="0" applyNumberFormat="1" applyFont="1" applyBorder="1" applyAlignment="1">
      <alignment horizontal="center" vertical="center"/>
    </xf>
    <xf numFmtId="170" fontId="26" fillId="0" borderId="19" xfId="0" applyNumberFormat="1" applyFont="1" applyBorder="1" applyAlignment="1">
      <alignment horizontal="center" vertical="center"/>
    </xf>
    <xf numFmtId="169" fontId="26" fillId="0" borderId="14" xfId="0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165" fontId="26" fillId="0" borderId="18" xfId="0" applyNumberFormat="1" applyFont="1" applyBorder="1" applyAlignment="1">
      <alignment horizontal="center" vertical="center"/>
    </xf>
    <xf numFmtId="165" fontId="26" fillId="0" borderId="6" xfId="0" applyNumberFormat="1" applyFont="1" applyBorder="1" applyAlignment="1">
      <alignment horizontal="center" vertical="center"/>
    </xf>
    <xf numFmtId="169" fontId="26" fillId="0" borderId="18" xfId="0" applyNumberFormat="1" applyFont="1" applyBorder="1" applyAlignment="1">
      <alignment horizontal="center" vertical="center"/>
    </xf>
    <xf numFmtId="169" fontId="26" fillId="0" borderId="6" xfId="0" applyNumberFormat="1" applyFont="1" applyBorder="1" applyAlignment="1">
      <alignment horizontal="center" vertical="center"/>
    </xf>
    <xf numFmtId="9" fontId="26" fillId="0" borderId="18" xfId="0" applyNumberFormat="1" applyFont="1" applyBorder="1" applyAlignment="1">
      <alignment horizontal="center" vertical="center"/>
    </xf>
    <xf numFmtId="9" fontId="26" fillId="0" borderId="6" xfId="0" applyNumberFormat="1" applyFont="1" applyBorder="1" applyAlignment="1">
      <alignment horizontal="center" vertical="center"/>
    </xf>
    <xf numFmtId="0" fontId="10" fillId="8" borderId="2" xfId="0" applyFont="1" applyFill="1" applyBorder="1" applyAlignment="1">
      <alignment horizontal="right" vertical="center"/>
    </xf>
    <xf numFmtId="0" fontId="10" fillId="8" borderId="14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left" wrapText="1"/>
    </xf>
    <xf numFmtId="0" fontId="13" fillId="2" borderId="7" xfId="0" applyFont="1" applyFill="1" applyBorder="1" applyAlignment="1">
      <alignment horizontal="left" wrapText="1" indent="2"/>
    </xf>
    <xf numFmtId="0" fontId="13" fillId="2" borderId="0" xfId="0" applyFont="1" applyFill="1" applyAlignment="1">
      <alignment horizontal="left" wrapText="1" indent="2"/>
    </xf>
    <xf numFmtId="0" fontId="13" fillId="2" borderId="11" xfId="0" applyFont="1" applyFill="1" applyBorder="1" applyAlignment="1">
      <alignment horizontal="left" wrapText="1" indent="2"/>
    </xf>
    <xf numFmtId="0" fontId="20" fillId="0" borderId="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Hyperlink 2" xfId="1"/>
    <cellStyle name="Normal" xfId="0" builtinId="0"/>
    <cellStyle name="Normal 2" xfId="2"/>
    <cellStyle name="Normal 3" xfId="3"/>
  </cellStyles>
  <dxfs count="30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jesh-pc\d\SURYA-%20BOM\1)%20OK%20BOMs\7)%20NRRR\1)%20NRRR08W-F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tock Item (Read Me)"/>
      <sheetName val="Backend data"/>
      <sheetName val="Resul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topLeftCell="F1" zoomScale="96" zoomScaleNormal="96" workbookViewId="0">
      <selection activeCell="L14" sqref="L14"/>
    </sheetView>
  </sheetViews>
  <sheetFormatPr defaultColWidth="9" defaultRowHeight="15"/>
  <cols>
    <col min="1" max="1" width="14" customWidth="1"/>
    <col min="2" max="2" width="19.140625" customWidth="1"/>
    <col min="3" max="3" width="6.7109375" customWidth="1"/>
    <col min="4" max="4" width="16.7109375" customWidth="1"/>
    <col min="5" max="5" width="20.42578125" customWidth="1"/>
    <col min="6" max="6" width="57" customWidth="1"/>
    <col min="7" max="7" width="28" customWidth="1"/>
    <col min="8" max="8" width="27.7109375" hidden="1" customWidth="1"/>
    <col min="9" max="9" width="31.85546875" hidden="1" customWidth="1"/>
    <col min="10" max="10" width="27.7109375" hidden="1" customWidth="1"/>
    <col min="11" max="11" width="27.7109375" customWidth="1"/>
    <col min="12" max="12" width="13.140625" customWidth="1"/>
    <col min="13" max="13" width="13.5703125" customWidth="1"/>
    <col min="15" max="15" width="11" customWidth="1"/>
    <col min="17" max="17" width="10.140625" customWidth="1"/>
  </cols>
  <sheetData>
    <row r="1" spans="1:18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91" t="s">
        <v>386</v>
      </c>
      <c r="M1" s="91" t="s">
        <v>194</v>
      </c>
      <c r="N1" s="92" t="s">
        <v>387</v>
      </c>
      <c r="O1" s="93" t="s">
        <v>388</v>
      </c>
      <c r="P1" s="94" t="s">
        <v>389</v>
      </c>
      <c r="Q1" s="92" t="s">
        <v>390</v>
      </c>
    </row>
    <row r="2" spans="1:18">
      <c r="A2" s="49" t="str">
        <f>$D$2</f>
        <v>NRLR08M30</v>
      </c>
      <c r="B2" s="49" t="s">
        <v>212</v>
      </c>
      <c r="C2" s="49" t="s">
        <v>190</v>
      </c>
      <c r="D2" s="79" t="s">
        <v>315</v>
      </c>
      <c r="E2" s="49">
        <v>1</v>
      </c>
      <c r="F2" s="69" t="str">
        <f>'Backend data'!C6</f>
        <v>Trim-O-68 I-51 H-63mm White NRRR8-18W</v>
      </c>
      <c r="G2" s="67">
        <v>1</v>
      </c>
      <c r="H2" s="49" t="s">
        <v>189</v>
      </c>
      <c r="I2" s="49" t="s">
        <v>9</v>
      </c>
      <c r="J2" s="49"/>
      <c r="K2" s="49"/>
      <c r="L2" s="103">
        <f>Q2*87</f>
        <v>55.984499999999997</v>
      </c>
      <c r="M2" s="103">
        <f>G2*L2</f>
        <v>55.984499999999997</v>
      </c>
      <c r="N2" s="111">
        <v>0.42899999999999999</v>
      </c>
      <c r="O2" s="104">
        <v>0.5</v>
      </c>
      <c r="P2" s="105"/>
      <c r="Q2" s="105">
        <f>N2+(N2*(O2+P2))</f>
        <v>0.64349999999999996</v>
      </c>
    </row>
    <row r="3" spans="1:18">
      <c r="A3" s="49"/>
      <c r="B3" s="49"/>
      <c r="C3" s="49"/>
      <c r="D3" s="49"/>
      <c r="E3" s="49"/>
      <c r="F3" s="89" t="s">
        <v>299</v>
      </c>
      <c r="G3" s="67">
        <v>1</v>
      </c>
      <c r="H3" s="49" t="s">
        <v>189</v>
      </c>
      <c r="I3" s="49" t="s">
        <v>9</v>
      </c>
      <c r="J3" s="49"/>
      <c r="K3" s="49"/>
      <c r="L3" s="103">
        <f t="shared" ref="L3:L15" si="0">Q3*87</f>
        <v>57.289499999999997</v>
      </c>
      <c r="M3" s="103">
        <f t="shared" ref="M3:M15" si="1">G3*L3</f>
        <v>57.289499999999997</v>
      </c>
      <c r="N3" s="111">
        <v>0.439</v>
      </c>
      <c r="O3" s="104">
        <v>0.5</v>
      </c>
      <c r="P3" s="105"/>
      <c r="Q3" s="105">
        <f t="shared" ref="Q3:Q15" si="2">N3+(N3*(O3+P3))</f>
        <v>0.65849999999999997</v>
      </c>
    </row>
    <row r="4" spans="1:18">
      <c r="A4" s="49"/>
      <c r="B4" s="49"/>
      <c r="C4" s="49"/>
      <c r="D4" s="49"/>
      <c r="E4" s="49"/>
      <c r="F4" s="83" t="str">
        <f>'Backend data'!F6</f>
        <v>Lens GLC-O-50 L-13.4 H-13.4  24° PC ( Zhenglian)</v>
      </c>
      <c r="G4" s="67">
        <v>1</v>
      </c>
      <c r="H4" s="49" t="s">
        <v>189</v>
      </c>
      <c r="I4" s="49" t="s">
        <v>9</v>
      </c>
      <c r="J4" s="49"/>
      <c r="K4" s="49"/>
      <c r="L4" s="121">
        <f t="shared" si="0"/>
        <v>25.839000000000002</v>
      </c>
      <c r="M4" s="121">
        <f t="shared" si="1"/>
        <v>25.839000000000002</v>
      </c>
      <c r="N4" s="123">
        <v>0.19800000000000001</v>
      </c>
      <c r="O4" s="125">
        <v>0.5</v>
      </c>
      <c r="P4" s="119"/>
      <c r="Q4" s="119">
        <f t="shared" si="2"/>
        <v>0.29700000000000004</v>
      </c>
    </row>
    <row r="5" spans="1:18">
      <c r="A5" s="49"/>
      <c r="B5" s="49"/>
      <c r="C5" s="49"/>
      <c r="D5" s="49"/>
      <c r="E5" s="49"/>
      <c r="F5" s="90" t="s">
        <v>385</v>
      </c>
      <c r="G5" s="102">
        <v>1</v>
      </c>
      <c r="H5" s="49" t="s">
        <v>189</v>
      </c>
      <c r="I5" s="49" t="s">
        <v>9</v>
      </c>
      <c r="J5" s="49"/>
      <c r="K5" s="49"/>
      <c r="L5" s="122"/>
      <c r="M5" s="122"/>
      <c r="N5" s="124"/>
      <c r="O5" s="126"/>
      <c r="P5" s="120"/>
      <c r="Q5" s="120"/>
    </row>
    <row r="6" spans="1:18">
      <c r="A6" s="49"/>
      <c r="B6" s="49"/>
      <c r="C6" s="49"/>
      <c r="D6" s="49"/>
      <c r="E6" s="49"/>
      <c r="F6" s="85" t="s">
        <v>381</v>
      </c>
      <c r="G6" s="67">
        <v>1</v>
      </c>
      <c r="H6" s="49" t="s">
        <v>189</v>
      </c>
      <c r="I6" s="49" t="s">
        <v>9</v>
      </c>
      <c r="J6" s="49"/>
      <c r="K6" s="49"/>
      <c r="L6" s="103">
        <f t="shared" si="0"/>
        <v>2.2185000000000001</v>
      </c>
      <c r="M6" s="103">
        <f t="shared" si="1"/>
        <v>2.2185000000000001</v>
      </c>
      <c r="N6" s="115">
        <v>1.7000000000000001E-2</v>
      </c>
      <c r="O6" s="112">
        <v>0.5</v>
      </c>
      <c r="P6" s="113"/>
      <c r="Q6" s="113">
        <f t="shared" si="2"/>
        <v>2.5500000000000002E-2</v>
      </c>
    </row>
    <row r="7" spans="1:18">
      <c r="A7" s="49"/>
      <c r="B7" s="49"/>
      <c r="C7" s="49"/>
      <c r="D7" s="49"/>
      <c r="E7" s="49"/>
      <c r="F7" s="86" t="s">
        <v>380</v>
      </c>
      <c r="G7" s="67">
        <v>1</v>
      </c>
      <c r="H7" s="49" t="s">
        <v>189</v>
      </c>
      <c r="I7" s="49" t="s">
        <v>9</v>
      </c>
      <c r="J7" s="49"/>
      <c r="K7" s="49"/>
      <c r="L7" s="103">
        <f t="shared" si="0"/>
        <v>3.915</v>
      </c>
      <c r="M7" s="103">
        <f t="shared" si="1"/>
        <v>3.915</v>
      </c>
      <c r="N7" s="116">
        <v>0.03</v>
      </c>
      <c r="O7" s="104">
        <v>0.5</v>
      </c>
      <c r="P7" s="105"/>
      <c r="Q7" s="105">
        <f t="shared" si="2"/>
        <v>4.4999999999999998E-2</v>
      </c>
    </row>
    <row r="8" spans="1:18">
      <c r="A8" s="49"/>
      <c r="B8" s="49"/>
      <c r="C8" s="49"/>
      <c r="D8" s="49"/>
      <c r="E8" s="49"/>
      <c r="F8" s="68" t="s">
        <v>382</v>
      </c>
      <c r="G8" s="67">
        <v>1</v>
      </c>
      <c r="H8" s="49" t="s">
        <v>189</v>
      </c>
      <c r="I8" s="49" t="s">
        <v>9</v>
      </c>
      <c r="J8" s="49"/>
      <c r="K8" s="49"/>
      <c r="L8" s="103">
        <v>8.5</v>
      </c>
      <c r="M8" s="103">
        <f t="shared" si="1"/>
        <v>8.5</v>
      </c>
      <c r="N8" s="106"/>
      <c r="O8" s="114"/>
      <c r="P8" s="107"/>
      <c r="Q8" s="107"/>
    </row>
    <row r="9" spans="1:18">
      <c r="A9" s="49"/>
      <c r="B9" s="49"/>
      <c r="C9" s="49"/>
      <c r="D9" s="49"/>
      <c r="E9" s="49"/>
      <c r="F9" s="68" t="s">
        <v>383</v>
      </c>
      <c r="G9" s="77">
        <v>0.08</v>
      </c>
      <c r="H9" s="49" t="s">
        <v>189</v>
      </c>
      <c r="I9" s="49" t="s">
        <v>9</v>
      </c>
      <c r="J9" s="49"/>
      <c r="K9" s="49"/>
      <c r="L9" s="103">
        <v>27</v>
      </c>
      <c r="M9" s="103">
        <f t="shared" si="1"/>
        <v>2.16</v>
      </c>
      <c r="N9" s="106"/>
      <c r="O9" s="114"/>
      <c r="P9" s="107"/>
      <c r="Q9" s="107"/>
    </row>
    <row r="10" spans="1:18">
      <c r="A10" s="49"/>
      <c r="B10" s="49"/>
      <c r="C10" s="49"/>
      <c r="D10" s="49"/>
      <c r="E10" s="49"/>
      <c r="F10" s="49" t="s">
        <v>384</v>
      </c>
      <c r="G10" s="67">
        <v>0.12</v>
      </c>
      <c r="H10" s="49" t="s">
        <v>189</v>
      </c>
      <c r="I10" s="49" t="s">
        <v>9</v>
      </c>
      <c r="J10" s="49"/>
      <c r="K10" s="49"/>
      <c r="L10" s="103">
        <f>5.7/1000*120</f>
        <v>0.68400000000000005</v>
      </c>
      <c r="M10" s="103">
        <f t="shared" si="1"/>
        <v>8.208E-2</v>
      </c>
      <c r="N10" s="106"/>
      <c r="O10" s="114"/>
      <c r="P10" s="107"/>
      <c r="Q10" s="107"/>
    </row>
    <row r="11" spans="1:18">
      <c r="A11" s="49"/>
      <c r="B11" s="49"/>
      <c r="C11" s="49"/>
      <c r="D11" s="49"/>
      <c r="E11" s="49"/>
      <c r="F11" s="49" t="s">
        <v>215</v>
      </c>
      <c r="G11" s="67">
        <v>1</v>
      </c>
      <c r="H11" s="49" t="s">
        <v>189</v>
      </c>
      <c r="I11" s="49" t="s">
        <v>9</v>
      </c>
      <c r="J11" s="49"/>
      <c r="K11" s="49"/>
      <c r="L11" s="103">
        <v>0.6</v>
      </c>
      <c r="M11" s="103">
        <f t="shared" si="1"/>
        <v>0.6</v>
      </c>
      <c r="N11" s="106"/>
      <c r="O11" s="114"/>
      <c r="P11" s="107"/>
      <c r="Q11" s="107"/>
    </row>
    <row r="12" spans="1:18">
      <c r="A12" s="49"/>
      <c r="B12" s="49"/>
      <c r="C12" s="49"/>
      <c r="D12" s="49"/>
      <c r="E12" s="49"/>
      <c r="F12" s="49" t="s">
        <v>295</v>
      </c>
      <c r="G12" s="67">
        <v>1</v>
      </c>
      <c r="H12" s="49" t="s">
        <v>189</v>
      </c>
      <c r="I12" s="49" t="s">
        <v>9</v>
      </c>
      <c r="J12" s="49"/>
      <c r="K12" s="49"/>
      <c r="L12" s="103">
        <v>0.21</v>
      </c>
      <c r="M12" s="103">
        <f t="shared" si="1"/>
        <v>0.21</v>
      </c>
      <c r="N12" s="106"/>
      <c r="O12" s="114"/>
      <c r="P12" s="107"/>
      <c r="Q12" s="107"/>
    </row>
    <row r="13" spans="1:18">
      <c r="A13" s="49"/>
      <c r="B13" s="49"/>
      <c r="C13" s="49"/>
      <c r="D13" s="49"/>
      <c r="E13" s="49"/>
      <c r="F13" s="49" t="s">
        <v>296</v>
      </c>
      <c r="G13" s="81">
        <v>2</v>
      </c>
      <c r="H13" s="49" t="s">
        <v>189</v>
      </c>
      <c r="I13" s="49" t="s">
        <v>9</v>
      </c>
      <c r="J13" s="49"/>
      <c r="K13" s="49"/>
      <c r="L13" s="103">
        <v>0.48</v>
      </c>
      <c r="M13" s="103">
        <f t="shared" si="1"/>
        <v>0.96</v>
      </c>
      <c r="N13" s="106"/>
      <c r="O13" s="114"/>
      <c r="P13" s="107"/>
      <c r="Q13" s="107"/>
    </row>
    <row r="14" spans="1:18">
      <c r="A14" s="49"/>
      <c r="B14" s="49"/>
      <c r="C14" s="49"/>
      <c r="D14" s="49"/>
      <c r="E14" s="49"/>
      <c r="F14" s="49" t="s">
        <v>362</v>
      </c>
      <c r="G14" s="84">
        <v>4</v>
      </c>
      <c r="H14" s="49" t="s">
        <v>189</v>
      </c>
      <c r="I14" s="49" t="s">
        <v>9</v>
      </c>
      <c r="J14" s="49"/>
      <c r="K14" s="49"/>
      <c r="L14" s="103">
        <v>0.26</v>
      </c>
      <c r="M14" s="103">
        <f t="shared" si="1"/>
        <v>1.04</v>
      </c>
      <c r="N14" s="106"/>
      <c r="O14" s="114"/>
      <c r="P14" s="107"/>
      <c r="Q14" s="107"/>
    </row>
    <row r="15" spans="1:18">
      <c r="A15" s="49"/>
      <c r="B15" s="49"/>
      <c r="C15" s="49"/>
      <c r="D15" s="49"/>
      <c r="E15" s="49"/>
      <c r="F15" s="65" t="str">
        <f>'Backend data'!G6</f>
        <v>COB 30-36W 3000K 12LED 34-38V 890mA 19x19mm CRI-90</v>
      </c>
      <c r="G15" s="67">
        <v>1</v>
      </c>
      <c r="H15" s="49" t="s">
        <v>214</v>
      </c>
      <c r="I15" s="49" t="s">
        <v>9</v>
      </c>
      <c r="J15" s="49"/>
      <c r="K15" s="49"/>
      <c r="L15" s="103">
        <f t="shared" si="0"/>
        <v>84.825000000000003</v>
      </c>
      <c r="M15" s="103">
        <f t="shared" si="1"/>
        <v>84.825000000000003</v>
      </c>
      <c r="N15" s="111">
        <v>0.65</v>
      </c>
      <c r="O15" s="104">
        <v>0.5</v>
      </c>
      <c r="P15" s="105"/>
      <c r="Q15" s="105">
        <f t="shared" si="2"/>
        <v>0.97500000000000009</v>
      </c>
    </row>
    <row r="16" spans="1:18">
      <c r="A16" s="49"/>
      <c r="B16" s="49"/>
      <c r="C16" s="49"/>
      <c r="D16" s="49"/>
      <c r="E16" s="49"/>
      <c r="F16" s="65" t="str">
        <f>'Backend data'!H6</f>
        <v>PS 8W 200MA 36V LPF (PCB MT43-8-12W-V2 LPF)</v>
      </c>
      <c r="G16" s="67">
        <v>1</v>
      </c>
      <c r="H16" s="49" t="s">
        <v>189</v>
      </c>
      <c r="I16" s="49" t="s">
        <v>9</v>
      </c>
      <c r="J16" s="49"/>
      <c r="K16" s="49"/>
      <c r="L16" s="103"/>
      <c r="M16" s="103"/>
      <c r="N16" s="108" t="s">
        <v>391</v>
      </c>
      <c r="O16" s="109"/>
      <c r="P16" s="109"/>
      <c r="Q16" s="109"/>
      <c r="R16" s="95"/>
    </row>
    <row r="17" spans="11:18" ht="24.75" customHeight="1" thickBot="1">
      <c r="L17" s="108"/>
      <c r="M17" s="110">
        <f>SUM(M2:M16)</f>
        <v>243.62358</v>
      </c>
      <c r="N17" s="109"/>
      <c r="O17" s="109"/>
      <c r="P17" s="109"/>
      <c r="Q17" s="109"/>
    </row>
    <row r="18" spans="11:18" ht="15.75" thickTop="1"/>
    <row r="19" spans="11:18" ht="22.5" customHeight="1">
      <c r="K19" s="127" t="s">
        <v>392</v>
      </c>
      <c r="L19" s="128"/>
      <c r="M19" s="96">
        <f>M17+42</f>
        <v>285.62358</v>
      </c>
      <c r="N19" s="100"/>
      <c r="O19" s="100"/>
      <c r="P19" s="100"/>
      <c r="Q19" s="100"/>
    </row>
    <row r="20" spans="11:18" ht="22.5" customHeight="1">
      <c r="K20" s="127" t="s">
        <v>393</v>
      </c>
      <c r="L20" s="128"/>
      <c r="M20" s="96">
        <f>M17+275</f>
        <v>518.62357999999995</v>
      </c>
      <c r="N20" s="100"/>
      <c r="O20" s="100"/>
      <c r="P20" s="100"/>
      <c r="Q20" s="100"/>
      <c r="R20" s="118" t="s">
        <v>398</v>
      </c>
    </row>
    <row r="21" spans="11:18" ht="22.5" customHeight="1">
      <c r="K21" s="127" t="s">
        <v>394</v>
      </c>
      <c r="L21" s="128"/>
      <c r="M21" s="101">
        <f>((M17)+(Q21*87))</f>
        <v>901.34357999999997</v>
      </c>
      <c r="N21" s="97">
        <v>5.04</v>
      </c>
      <c r="O21" s="98">
        <v>0.5</v>
      </c>
      <c r="P21" s="98"/>
      <c r="Q21" s="99">
        <f>N21+(N21*(O21+P21))</f>
        <v>7.5600000000000005</v>
      </c>
      <c r="R21" s="117">
        <f>Q21*87</f>
        <v>657.72</v>
      </c>
    </row>
    <row r="22" spans="11:18" ht="22.5" customHeight="1">
      <c r="K22" s="127" t="s">
        <v>395</v>
      </c>
      <c r="L22" s="128"/>
      <c r="M22" s="96">
        <f>M17+330</f>
        <v>573.62357999999995</v>
      </c>
      <c r="N22" s="100"/>
      <c r="O22" s="100"/>
      <c r="P22" s="100"/>
      <c r="Q22" s="100"/>
      <c r="R22" s="117"/>
    </row>
    <row r="23" spans="11:18" ht="22.5" customHeight="1">
      <c r="K23" s="127" t="s">
        <v>396</v>
      </c>
      <c r="L23" s="128"/>
      <c r="M23" s="101">
        <f>((M17)+(Q23*87))</f>
        <v>958.1110799999999</v>
      </c>
      <c r="N23" s="97">
        <v>5.4749999999999996</v>
      </c>
      <c r="O23" s="98">
        <v>0.5</v>
      </c>
      <c r="P23" s="98"/>
      <c r="Q23" s="99">
        <f>N23+(N23*(O23+P23))</f>
        <v>8.2124999999999986</v>
      </c>
      <c r="R23" s="117">
        <f>Q23*87</f>
        <v>714.48749999999984</v>
      </c>
    </row>
    <row r="24" spans="11:18" ht="22.5" customHeight="1">
      <c r="K24" s="127" t="s">
        <v>397</v>
      </c>
      <c r="L24" s="128"/>
      <c r="M24" s="96">
        <f>M17+330</f>
        <v>573.62357999999995</v>
      </c>
      <c r="N24" s="100"/>
      <c r="O24" s="100"/>
      <c r="P24" s="100"/>
      <c r="Q24" s="100"/>
      <c r="R24" s="117"/>
    </row>
    <row r="25" spans="11:18">
      <c r="N25" s="100"/>
      <c r="O25" s="100"/>
      <c r="P25" s="100"/>
      <c r="Q25" s="100"/>
    </row>
  </sheetData>
  <mergeCells count="12">
    <mergeCell ref="K24:L24"/>
    <mergeCell ref="K19:L19"/>
    <mergeCell ref="K20:L20"/>
    <mergeCell ref="K21:L21"/>
    <mergeCell ref="K22:L22"/>
    <mergeCell ref="K23:L23"/>
    <mergeCell ref="Q4:Q5"/>
    <mergeCell ref="L4:L5"/>
    <mergeCell ref="M4:M5"/>
    <mergeCell ref="N4:N5"/>
    <mergeCell ref="O4:O5"/>
    <mergeCell ref="P4:P5"/>
  </mergeCells>
  <conditionalFormatting sqref="F1 F24:F1048576">
    <cfRule type="containsText" dxfId="29" priority="24" operator="containsText" text="PS-">
      <formula>NOT(ISERROR(SEARCH("PS-",F1)))</formula>
    </cfRule>
    <cfRule type="containsText" dxfId="28" priority="27" operator="containsText" text="COB-">
      <formula>NOT(ISERROR(SEARCH("COB-",F1)))</formula>
    </cfRule>
    <cfRule type="containsText" dxfId="27" priority="29" operator="containsText" text="TRIM">
      <formula>NOT(ISERROR(SEARCH("TRIM",F1)))</formula>
    </cfRule>
  </conditionalFormatting>
  <conditionalFormatting sqref="F1:G1 F24:G1048576">
    <cfRule type="containsText" dxfId="26" priority="23" operator="containsText" text="REFLECTOR">
      <formula>NOT(ISERROR(SEARCH("REFLECTOR",F1)))</formula>
    </cfRule>
  </conditionalFormatting>
  <conditionalFormatting sqref="F7">
    <cfRule type="containsText" dxfId="25" priority="18" operator="containsText" text="PS-">
      <formula>NOT(ISERROR(SEARCH("PS-",F7)))</formula>
    </cfRule>
    <cfRule type="containsText" dxfId="24" priority="19" operator="containsText" text="COB-">
      <formula>NOT(ISERROR(SEARCH("COB-",F7)))</formula>
    </cfRule>
    <cfRule type="containsText" dxfId="23" priority="20" operator="containsText" text="TRIM">
      <formula>NOT(ISERROR(SEARCH("TRIM",F7)))</formula>
    </cfRule>
  </conditionalFormatting>
  <conditionalFormatting sqref="F7">
    <cfRule type="containsText" dxfId="22" priority="17" operator="containsText" text="REFLECTOR">
      <formula>NOT(ISERROR(SEARCH("REFLECTOR",F7)))</formula>
    </cfRule>
  </conditionalFormatting>
  <conditionalFormatting sqref="F6">
    <cfRule type="containsText" dxfId="21" priority="13" operator="containsText" text="PS-">
      <formula>NOT(ISERROR(SEARCH("PS-",F6)))</formula>
    </cfRule>
    <cfRule type="containsText" dxfId="20" priority="14" operator="containsText" text="COB-">
      <formula>NOT(ISERROR(SEARCH("COB-",F6)))</formula>
    </cfRule>
    <cfRule type="containsText" dxfId="19" priority="15" operator="containsText" text="TRIM">
      <formula>NOT(ISERROR(SEARCH("TRIM",F6)))</formula>
    </cfRule>
  </conditionalFormatting>
  <conditionalFormatting sqref="F6">
    <cfRule type="containsText" dxfId="18" priority="12" operator="containsText" text="REFLECTOR">
      <formula>NOT(ISERROR(SEARCH("REFLECTOR",F6)))</formula>
    </cfRule>
  </conditionalFormatting>
  <conditionalFormatting sqref="F8:F9">
    <cfRule type="containsText" dxfId="17" priority="8" operator="containsText" text="PS-">
      <formula>NOT(ISERROR(SEARCH("PS-",F8)))</formula>
    </cfRule>
    <cfRule type="containsText" dxfId="16" priority="9" operator="containsText" text="COB-">
      <formula>NOT(ISERROR(SEARCH("COB-",F8)))</formula>
    </cfRule>
    <cfRule type="containsText" dxfId="15" priority="10" operator="containsText" text="TRIM">
      <formula>NOT(ISERROR(SEARCH("TRIM",F8)))</formula>
    </cfRule>
  </conditionalFormatting>
  <conditionalFormatting sqref="F8:F9">
    <cfRule type="containsText" dxfId="14" priority="7" operator="containsText" text="REFLECTOR">
      <formula>NOT(ISERROR(SEARCH("REFLECTOR",F8)))</formula>
    </cfRule>
  </conditionalFormatting>
  <conditionalFormatting sqref="F11">
    <cfRule type="containsText" dxfId="13" priority="3" operator="containsText" text="PS-">
      <formula>NOT(ISERROR(SEARCH("PS-",F11)))</formula>
    </cfRule>
    <cfRule type="containsText" dxfId="12" priority="4" operator="containsText" text="COB-">
      <formula>NOT(ISERROR(SEARCH("COB-",F11)))</formula>
    </cfRule>
    <cfRule type="containsText" dxfId="11" priority="5" operator="containsText" text="TRIM">
      <formula>NOT(ISERROR(SEARCH("TRIM",F11)))</formula>
    </cfRule>
  </conditionalFormatting>
  <conditionalFormatting sqref="F11">
    <cfRule type="containsText" dxfId="10" priority="2" operator="containsText" text="REFLECTOR">
      <formula>NOT(ISERROR(SEARCH("REFLECTOR",F11)))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F24:G1048576 F1:G1</xm:sqref>
        </x14:conditionalFormatting>
        <x14:conditionalFormatting xmlns:xm="http://schemas.microsoft.com/office/excel/2006/main">
          <x14:cfRule type="expression" priority="16" id="{B704732A-C2D4-487C-B3EE-992898CAB16B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1" id="{1169C5E1-E8BE-4F15-833A-F3D61280578A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F6</xm:sqref>
        </x14:conditionalFormatting>
        <x14:conditionalFormatting xmlns:xm="http://schemas.microsoft.com/office/excel/2006/main">
          <x14:cfRule type="expression" priority="6" id="{7FDC7B09-CC46-4E3E-97BE-1FC389FB656B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F8:F9</xm:sqref>
        </x14:conditionalFormatting>
        <x14:conditionalFormatting xmlns:xm="http://schemas.microsoft.com/office/excel/2006/main">
          <x14:cfRule type="expression" priority="1" id="{B70A1BC4-49F4-42C8-9181-798845B86FC3}">
            <xm:f>$F:$F='\\Brijesh-pc\d\SURYA- BOM\1) OK BOMs\7) NRRR\[1) NRRR08W-F-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'Result (2)'!$B$2:$B$85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30" t="s">
        <v>20</v>
      </c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2"/>
    </row>
    <row r="6" spans="1:17" ht="12.6" customHeight="1">
      <c r="A6" s="16" t="s">
        <v>21</v>
      </c>
      <c r="B6" s="12" t="s">
        <v>15</v>
      </c>
      <c r="C6" s="13"/>
      <c r="E6" s="130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2"/>
    </row>
    <row r="7" spans="1:17" ht="12.6" customHeight="1">
      <c r="A7" s="16" t="s">
        <v>22</v>
      </c>
      <c r="B7" s="12" t="s">
        <v>15</v>
      </c>
      <c r="C7" s="13"/>
      <c r="E7" s="130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2"/>
    </row>
    <row r="8" spans="1:17" ht="12.6" customHeight="1">
      <c r="A8" s="16" t="s">
        <v>23</v>
      </c>
      <c r="B8" s="12" t="s">
        <v>15</v>
      </c>
      <c r="C8" s="13"/>
      <c r="E8" s="130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2"/>
    </row>
    <row r="9" spans="1:17" ht="12.95" customHeight="1">
      <c r="A9" s="16" t="s">
        <v>24</v>
      </c>
      <c r="B9" s="12" t="s">
        <v>15</v>
      </c>
      <c r="C9" s="13"/>
      <c r="E9" s="130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2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</row>
    <row r="20" spans="1:17" ht="25.5">
      <c r="A20" s="16" t="s">
        <v>40</v>
      </c>
      <c r="B20" s="12" t="s">
        <v>15</v>
      </c>
      <c r="C20" s="13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</row>
    <row r="21" spans="1:17">
      <c r="A21" s="16" t="s">
        <v>41</v>
      </c>
      <c r="B21" s="12" t="s">
        <v>15</v>
      </c>
      <c r="C21" s="13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</row>
    <row r="22" spans="1:17">
      <c r="A22" s="6" t="s">
        <v>42</v>
      </c>
      <c r="B22" s="30"/>
      <c r="C22" s="31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0"/>
  <sheetViews>
    <sheetView topLeftCell="Z17" workbookViewId="0">
      <selection activeCell="AB27" sqref="AB27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11.85546875" customWidth="1"/>
    <col min="8" max="8" width="33.140625" style="51" customWidth="1"/>
    <col min="9" max="9" width="12.7109375" customWidth="1"/>
    <col min="11" max="11" width="2.7109375" customWidth="1"/>
    <col min="13" max="13" width="24.85546875" style="51" customWidth="1"/>
    <col min="15" max="15" width="6.140625" customWidth="1"/>
    <col min="16" max="16" width="2.28515625" customWidth="1"/>
    <col min="18" max="18" width="45.85546875" style="51" customWidth="1"/>
    <col min="21" max="21" width="1.42578125" customWidth="1"/>
    <col min="22" max="22" width="8.140625" customWidth="1"/>
    <col min="23" max="23" width="54.140625" customWidth="1"/>
    <col min="24" max="24" width="14.140625" customWidth="1"/>
    <col min="26" max="26" width="1.28515625" customWidth="1"/>
    <col min="28" max="28" width="55.710937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204</v>
      </c>
      <c r="E2" s="55" t="s">
        <v>196</v>
      </c>
      <c r="F2" s="55" t="s">
        <v>197</v>
      </c>
      <c r="G2" s="55" t="s">
        <v>200</v>
      </c>
      <c r="H2" s="54" t="s">
        <v>199</v>
      </c>
      <c r="I2" s="62" t="s">
        <v>205</v>
      </c>
    </row>
    <row r="3" spans="2:9">
      <c r="C3" s="63" t="str">
        <f>MID('Stock Item'!$D$2,4,1)</f>
        <v>R</v>
      </c>
      <c r="D3" s="52" t="str">
        <f>MID('Stock Item'!$D$2,5,2)</f>
        <v>08</v>
      </c>
      <c r="E3" s="63" t="str">
        <f>MID('Stock Item'!$D$2,3,1)</f>
        <v>L</v>
      </c>
      <c r="F3" s="63" t="str">
        <f>MID('Stock Item'!$D$2,7,1)</f>
        <v>M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R</v>
      </c>
    </row>
    <row r="4" spans="2:9">
      <c r="D4" s="64" t="str">
        <f>CONCATENATE($D$3,$F$3)</f>
        <v>08M</v>
      </c>
      <c r="G4" s="64" t="str">
        <f>CONCATENATE($G$3,H4)</f>
        <v>30-</v>
      </c>
      <c r="H4" s="51" t="str">
        <f>CONCATENATE($H$3,"-")</f>
        <v>-</v>
      </c>
    </row>
    <row r="5" spans="2:9">
      <c r="H5" s="51" t="str">
        <f>CONCATENATE('Stock Item'!D2)</f>
        <v>NRLR08M30</v>
      </c>
    </row>
    <row r="6" spans="2:9" ht="30">
      <c r="B6" s="54" t="s">
        <v>201</v>
      </c>
      <c r="C6" s="58" t="str">
        <f>VLOOKUP($C$3,$B$23:$E$73,2,0)</f>
        <v>Trim-O-68 I-51 H-63mm White NRRR8-18W</v>
      </c>
      <c r="D6" s="57" t="e">
        <f>VLOOKUP($D$4,G23:$J$101,2,0)</f>
        <v>#N/A</v>
      </c>
      <c r="E6" s="57" t="e">
        <f>VLOOKUP($E$3,$L$23:$O$73,2,0)</f>
        <v>#N/A</v>
      </c>
      <c r="F6" s="57" t="str">
        <f>VLOOKUP($F$3,$Q$23:$T$73,2,0)</f>
        <v>Lens GLC-O-50 L-13.4 H-13.4  24° PC ( Zhenglian)</v>
      </c>
      <c r="G6" s="57" t="str">
        <f>VLOOKUP($G$4,$V$23:$Y$73,2,0)</f>
        <v>COB 30-36W 3000K 12LED 34-38V 890mA 19x19mm CRI-90</v>
      </c>
      <c r="H6" s="56" t="str">
        <f>VLOOKUP($H$4,$AA$23:$AD$73,2,0)</f>
        <v>PS 8W 200MA 36V LPF (PCB MT43-8-12W-V2 LPF)</v>
      </c>
      <c r="I6" s="56" t="e">
        <f>VLOOKUP($I$3,AF23:$AI$101,2,0)</f>
        <v>#N/A</v>
      </c>
    </row>
    <row r="7" spans="2:9" ht="30">
      <c r="B7" s="54" t="s">
        <v>202</v>
      </c>
      <c r="C7" s="58">
        <f>VLOOKUP($C$3,$B$23:$E$73,4,0)</f>
        <v>0</v>
      </c>
      <c r="D7" s="57" t="e">
        <f>VLOOKUP($D$4,G23:$J$101,4,0)</f>
        <v>#N/A</v>
      </c>
      <c r="E7" s="57" t="e">
        <f>VLOOKUP($E$3,$L$23:$O$73,4,0)</f>
        <v>#N/A</v>
      </c>
      <c r="F7" s="57">
        <f>VLOOKUP($F$3,$Q$23:$T$73,4,0)</f>
        <v>0</v>
      </c>
      <c r="G7" s="57">
        <f>VLOOKUP($G$4,$V$23:$Y$73,4,0)</f>
        <v>0</v>
      </c>
      <c r="H7" s="56">
        <f>VLOOKUP($H$4,$AA$23:$AD$73,4,0)</f>
        <v>0</v>
      </c>
      <c r="I7" s="56" t="e">
        <f>VLOOKUP($I$3,$AF$23:$AI$101,4,0)</f>
        <v>#N/A</v>
      </c>
    </row>
    <row r="8" spans="2:9" ht="45">
      <c r="B8" s="59" t="s">
        <v>203</v>
      </c>
      <c r="C8" s="58">
        <f>VLOOKUP($C$3,$B$23:$E$73,3,0)</f>
        <v>0</v>
      </c>
      <c r="D8" s="57" t="e">
        <f>VLOOKUP($D$4,G23:$J$101,3,0)</f>
        <v>#N/A</v>
      </c>
      <c r="E8" s="57" t="e">
        <f>VLOOKUP($E$3,$L$23:$O$73,3,0)</f>
        <v>#N/A</v>
      </c>
      <c r="F8" s="57">
        <f>VLOOKUP($F$3,$Q$23:$T$73,3,0)</f>
        <v>0</v>
      </c>
      <c r="G8" s="57">
        <f>VLOOKUP($G$4,$V$23:$Y$73,3,0)</f>
        <v>0</v>
      </c>
      <c r="H8" s="56">
        <f>VLOOKUP($H$4,$AA$23:$AD$73,3,0)</f>
        <v>0</v>
      </c>
      <c r="I8" s="56" t="e">
        <f>VLOOKUP($I$3,$AF$23:$AI$101,3,0)</f>
        <v>#N/A</v>
      </c>
    </row>
    <row r="10" spans="2:9">
      <c r="H10" s="66" t="s">
        <v>213</v>
      </c>
    </row>
    <row r="19" spans="2:35" ht="13.9" customHeight="1"/>
    <row r="21" spans="2:35">
      <c r="B21" s="136" t="s">
        <v>195</v>
      </c>
      <c r="C21" s="137"/>
      <c r="D21" s="137"/>
      <c r="E21" s="137"/>
      <c r="G21" s="136" t="s">
        <v>204</v>
      </c>
      <c r="H21" s="137"/>
      <c r="I21" s="137"/>
      <c r="J21" s="137"/>
      <c r="L21" s="136" t="s">
        <v>196</v>
      </c>
      <c r="M21" s="137"/>
      <c r="N21" s="137"/>
      <c r="O21" s="137"/>
      <c r="Q21" s="136" t="s">
        <v>197</v>
      </c>
      <c r="R21" s="137"/>
      <c r="S21" s="137"/>
      <c r="T21" s="137"/>
      <c r="V21" s="136" t="s">
        <v>198</v>
      </c>
      <c r="W21" s="137"/>
      <c r="X21" s="137"/>
      <c r="Y21" s="137"/>
      <c r="AA21" s="133" t="s">
        <v>199</v>
      </c>
      <c r="AB21" s="134"/>
      <c r="AC21" s="134"/>
      <c r="AD21" s="135"/>
      <c r="AF21" s="133" t="s">
        <v>205</v>
      </c>
      <c r="AG21" s="134"/>
      <c r="AH21" s="134"/>
      <c r="AI21" s="135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70" t="s">
        <v>206</v>
      </c>
      <c r="C23" s="69" t="s">
        <v>377</v>
      </c>
      <c r="D23" s="70"/>
      <c r="E23" s="70"/>
      <c r="G23" s="49" t="s">
        <v>297</v>
      </c>
      <c r="H23" s="82" t="s">
        <v>298</v>
      </c>
      <c r="M23"/>
      <c r="Q23" s="60" t="s">
        <v>360</v>
      </c>
      <c r="R23" s="85" t="s">
        <v>363</v>
      </c>
      <c r="S23" s="60"/>
      <c r="T23" s="60"/>
      <c r="V23" s="49" t="s">
        <v>216</v>
      </c>
      <c r="W23" s="87" t="s">
        <v>371</v>
      </c>
      <c r="X23" s="49"/>
      <c r="Y23" s="49"/>
      <c r="AA23" s="72" t="s">
        <v>211</v>
      </c>
      <c r="AB23" s="49" t="s">
        <v>365</v>
      </c>
      <c r="AF23" s="60"/>
      <c r="AG23" s="60"/>
      <c r="AH23" s="60"/>
      <c r="AI23" s="60"/>
    </row>
    <row r="24" spans="2:35">
      <c r="B24" s="71" t="s">
        <v>19</v>
      </c>
      <c r="C24" s="88" t="s">
        <v>378</v>
      </c>
      <c r="D24" s="70"/>
      <c r="E24" s="70"/>
      <c r="M24"/>
      <c r="Q24" s="60" t="s">
        <v>361</v>
      </c>
      <c r="R24" s="85" t="s">
        <v>364</v>
      </c>
      <c r="S24" s="60"/>
      <c r="T24" s="60"/>
      <c r="V24" s="49" t="s">
        <v>207</v>
      </c>
      <c r="W24" s="87" t="s">
        <v>372</v>
      </c>
      <c r="X24" s="49"/>
      <c r="Y24" s="49"/>
      <c r="AA24" s="73" t="s">
        <v>218</v>
      </c>
      <c r="AB24" s="86" t="s">
        <v>366</v>
      </c>
      <c r="AF24" s="60"/>
      <c r="AG24" s="60"/>
      <c r="AH24" s="60"/>
      <c r="AI24" s="60"/>
    </row>
    <row r="25" spans="2:35">
      <c r="B25" s="71" t="s">
        <v>210</v>
      </c>
      <c r="C25" s="88" t="s">
        <v>379</v>
      </c>
      <c r="D25" s="70"/>
      <c r="E25" s="70"/>
      <c r="M25"/>
      <c r="V25" s="49" t="s">
        <v>208</v>
      </c>
      <c r="W25" s="87" t="s">
        <v>373</v>
      </c>
      <c r="X25" s="49"/>
      <c r="Y25" s="49"/>
      <c r="AA25" s="73" t="s">
        <v>219</v>
      </c>
      <c r="AB25" s="86" t="s">
        <v>367</v>
      </c>
      <c r="AF25" s="49"/>
      <c r="AG25" s="60"/>
      <c r="AH25" s="60"/>
      <c r="AI25" s="60"/>
    </row>
    <row r="26" spans="2:35">
      <c r="M26"/>
      <c r="V26" s="49" t="s">
        <v>217</v>
      </c>
      <c r="W26" s="87" t="s">
        <v>374</v>
      </c>
      <c r="X26" s="49"/>
      <c r="Y26" s="49"/>
      <c r="AA26" s="73" t="s">
        <v>220</v>
      </c>
      <c r="AB26" s="86" t="s">
        <v>368</v>
      </c>
      <c r="AF26" s="49"/>
      <c r="AG26" s="60"/>
      <c r="AH26" s="60"/>
      <c r="AI26" s="60"/>
    </row>
    <row r="27" spans="2:35">
      <c r="H27"/>
      <c r="M27"/>
      <c r="V27" s="49" t="s">
        <v>209</v>
      </c>
      <c r="W27" s="87" t="s">
        <v>375</v>
      </c>
      <c r="X27" s="49"/>
      <c r="Y27" s="49"/>
      <c r="AA27" s="78" t="s">
        <v>221</v>
      </c>
      <c r="AB27" s="86" t="s">
        <v>369</v>
      </c>
    </row>
    <row r="28" spans="2:35">
      <c r="V28" s="49"/>
      <c r="W28" s="75"/>
      <c r="X28" s="49"/>
      <c r="Y28" s="49"/>
      <c r="AA28" s="78" t="s">
        <v>222</v>
      </c>
      <c r="AB28" s="86" t="s">
        <v>370</v>
      </c>
    </row>
    <row r="29" spans="2:35">
      <c r="V29" s="49" t="s">
        <v>223</v>
      </c>
      <c r="W29" s="87" t="s">
        <v>371</v>
      </c>
      <c r="X29" s="49"/>
      <c r="Y29" s="49"/>
    </row>
    <row r="30" spans="2:35">
      <c r="V30" s="49" t="s">
        <v>224</v>
      </c>
      <c r="W30" s="87" t="s">
        <v>372</v>
      </c>
      <c r="X30" s="49"/>
      <c r="Y30" s="49"/>
      <c r="AB30"/>
    </row>
    <row r="31" spans="2:35">
      <c r="V31" s="49" t="s">
        <v>225</v>
      </c>
      <c r="W31" s="87" t="s">
        <v>373</v>
      </c>
      <c r="X31" s="49"/>
      <c r="Y31" s="49"/>
      <c r="AB31"/>
    </row>
    <row r="32" spans="2:35">
      <c r="V32" s="49" t="s">
        <v>226</v>
      </c>
      <c r="W32" s="87" t="s">
        <v>374</v>
      </c>
      <c r="X32" s="49"/>
      <c r="Y32" s="49"/>
      <c r="AB32"/>
    </row>
    <row r="33" spans="22:28">
      <c r="V33" s="49" t="s">
        <v>227</v>
      </c>
      <c r="W33" s="87" t="s">
        <v>375</v>
      </c>
      <c r="X33" s="49"/>
      <c r="Y33" s="49"/>
      <c r="AB33"/>
    </row>
    <row r="34" spans="22:28">
      <c r="V34" s="75"/>
      <c r="W34" s="75"/>
      <c r="X34" s="49"/>
      <c r="Y34" s="49"/>
      <c r="AB34"/>
    </row>
    <row r="35" spans="22:28">
      <c r="V35" s="76" t="s">
        <v>237</v>
      </c>
      <c r="W35" s="87" t="s">
        <v>371</v>
      </c>
      <c r="X35" s="49"/>
      <c r="Y35" s="49"/>
      <c r="AB35"/>
    </row>
    <row r="36" spans="22:28">
      <c r="V36" s="76" t="s">
        <v>228</v>
      </c>
      <c r="W36" s="87" t="s">
        <v>372</v>
      </c>
      <c r="X36" s="49"/>
      <c r="Y36" s="49"/>
      <c r="AB36"/>
    </row>
    <row r="37" spans="22:28">
      <c r="V37" s="76" t="s">
        <v>229</v>
      </c>
      <c r="W37" s="87" t="s">
        <v>373</v>
      </c>
      <c r="X37" s="49"/>
      <c r="Y37" s="49"/>
      <c r="AB37"/>
    </row>
    <row r="38" spans="22:28">
      <c r="V38" s="76" t="s">
        <v>230</v>
      </c>
      <c r="W38" s="87" t="s">
        <v>374</v>
      </c>
      <c r="X38" s="49"/>
      <c r="Y38" s="49"/>
      <c r="AB38"/>
    </row>
    <row r="39" spans="22:28">
      <c r="V39" s="76" t="s">
        <v>231</v>
      </c>
      <c r="W39" s="87" t="s">
        <v>375</v>
      </c>
      <c r="X39" s="49"/>
      <c r="Y39" s="49"/>
      <c r="AB39"/>
    </row>
    <row r="40" spans="22:28">
      <c r="V40" s="76" t="s">
        <v>239</v>
      </c>
      <c r="W40" s="87" t="s">
        <v>376</v>
      </c>
      <c r="X40" s="49"/>
      <c r="Y40" s="49"/>
      <c r="AB40"/>
    </row>
    <row r="41" spans="22:28">
      <c r="V41" s="74"/>
      <c r="W41" s="76"/>
      <c r="X41" s="49"/>
      <c r="Y41" s="49"/>
      <c r="AB41"/>
    </row>
    <row r="42" spans="22:28">
      <c r="V42" s="76" t="s">
        <v>232</v>
      </c>
      <c r="W42" s="87" t="s">
        <v>371</v>
      </c>
      <c r="X42" s="49"/>
      <c r="Y42" s="49"/>
      <c r="AB42"/>
    </row>
    <row r="43" spans="22:28">
      <c r="V43" s="76" t="s">
        <v>233</v>
      </c>
      <c r="W43" s="87" t="s">
        <v>372</v>
      </c>
      <c r="X43" s="49"/>
      <c r="Y43" s="49"/>
      <c r="AB43"/>
    </row>
    <row r="44" spans="22:28">
      <c r="V44" s="76" t="s">
        <v>234</v>
      </c>
      <c r="W44" s="87" t="s">
        <v>373</v>
      </c>
      <c r="X44" s="49"/>
      <c r="Y44" s="49"/>
      <c r="AB44"/>
    </row>
    <row r="45" spans="22:28">
      <c r="V45" s="76" t="s">
        <v>235</v>
      </c>
      <c r="W45" s="87" t="s">
        <v>374</v>
      </c>
      <c r="X45" s="49"/>
      <c r="Y45" s="49"/>
      <c r="AB45"/>
    </row>
    <row r="46" spans="22:28">
      <c r="V46" s="76" t="s">
        <v>236</v>
      </c>
      <c r="W46" s="87" t="s">
        <v>375</v>
      </c>
      <c r="X46" s="49"/>
      <c r="Y46" s="49"/>
      <c r="AB46"/>
    </row>
    <row r="47" spans="22:28">
      <c r="V47" s="76" t="s">
        <v>238</v>
      </c>
      <c r="W47" s="87" t="s">
        <v>376</v>
      </c>
      <c r="X47" s="49"/>
      <c r="Y47" s="49"/>
      <c r="AB47"/>
    </row>
    <row r="48" spans="22:28">
      <c r="AB48"/>
    </row>
    <row r="49" spans="28:28">
      <c r="AB49"/>
    </row>
    <row r="50" spans="28:28">
      <c r="AB50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topLeftCell="A66" workbookViewId="0">
      <selection activeCell="I95" sqref="I95"/>
    </sheetView>
  </sheetViews>
  <sheetFormatPr defaultRowHeight="15"/>
  <cols>
    <col min="1" max="16384" width="9.140625" style="80"/>
  </cols>
  <sheetData>
    <row r="1" spans="1:15">
      <c r="A1" s="80" t="s">
        <v>300</v>
      </c>
      <c r="B1" s="80" t="s">
        <v>301</v>
      </c>
      <c r="C1" s="80" t="s">
        <v>302</v>
      </c>
      <c r="D1" s="80" t="s">
        <v>303</v>
      </c>
      <c r="E1" s="80" t="s">
        <v>304</v>
      </c>
      <c r="F1" s="80" t="s">
        <v>305</v>
      </c>
      <c r="G1" s="80" t="s">
        <v>306</v>
      </c>
      <c r="H1" s="80" t="s">
        <v>307</v>
      </c>
      <c r="I1" s="80" t="s">
        <v>308</v>
      </c>
      <c r="J1" s="80" t="s">
        <v>309</v>
      </c>
      <c r="K1" s="80" t="s">
        <v>310</v>
      </c>
      <c r="L1" s="80" t="s">
        <v>311</v>
      </c>
      <c r="M1" s="80" t="s">
        <v>312</v>
      </c>
      <c r="N1" s="80" t="s">
        <v>313</v>
      </c>
      <c r="O1" s="80" t="s">
        <v>314</v>
      </c>
    </row>
    <row r="2" spans="1:15">
      <c r="A2" s="80">
        <v>204904</v>
      </c>
      <c r="B2" s="80" t="s">
        <v>315</v>
      </c>
      <c r="D2" s="80">
        <v>0</v>
      </c>
      <c r="E2" s="80">
        <v>0</v>
      </c>
      <c r="F2" s="80">
        <v>0</v>
      </c>
      <c r="G2" s="80">
        <v>0</v>
      </c>
      <c r="H2" s="80">
        <v>0</v>
      </c>
      <c r="I2" s="80">
        <v>0</v>
      </c>
      <c r="J2" s="80">
        <v>0</v>
      </c>
      <c r="K2" s="80" t="s">
        <v>240</v>
      </c>
      <c r="L2" s="80" t="s">
        <v>241</v>
      </c>
      <c r="M2" s="80" t="s">
        <v>247</v>
      </c>
      <c r="N2" s="80" t="s">
        <v>243</v>
      </c>
      <c r="O2" s="80" t="s">
        <v>244</v>
      </c>
    </row>
    <row r="3" spans="1:15">
      <c r="A3" s="80">
        <v>204905</v>
      </c>
      <c r="B3" s="80" t="s">
        <v>316</v>
      </c>
      <c r="D3" s="80">
        <v>0</v>
      </c>
      <c r="E3" s="80">
        <v>0</v>
      </c>
      <c r="F3" s="80">
        <v>0</v>
      </c>
      <c r="G3" s="80">
        <v>0</v>
      </c>
      <c r="H3" s="80">
        <v>0</v>
      </c>
      <c r="I3" s="80">
        <v>0</v>
      </c>
      <c r="J3" s="80">
        <v>0</v>
      </c>
      <c r="K3" s="80" t="s">
        <v>240</v>
      </c>
      <c r="L3" s="80" t="s">
        <v>317</v>
      </c>
      <c r="M3" s="80" t="s">
        <v>247</v>
      </c>
      <c r="N3" s="80" t="s">
        <v>243</v>
      </c>
      <c r="O3" s="80" t="s">
        <v>244</v>
      </c>
    </row>
    <row r="4" spans="1:15">
      <c r="A4" s="80">
        <v>204906</v>
      </c>
      <c r="B4" s="80" t="s">
        <v>318</v>
      </c>
      <c r="D4" s="80">
        <v>0</v>
      </c>
      <c r="E4" s="80">
        <v>0</v>
      </c>
      <c r="F4" s="80">
        <v>0</v>
      </c>
      <c r="G4" s="80">
        <v>0</v>
      </c>
      <c r="H4" s="80">
        <v>0</v>
      </c>
      <c r="I4" s="80">
        <v>0</v>
      </c>
      <c r="J4" s="80">
        <v>0</v>
      </c>
      <c r="K4" s="80" t="s">
        <v>240</v>
      </c>
      <c r="L4" s="80" t="s">
        <v>241</v>
      </c>
      <c r="M4" s="80" t="s">
        <v>242</v>
      </c>
      <c r="N4" s="80" t="s">
        <v>243</v>
      </c>
      <c r="O4" s="80" t="s">
        <v>244</v>
      </c>
    </row>
    <row r="5" spans="1:15">
      <c r="A5" s="80">
        <v>204907</v>
      </c>
      <c r="B5" s="80" t="s">
        <v>319</v>
      </c>
      <c r="D5" s="80">
        <v>0</v>
      </c>
      <c r="E5" s="80">
        <v>0</v>
      </c>
      <c r="F5" s="80">
        <v>0</v>
      </c>
      <c r="G5" s="80">
        <v>0</v>
      </c>
      <c r="H5" s="80">
        <v>0</v>
      </c>
      <c r="I5" s="80">
        <v>0</v>
      </c>
      <c r="J5" s="80">
        <v>0</v>
      </c>
      <c r="K5" s="80" t="s">
        <v>240</v>
      </c>
      <c r="L5" s="80" t="s">
        <v>317</v>
      </c>
      <c r="M5" s="80" t="s">
        <v>242</v>
      </c>
      <c r="N5" s="80" t="s">
        <v>243</v>
      </c>
      <c r="O5" s="80" t="s">
        <v>244</v>
      </c>
    </row>
    <row r="6" spans="1:15">
      <c r="A6" s="80">
        <v>204908</v>
      </c>
      <c r="B6" s="80" t="s">
        <v>245</v>
      </c>
      <c r="D6" s="80">
        <v>0</v>
      </c>
      <c r="E6" s="80">
        <v>0</v>
      </c>
      <c r="F6" s="80">
        <v>0</v>
      </c>
      <c r="G6" s="80">
        <v>0</v>
      </c>
      <c r="H6" s="80">
        <v>0</v>
      </c>
      <c r="I6" s="80">
        <v>0</v>
      </c>
      <c r="J6" s="80">
        <v>0</v>
      </c>
      <c r="K6" s="80" t="s">
        <v>240</v>
      </c>
      <c r="L6" s="80" t="s">
        <v>241</v>
      </c>
      <c r="M6" s="80" t="s">
        <v>246</v>
      </c>
      <c r="N6" s="80" t="s">
        <v>243</v>
      </c>
      <c r="O6" s="80" t="s">
        <v>244</v>
      </c>
    </row>
    <row r="7" spans="1:15">
      <c r="A7" s="80">
        <v>204909</v>
      </c>
      <c r="B7" s="80" t="s">
        <v>320</v>
      </c>
      <c r="D7" s="80">
        <v>0</v>
      </c>
      <c r="E7" s="80">
        <v>0</v>
      </c>
      <c r="F7" s="80">
        <v>0</v>
      </c>
      <c r="G7" s="80">
        <v>0</v>
      </c>
      <c r="H7" s="80">
        <v>0</v>
      </c>
      <c r="I7" s="80">
        <v>0</v>
      </c>
      <c r="J7" s="80">
        <v>0</v>
      </c>
      <c r="K7" s="80" t="s">
        <v>240</v>
      </c>
      <c r="L7" s="80" t="s">
        <v>317</v>
      </c>
      <c r="M7" s="80" t="s">
        <v>246</v>
      </c>
      <c r="N7" s="80" t="s">
        <v>243</v>
      </c>
      <c r="O7" s="80" t="s">
        <v>244</v>
      </c>
    </row>
    <row r="8" spans="1:15">
      <c r="A8" s="80">
        <v>204936</v>
      </c>
      <c r="B8" s="80" t="s">
        <v>248</v>
      </c>
      <c r="D8" s="80">
        <v>0</v>
      </c>
      <c r="E8" s="80">
        <v>0</v>
      </c>
      <c r="F8" s="80">
        <v>0</v>
      </c>
      <c r="G8" s="80">
        <v>0</v>
      </c>
      <c r="H8" s="80">
        <v>0</v>
      </c>
      <c r="I8" s="80">
        <v>0</v>
      </c>
      <c r="J8" s="80">
        <v>0</v>
      </c>
      <c r="K8" s="80" t="s">
        <v>249</v>
      </c>
      <c r="L8" s="80" t="s">
        <v>241</v>
      </c>
      <c r="M8" s="80" t="s">
        <v>247</v>
      </c>
      <c r="N8" s="80" t="s">
        <v>243</v>
      </c>
      <c r="O8" s="80" t="s">
        <v>244</v>
      </c>
    </row>
    <row r="9" spans="1:15">
      <c r="A9" s="80">
        <v>204937</v>
      </c>
      <c r="B9" s="80" t="s">
        <v>321</v>
      </c>
      <c r="D9" s="80">
        <v>0</v>
      </c>
      <c r="E9" s="80">
        <v>0</v>
      </c>
      <c r="F9" s="80">
        <v>0</v>
      </c>
      <c r="G9" s="80">
        <v>0</v>
      </c>
      <c r="H9" s="80">
        <v>0</v>
      </c>
      <c r="I9" s="80">
        <v>0</v>
      </c>
      <c r="J9" s="80">
        <v>0</v>
      </c>
      <c r="K9" s="80" t="s">
        <v>249</v>
      </c>
      <c r="L9" s="80" t="s">
        <v>317</v>
      </c>
      <c r="M9" s="80" t="s">
        <v>247</v>
      </c>
      <c r="N9" s="80" t="s">
        <v>243</v>
      </c>
      <c r="O9" s="80" t="s">
        <v>244</v>
      </c>
    </row>
    <row r="10" spans="1:15">
      <c r="A10" s="80">
        <v>204938</v>
      </c>
      <c r="B10" s="80" t="s">
        <v>250</v>
      </c>
      <c r="D10" s="80">
        <v>0</v>
      </c>
      <c r="E10" s="80">
        <v>0</v>
      </c>
      <c r="F10" s="80">
        <v>0</v>
      </c>
      <c r="G10" s="80">
        <v>0</v>
      </c>
      <c r="H10" s="80">
        <v>0</v>
      </c>
      <c r="I10" s="80">
        <v>0</v>
      </c>
      <c r="J10" s="80">
        <v>0</v>
      </c>
      <c r="K10" s="80" t="s">
        <v>249</v>
      </c>
      <c r="L10" s="80" t="s">
        <v>241</v>
      </c>
      <c r="M10" s="80" t="s">
        <v>242</v>
      </c>
      <c r="N10" s="80" t="s">
        <v>243</v>
      </c>
      <c r="O10" s="80" t="s">
        <v>244</v>
      </c>
    </row>
    <row r="11" spans="1:15">
      <c r="A11" s="80">
        <v>204939</v>
      </c>
      <c r="B11" s="80" t="s">
        <v>322</v>
      </c>
      <c r="D11" s="80">
        <v>0</v>
      </c>
      <c r="E11" s="80">
        <v>0</v>
      </c>
      <c r="F11" s="80">
        <v>0</v>
      </c>
      <c r="G11" s="80">
        <v>0</v>
      </c>
      <c r="H11" s="80">
        <v>0</v>
      </c>
      <c r="I11" s="80">
        <v>0</v>
      </c>
      <c r="J11" s="80">
        <v>0</v>
      </c>
      <c r="K11" s="80" t="s">
        <v>249</v>
      </c>
      <c r="L11" s="80" t="s">
        <v>317</v>
      </c>
      <c r="M11" s="80" t="s">
        <v>242</v>
      </c>
      <c r="N11" s="80" t="s">
        <v>243</v>
      </c>
      <c r="O11" s="80" t="s">
        <v>244</v>
      </c>
    </row>
    <row r="12" spans="1:15">
      <c r="A12" s="80">
        <v>204940</v>
      </c>
      <c r="B12" s="80" t="s">
        <v>251</v>
      </c>
      <c r="D12" s="80">
        <v>0</v>
      </c>
      <c r="E12" s="80">
        <v>0</v>
      </c>
      <c r="F12" s="80">
        <v>0</v>
      </c>
      <c r="G12" s="80">
        <v>0</v>
      </c>
      <c r="H12" s="80">
        <v>0</v>
      </c>
      <c r="I12" s="80">
        <v>0</v>
      </c>
      <c r="J12" s="80">
        <v>0</v>
      </c>
      <c r="K12" s="80" t="s">
        <v>249</v>
      </c>
      <c r="L12" s="80" t="s">
        <v>241</v>
      </c>
      <c r="M12" s="80" t="s">
        <v>246</v>
      </c>
      <c r="N12" s="80" t="s">
        <v>243</v>
      </c>
      <c r="O12" s="80" t="s">
        <v>244</v>
      </c>
    </row>
    <row r="13" spans="1:15">
      <c r="A13" s="80">
        <v>204941</v>
      </c>
      <c r="B13" s="80" t="s">
        <v>323</v>
      </c>
      <c r="D13" s="80">
        <v>0</v>
      </c>
      <c r="E13" s="80">
        <v>0</v>
      </c>
      <c r="F13" s="80">
        <v>0</v>
      </c>
      <c r="G13" s="80">
        <v>0</v>
      </c>
      <c r="H13" s="80">
        <v>0</v>
      </c>
      <c r="I13" s="80">
        <v>0</v>
      </c>
      <c r="J13" s="80">
        <v>0</v>
      </c>
      <c r="K13" s="80" t="s">
        <v>249</v>
      </c>
      <c r="L13" s="80" t="s">
        <v>317</v>
      </c>
      <c r="M13" s="80" t="s">
        <v>246</v>
      </c>
      <c r="N13" s="80" t="s">
        <v>243</v>
      </c>
      <c r="O13" s="80" t="s">
        <v>244</v>
      </c>
    </row>
    <row r="14" spans="1:15">
      <c r="A14" s="80">
        <v>204968</v>
      </c>
      <c r="B14" s="80" t="s">
        <v>252</v>
      </c>
      <c r="D14" s="80">
        <v>0</v>
      </c>
      <c r="E14" s="80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  <c r="K14" s="80" t="s">
        <v>253</v>
      </c>
      <c r="L14" s="80" t="s">
        <v>241</v>
      </c>
      <c r="M14" s="80" t="s">
        <v>247</v>
      </c>
      <c r="N14" s="80" t="s">
        <v>243</v>
      </c>
      <c r="O14" s="80" t="s">
        <v>244</v>
      </c>
    </row>
    <row r="15" spans="1:15">
      <c r="A15" s="80">
        <v>204969</v>
      </c>
      <c r="B15" s="80" t="s">
        <v>324</v>
      </c>
      <c r="D15" s="80">
        <v>0</v>
      </c>
      <c r="E15" s="80">
        <v>0</v>
      </c>
      <c r="F15" s="80">
        <v>0</v>
      </c>
      <c r="G15" s="80">
        <v>0</v>
      </c>
      <c r="H15" s="80">
        <v>0</v>
      </c>
      <c r="I15" s="80">
        <v>0</v>
      </c>
      <c r="J15" s="80">
        <v>0</v>
      </c>
      <c r="K15" s="80" t="s">
        <v>253</v>
      </c>
      <c r="L15" s="80" t="s">
        <v>317</v>
      </c>
      <c r="M15" s="80" t="s">
        <v>247</v>
      </c>
      <c r="N15" s="80" t="s">
        <v>243</v>
      </c>
      <c r="O15" s="80" t="s">
        <v>244</v>
      </c>
    </row>
    <row r="16" spans="1:15">
      <c r="A16" s="80">
        <v>204970</v>
      </c>
      <c r="B16" s="80" t="s">
        <v>254</v>
      </c>
      <c r="D16" s="80">
        <v>0</v>
      </c>
      <c r="E16" s="80">
        <v>0</v>
      </c>
      <c r="F16" s="80">
        <v>0</v>
      </c>
      <c r="G16" s="80">
        <v>0</v>
      </c>
      <c r="H16" s="80">
        <v>0</v>
      </c>
      <c r="I16" s="80">
        <v>0</v>
      </c>
      <c r="J16" s="80">
        <v>0</v>
      </c>
      <c r="K16" s="80" t="s">
        <v>253</v>
      </c>
      <c r="L16" s="80" t="s">
        <v>241</v>
      </c>
      <c r="M16" s="80" t="s">
        <v>242</v>
      </c>
      <c r="N16" s="80" t="s">
        <v>243</v>
      </c>
      <c r="O16" s="80" t="s">
        <v>244</v>
      </c>
    </row>
    <row r="17" spans="1:15">
      <c r="A17" s="80">
        <v>204971</v>
      </c>
      <c r="B17" s="80" t="s">
        <v>325</v>
      </c>
      <c r="D17" s="80">
        <v>0</v>
      </c>
      <c r="E17" s="80">
        <v>0</v>
      </c>
      <c r="F17" s="80">
        <v>0</v>
      </c>
      <c r="G17" s="80">
        <v>0</v>
      </c>
      <c r="H17" s="80">
        <v>0</v>
      </c>
      <c r="I17" s="80">
        <v>0</v>
      </c>
      <c r="J17" s="80">
        <v>0</v>
      </c>
      <c r="K17" s="80" t="s">
        <v>253</v>
      </c>
      <c r="L17" s="80" t="s">
        <v>317</v>
      </c>
      <c r="M17" s="80" t="s">
        <v>242</v>
      </c>
      <c r="N17" s="80" t="s">
        <v>243</v>
      </c>
      <c r="O17" s="80" t="s">
        <v>244</v>
      </c>
    </row>
    <row r="18" spans="1:15">
      <c r="A18" s="80">
        <v>204972</v>
      </c>
      <c r="B18" s="80" t="s">
        <v>255</v>
      </c>
      <c r="D18" s="80">
        <v>0</v>
      </c>
      <c r="E18" s="80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 t="s">
        <v>253</v>
      </c>
      <c r="L18" s="80" t="s">
        <v>241</v>
      </c>
      <c r="M18" s="80" t="s">
        <v>246</v>
      </c>
      <c r="N18" s="80" t="s">
        <v>243</v>
      </c>
      <c r="O18" s="80" t="s">
        <v>244</v>
      </c>
    </row>
    <row r="19" spans="1:15">
      <c r="A19" s="80">
        <v>204973</v>
      </c>
      <c r="B19" s="80" t="s">
        <v>326</v>
      </c>
      <c r="D19" s="80">
        <v>0</v>
      </c>
      <c r="E19" s="80">
        <v>0</v>
      </c>
      <c r="F19" s="80">
        <v>0</v>
      </c>
      <c r="G19" s="80">
        <v>0</v>
      </c>
      <c r="H19" s="80">
        <v>0</v>
      </c>
      <c r="I19" s="80">
        <v>0</v>
      </c>
      <c r="J19" s="80">
        <v>0</v>
      </c>
      <c r="K19" s="80" t="s">
        <v>253</v>
      </c>
      <c r="L19" s="80" t="s">
        <v>317</v>
      </c>
      <c r="M19" s="80" t="s">
        <v>246</v>
      </c>
      <c r="N19" s="80" t="s">
        <v>243</v>
      </c>
      <c r="O19" s="80" t="s">
        <v>244</v>
      </c>
    </row>
    <row r="20" spans="1:15">
      <c r="A20" s="80">
        <v>205000</v>
      </c>
      <c r="B20" s="80" t="s">
        <v>256</v>
      </c>
      <c r="D20" s="80">
        <v>0</v>
      </c>
      <c r="E20" s="80">
        <v>0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 t="s">
        <v>240</v>
      </c>
      <c r="L20" s="80" t="s">
        <v>241</v>
      </c>
      <c r="M20" s="80" t="s">
        <v>247</v>
      </c>
      <c r="N20" s="80" t="s">
        <v>257</v>
      </c>
      <c r="O20" s="80" t="s">
        <v>244</v>
      </c>
    </row>
    <row r="21" spans="1:15">
      <c r="A21" s="80">
        <v>205001</v>
      </c>
      <c r="B21" s="80" t="s">
        <v>327</v>
      </c>
      <c r="D21" s="80">
        <v>0</v>
      </c>
      <c r="E21" s="80">
        <v>0</v>
      </c>
      <c r="F21" s="80">
        <v>0</v>
      </c>
      <c r="G21" s="80">
        <v>0</v>
      </c>
      <c r="H21" s="80">
        <v>0</v>
      </c>
      <c r="I21" s="80">
        <v>0</v>
      </c>
      <c r="J21" s="80">
        <v>0</v>
      </c>
      <c r="K21" s="80" t="s">
        <v>240</v>
      </c>
      <c r="L21" s="80" t="s">
        <v>317</v>
      </c>
      <c r="M21" s="80" t="s">
        <v>247</v>
      </c>
      <c r="N21" s="80" t="s">
        <v>257</v>
      </c>
      <c r="O21" s="80" t="s">
        <v>244</v>
      </c>
    </row>
    <row r="22" spans="1:15">
      <c r="A22" s="80">
        <v>205002</v>
      </c>
      <c r="B22" s="80" t="s">
        <v>258</v>
      </c>
      <c r="D22" s="80">
        <v>0</v>
      </c>
      <c r="E22" s="80">
        <v>0</v>
      </c>
      <c r="F22" s="80">
        <v>0</v>
      </c>
      <c r="G22" s="80">
        <v>0</v>
      </c>
      <c r="H22" s="80">
        <v>0</v>
      </c>
      <c r="I22" s="80">
        <v>0</v>
      </c>
      <c r="J22" s="80">
        <v>0</v>
      </c>
      <c r="K22" s="80" t="s">
        <v>240</v>
      </c>
      <c r="L22" s="80" t="s">
        <v>241</v>
      </c>
      <c r="M22" s="80" t="s">
        <v>242</v>
      </c>
      <c r="N22" s="80" t="s">
        <v>257</v>
      </c>
      <c r="O22" s="80" t="s">
        <v>244</v>
      </c>
    </row>
    <row r="23" spans="1:15">
      <c r="A23" s="80">
        <v>205003</v>
      </c>
      <c r="B23" s="80" t="s">
        <v>328</v>
      </c>
      <c r="D23" s="80">
        <v>0</v>
      </c>
      <c r="E23" s="80">
        <v>0</v>
      </c>
      <c r="F23" s="80">
        <v>0</v>
      </c>
      <c r="G23" s="80">
        <v>0</v>
      </c>
      <c r="H23" s="80">
        <v>0</v>
      </c>
      <c r="I23" s="80">
        <v>0</v>
      </c>
      <c r="J23" s="80">
        <v>0</v>
      </c>
      <c r="K23" s="80" t="s">
        <v>240</v>
      </c>
      <c r="L23" s="80" t="s">
        <v>317</v>
      </c>
      <c r="M23" s="80" t="s">
        <v>242</v>
      </c>
      <c r="N23" s="80" t="s">
        <v>257</v>
      </c>
      <c r="O23" s="80" t="s">
        <v>244</v>
      </c>
    </row>
    <row r="24" spans="1:15">
      <c r="A24" s="80">
        <v>205004</v>
      </c>
      <c r="B24" s="80" t="s">
        <v>259</v>
      </c>
      <c r="D24" s="80">
        <v>0</v>
      </c>
      <c r="E24" s="80">
        <v>0</v>
      </c>
      <c r="F24" s="80">
        <v>0</v>
      </c>
      <c r="G24" s="80">
        <v>0</v>
      </c>
      <c r="H24" s="80">
        <v>0</v>
      </c>
      <c r="I24" s="80">
        <v>0</v>
      </c>
      <c r="J24" s="80">
        <v>0</v>
      </c>
      <c r="K24" s="80" t="s">
        <v>240</v>
      </c>
      <c r="L24" s="80" t="s">
        <v>241</v>
      </c>
      <c r="M24" s="80" t="s">
        <v>246</v>
      </c>
      <c r="N24" s="80" t="s">
        <v>257</v>
      </c>
      <c r="O24" s="80" t="s">
        <v>244</v>
      </c>
    </row>
    <row r="25" spans="1:15">
      <c r="A25" s="80">
        <v>205005</v>
      </c>
      <c r="B25" s="80" t="s">
        <v>329</v>
      </c>
      <c r="D25" s="80">
        <v>0</v>
      </c>
      <c r="E25" s="80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 t="s">
        <v>240</v>
      </c>
      <c r="L25" s="80" t="s">
        <v>317</v>
      </c>
      <c r="M25" s="80" t="s">
        <v>246</v>
      </c>
      <c r="N25" s="80" t="s">
        <v>257</v>
      </c>
      <c r="O25" s="80" t="s">
        <v>244</v>
      </c>
    </row>
    <row r="26" spans="1:15">
      <c r="A26" s="80">
        <v>205032</v>
      </c>
      <c r="B26" s="80" t="s">
        <v>260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0">
        <v>0</v>
      </c>
      <c r="K26" s="80" t="s">
        <v>249</v>
      </c>
      <c r="L26" s="80" t="s">
        <v>241</v>
      </c>
      <c r="M26" s="80" t="s">
        <v>247</v>
      </c>
      <c r="N26" s="80" t="s">
        <v>257</v>
      </c>
      <c r="O26" s="80" t="s">
        <v>244</v>
      </c>
    </row>
    <row r="27" spans="1:15">
      <c r="A27" s="80">
        <v>205033</v>
      </c>
      <c r="B27" s="80" t="s">
        <v>330</v>
      </c>
      <c r="D27" s="80">
        <v>0</v>
      </c>
      <c r="E27" s="80">
        <v>0</v>
      </c>
      <c r="F27" s="80">
        <v>0</v>
      </c>
      <c r="G27" s="80">
        <v>0</v>
      </c>
      <c r="H27" s="80">
        <v>0</v>
      </c>
      <c r="I27" s="80">
        <v>0</v>
      </c>
      <c r="J27" s="80">
        <v>0</v>
      </c>
      <c r="K27" s="80" t="s">
        <v>249</v>
      </c>
      <c r="L27" s="80" t="s">
        <v>317</v>
      </c>
      <c r="M27" s="80" t="s">
        <v>247</v>
      </c>
      <c r="N27" s="80" t="s">
        <v>257</v>
      </c>
      <c r="O27" s="80" t="s">
        <v>244</v>
      </c>
    </row>
    <row r="28" spans="1:15">
      <c r="A28" s="80">
        <v>205034</v>
      </c>
      <c r="B28" s="80" t="s">
        <v>261</v>
      </c>
      <c r="D28" s="80">
        <v>0</v>
      </c>
      <c r="E28" s="80">
        <v>0</v>
      </c>
      <c r="F28" s="80">
        <v>0</v>
      </c>
      <c r="G28" s="80">
        <v>0</v>
      </c>
      <c r="H28" s="80">
        <v>0</v>
      </c>
      <c r="I28" s="80">
        <v>0</v>
      </c>
      <c r="J28" s="80">
        <v>0</v>
      </c>
      <c r="K28" s="80" t="s">
        <v>249</v>
      </c>
      <c r="L28" s="80" t="s">
        <v>241</v>
      </c>
      <c r="M28" s="80" t="s">
        <v>242</v>
      </c>
      <c r="N28" s="80" t="s">
        <v>257</v>
      </c>
      <c r="O28" s="80" t="s">
        <v>244</v>
      </c>
    </row>
    <row r="29" spans="1:15">
      <c r="A29" s="80">
        <v>205035</v>
      </c>
      <c r="B29" s="80" t="s">
        <v>331</v>
      </c>
      <c r="D29" s="80">
        <v>0</v>
      </c>
      <c r="E29" s="80">
        <v>0</v>
      </c>
      <c r="F29" s="80">
        <v>0</v>
      </c>
      <c r="G29" s="80">
        <v>0</v>
      </c>
      <c r="H29" s="80">
        <v>0</v>
      </c>
      <c r="I29" s="80">
        <v>0</v>
      </c>
      <c r="J29" s="80">
        <v>0</v>
      </c>
      <c r="K29" s="80" t="s">
        <v>249</v>
      </c>
      <c r="L29" s="80" t="s">
        <v>317</v>
      </c>
      <c r="M29" s="80" t="s">
        <v>242</v>
      </c>
      <c r="N29" s="80" t="s">
        <v>257</v>
      </c>
      <c r="O29" s="80" t="s">
        <v>244</v>
      </c>
    </row>
    <row r="30" spans="1:15">
      <c r="A30" s="80">
        <v>205036</v>
      </c>
      <c r="B30" s="80" t="s">
        <v>262</v>
      </c>
      <c r="D30" s="80">
        <v>0</v>
      </c>
      <c r="E30" s="80">
        <v>0</v>
      </c>
      <c r="F30" s="80">
        <v>0</v>
      </c>
      <c r="G30" s="80">
        <v>0</v>
      </c>
      <c r="H30" s="80">
        <v>0</v>
      </c>
      <c r="I30" s="80">
        <v>0</v>
      </c>
      <c r="J30" s="80">
        <v>0</v>
      </c>
      <c r="K30" s="80" t="s">
        <v>249</v>
      </c>
      <c r="L30" s="80" t="s">
        <v>241</v>
      </c>
      <c r="M30" s="80" t="s">
        <v>246</v>
      </c>
      <c r="N30" s="80" t="s">
        <v>257</v>
      </c>
      <c r="O30" s="80" t="s">
        <v>244</v>
      </c>
    </row>
    <row r="31" spans="1:15">
      <c r="A31" s="80">
        <v>205037</v>
      </c>
      <c r="B31" s="80" t="s">
        <v>332</v>
      </c>
      <c r="D31" s="80">
        <v>0</v>
      </c>
      <c r="E31" s="80">
        <v>0</v>
      </c>
      <c r="F31" s="80">
        <v>0</v>
      </c>
      <c r="G31" s="80">
        <v>0</v>
      </c>
      <c r="H31" s="80">
        <v>0</v>
      </c>
      <c r="I31" s="80">
        <v>0</v>
      </c>
      <c r="J31" s="80">
        <v>0</v>
      </c>
      <c r="K31" s="80" t="s">
        <v>249</v>
      </c>
      <c r="L31" s="80" t="s">
        <v>317</v>
      </c>
      <c r="M31" s="80" t="s">
        <v>246</v>
      </c>
      <c r="N31" s="80" t="s">
        <v>257</v>
      </c>
      <c r="O31" s="80" t="s">
        <v>244</v>
      </c>
    </row>
    <row r="32" spans="1:15">
      <c r="A32" s="80">
        <v>205064</v>
      </c>
      <c r="B32" s="80" t="s">
        <v>263</v>
      </c>
      <c r="D32" s="80">
        <v>0</v>
      </c>
      <c r="E32" s="80">
        <v>0</v>
      </c>
      <c r="F32" s="80">
        <v>0</v>
      </c>
      <c r="G32" s="80">
        <v>0</v>
      </c>
      <c r="H32" s="80">
        <v>0</v>
      </c>
      <c r="I32" s="80">
        <v>0</v>
      </c>
      <c r="J32" s="80">
        <v>0</v>
      </c>
      <c r="K32" s="80" t="s">
        <v>253</v>
      </c>
      <c r="L32" s="80" t="s">
        <v>241</v>
      </c>
      <c r="M32" s="80" t="s">
        <v>247</v>
      </c>
      <c r="N32" s="80" t="s">
        <v>257</v>
      </c>
      <c r="O32" s="80" t="s">
        <v>244</v>
      </c>
    </row>
    <row r="33" spans="1:15">
      <c r="A33" s="80">
        <v>205065</v>
      </c>
      <c r="B33" s="80" t="s">
        <v>333</v>
      </c>
      <c r="D33" s="80">
        <v>0</v>
      </c>
      <c r="E33" s="80">
        <v>0</v>
      </c>
      <c r="F33" s="80">
        <v>0</v>
      </c>
      <c r="G33" s="80">
        <v>0</v>
      </c>
      <c r="H33" s="80">
        <v>0</v>
      </c>
      <c r="I33" s="80">
        <v>0</v>
      </c>
      <c r="J33" s="80">
        <v>0</v>
      </c>
      <c r="K33" s="80" t="s">
        <v>253</v>
      </c>
      <c r="L33" s="80" t="s">
        <v>317</v>
      </c>
      <c r="M33" s="80" t="s">
        <v>247</v>
      </c>
      <c r="N33" s="80" t="s">
        <v>257</v>
      </c>
      <c r="O33" s="80" t="s">
        <v>244</v>
      </c>
    </row>
    <row r="34" spans="1:15">
      <c r="A34" s="80">
        <v>205066</v>
      </c>
      <c r="B34" s="80" t="s">
        <v>264</v>
      </c>
      <c r="D34" s="80">
        <v>0</v>
      </c>
      <c r="E34" s="80">
        <v>0</v>
      </c>
      <c r="F34" s="80">
        <v>0</v>
      </c>
      <c r="G34" s="80">
        <v>0</v>
      </c>
      <c r="H34" s="80">
        <v>0</v>
      </c>
      <c r="I34" s="80">
        <v>0</v>
      </c>
      <c r="J34" s="80">
        <v>0</v>
      </c>
      <c r="K34" s="80" t="s">
        <v>253</v>
      </c>
      <c r="L34" s="80" t="s">
        <v>241</v>
      </c>
      <c r="M34" s="80" t="s">
        <v>242</v>
      </c>
      <c r="N34" s="80" t="s">
        <v>257</v>
      </c>
      <c r="O34" s="80" t="s">
        <v>244</v>
      </c>
    </row>
    <row r="35" spans="1:15">
      <c r="A35" s="80">
        <v>205067</v>
      </c>
      <c r="B35" s="80" t="s">
        <v>334</v>
      </c>
      <c r="D35" s="80">
        <v>0</v>
      </c>
      <c r="E35" s="80">
        <v>0</v>
      </c>
      <c r="F35" s="80">
        <v>0</v>
      </c>
      <c r="G35" s="80">
        <v>0</v>
      </c>
      <c r="H35" s="80">
        <v>0</v>
      </c>
      <c r="I35" s="80">
        <v>0</v>
      </c>
      <c r="J35" s="80">
        <v>0</v>
      </c>
      <c r="K35" s="80" t="s">
        <v>253</v>
      </c>
      <c r="L35" s="80" t="s">
        <v>317</v>
      </c>
      <c r="M35" s="80" t="s">
        <v>242</v>
      </c>
      <c r="N35" s="80" t="s">
        <v>257</v>
      </c>
      <c r="O35" s="80" t="s">
        <v>244</v>
      </c>
    </row>
    <row r="36" spans="1:15">
      <c r="A36" s="80">
        <v>205068</v>
      </c>
      <c r="B36" s="80" t="s">
        <v>265</v>
      </c>
      <c r="D36" s="80">
        <v>0</v>
      </c>
      <c r="E36" s="80">
        <v>0</v>
      </c>
      <c r="F36" s="80">
        <v>0</v>
      </c>
      <c r="G36" s="80">
        <v>0</v>
      </c>
      <c r="H36" s="80">
        <v>0</v>
      </c>
      <c r="I36" s="80">
        <v>0</v>
      </c>
      <c r="J36" s="80">
        <v>0</v>
      </c>
      <c r="K36" s="80" t="s">
        <v>253</v>
      </c>
      <c r="L36" s="80" t="s">
        <v>241</v>
      </c>
      <c r="M36" s="80" t="s">
        <v>246</v>
      </c>
      <c r="N36" s="80" t="s">
        <v>257</v>
      </c>
      <c r="O36" s="80" t="s">
        <v>244</v>
      </c>
    </row>
    <row r="37" spans="1:15">
      <c r="A37" s="80">
        <v>205069</v>
      </c>
      <c r="B37" s="80" t="s">
        <v>335</v>
      </c>
      <c r="D37" s="80">
        <v>0</v>
      </c>
      <c r="E37" s="80">
        <v>0</v>
      </c>
      <c r="F37" s="80">
        <v>0</v>
      </c>
      <c r="G37" s="80">
        <v>0</v>
      </c>
      <c r="H37" s="80">
        <v>0</v>
      </c>
      <c r="I37" s="80">
        <v>0</v>
      </c>
      <c r="J37" s="80">
        <v>0</v>
      </c>
      <c r="K37" s="80" t="s">
        <v>253</v>
      </c>
      <c r="L37" s="80" t="s">
        <v>317</v>
      </c>
      <c r="M37" s="80" t="s">
        <v>246</v>
      </c>
      <c r="N37" s="80" t="s">
        <v>257</v>
      </c>
      <c r="O37" s="80" t="s">
        <v>244</v>
      </c>
    </row>
    <row r="38" spans="1:15">
      <c r="A38" s="80">
        <v>205096</v>
      </c>
      <c r="B38" s="80" t="s">
        <v>266</v>
      </c>
      <c r="D38" s="80">
        <v>0</v>
      </c>
      <c r="E38" s="80">
        <v>0</v>
      </c>
      <c r="F38" s="80">
        <v>0</v>
      </c>
      <c r="G38" s="80">
        <v>0</v>
      </c>
      <c r="H38" s="80">
        <v>0</v>
      </c>
      <c r="I38" s="80">
        <v>0</v>
      </c>
      <c r="J38" s="80">
        <v>0</v>
      </c>
      <c r="K38" s="80" t="s">
        <v>240</v>
      </c>
      <c r="L38" s="80" t="s">
        <v>241</v>
      </c>
      <c r="M38" s="80" t="s">
        <v>247</v>
      </c>
      <c r="N38" s="80" t="s">
        <v>267</v>
      </c>
      <c r="O38" s="80" t="s">
        <v>244</v>
      </c>
    </row>
    <row r="39" spans="1:15">
      <c r="A39" s="80">
        <v>205097</v>
      </c>
      <c r="B39" s="80" t="s">
        <v>336</v>
      </c>
      <c r="D39" s="80">
        <v>0</v>
      </c>
      <c r="E39" s="80">
        <v>0</v>
      </c>
      <c r="F39" s="80">
        <v>0</v>
      </c>
      <c r="G39" s="80">
        <v>0</v>
      </c>
      <c r="H39" s="80">
        <v>0</v>
      </c>
      <c r="I39" s="80">
        <v>0</v>
      </c>
      <c r="J39" s="80">
        <v>0</v>
      </c>
      <c r="K39" s="80" t="s">
        <v>240</v>
      </c>
      <c r="L39" s="80" t="s">
        <v>317</v>
      </c>
      <c r="M39" s="80" t="s">
        <v>247</v>
      </c>
      <c r="N39" s="80" t="s">
        <v>267</v>
      </c>
      <c r="O39" s="80" t="s">
        <v>244</v>
      </c>
    </row>
    <row r="40" spans="1:15">
      <c r="A40" s="80">
        <v>205098</v>
      </c>
      <c r="B40" s="80" t="s">
        <v>268</v>
      </c>
      <c r="D40" s="80">
        <v>0</v>
      </c>
      <c r="E40" s="80">
        <v>0</v>
      </c>
      <c r="F40" s="80">
        <v>0</v>
      </c>
      <c r="G40" s="80">
        <v>0</v>
      </c>
      <c r="H40" s="80">
        <v>0</v>
      </c>
      <c r="I40" s="80">
        <v>0</v>
      </c>
      <c r="J40" s="80">
        <v>0</v>
      </c>
      <c r="K40" s="80" t="s">
        <v>240</v>
      </c>
      <c r="L40" s="80" t="s">
        <v>241</v>
      </c>
      <c r="M40" s="80" t="s">
        <v>242</v>
      </c>
      <c r="N40" s="80" t="s">
        <v>267</v>
      </c>
      <c r="O40" s="80" t="s">
        <v>244</v>
      </c>
    </row>
    <row r="41" spans="1:15">
      <c r="A41" s="80">
        <v>205099</v>
      </c>
      <c r="B41" s="80" t="s">
        <v>337</v>
      </c>
      <c r="D41" s="80">
        <v>0</v>
      </c>
      <c r="E41" s="80">
        <v>0</v>
      </c>
      <c r="F41" s="80">
        <v>0</v>
      </c>
      <c r="G41" s="80">
        <v>0</v>
      </c>
      <c r="H41" s="80">
        <v>0</v>
      </c>
      <c r="I41" s="80">
        <v>0</v>
      </c>
      <c r="J41" s="80">
        <v>0</v>
      </c>
      <c r="K41" s="80" t="s">
        <v>240</v>
      </c>
      <c r="L41" s="80" t="s">
        <v>317</v>
      </c>
      <c r="M41" s="80" t="s">
        <v>242</v>
      </c>
      <c r="N41" s="80" t="s">
        <v>267</v>
      </c>
      <c r="O41" s="80" t="s">
        <v>244</v>
      </c>
    </row>
    <row r="42" spans="1:15">
      <c r="A42" s="80">
        <v>205100</v>
      </c>
      <c r="B42" s="80" t="s">
        <v>269</v>
      </c>
      <c r="D42" s="80">
        <v>0</v>
      </c>
      <c r="E42" s="80">
        <v>0</v>
      </c>
      <c r="F42" s="80">
        <v>0</v>
      </c>
      <c r="G42" s="80">
        <v>0</v>
      </c>
      <c r="H42" s="80">
        <v>0</v>
      </c>
      <c r="I42" s="80">
        <v>0</v>
      </c>
      <c r="J42" s="80">
        <v>0</v>
      </c>
      <c r="K42" s="80" t="s">
        <v>240</v>
      </c>
      <c r="L42" s="80" t="s">
        <v>241</v>
      </c>
      <c r="M42" s="80" t="s">
        <v>246</v>
      </c>
      <c r="N42" s="80" t="s">
        <v>267</v>
      </c>
      <c r="O42" s="80" t="s">
        <v>244</v>
      </c>
    </row>
    <row r="43" spans="1:15">
      <c r="A43" s="80">
        <v>205101</v>
      </c>
      <c r="B43" s="80" t="s">
        <v>338</v>
      </c>
      <c r="D43" s="80">
        <v>0</v>
      </c>
      <c r="E43" s="80">
        <v>0</v>
      </c>
      <c r="F43" s="80">
        <v>0</v>
      </c>
      <c r="G43" s="80">
        <v>0</v>
      </c>
      <c r="H43" s="80">
        <v>0</v>
      </c>
      <c r="I43" s="80">
        <v>0</v>
      </c>
      <c r="J43" s="80">
        <v>0</v>
      </c>
      <c r="K43" s="80" t="s">
        <v>240</v>
      </c>
      <c r="L43" s="80" t="s">
        <v>317</v>
      </c>
      <c r="M43" s="80" t="s">
        <v>246</v>
      </c>
      <c r="N43" s="80" t="s">
        <v>267</v>
      </c>
      <c r="O43" s="80" t="s">
        <v>244</v>
      </c>
    </row>
    <row r="44" spans="1:15">
      <c r="A44" s="80">
        <v>205128</v>
      </c>
      <c r="B44" s="80" t="s">
        <v>270</v>
      </c>
      <c r="D44" s="80">
        <v>0</v>
      </c>
      <c r="E44" s="80">
        <v>0</v>
      </c>
      <c r="F44" s="80">
        <v>0</v>
      </c>
      <c r="G44" s="80">
        <v>0</v>
      </c>
      <c r="H44" s="80">
        <v>0</v>
      </c>
      <c r="I44" s="80">
        <v>0</v>
      </c>
      <c r="J44" s="80">
        <v>0</v>
      </c>
      <c r="K44" s="80" t="s">
        <v>249</v>
      </c>
      <c r="L44" s="80" t="s">
        <v>241</v>
      </c>
      <c r="M44" s="80" t="s">
        <v>247</v>
      </c>
      <c r="N44" s="80" t="s">
        <v>267</v>
      </c>
      <c r="O44" s="80" t="s">
        <v>244</v>
      </c>
    </row>
    <row r="45" spans="1:15">
      <c r="A45" s="80">
        <v>205129</v>
      </c>
      <c r="B45" s="80" t="s">
        <v>339</v>
      </c>
      <c r="D45" s="80">
        <v>0</v>
      </c>
      <c r="E45" s="80">
        <v>0</v>
      </c>
      <c r="F45" s="80">
        <v>0</v>
      </c>
      <c r="G45" s="80">
        <v>0</v>
      </c>
      <c r="H45" s="80">
        <v>0</v>
      </c>
      <c r="I45" s="80">
        <v>0</v>
      </c>
      <c r="J45" s="80">
        <v>0</v>
      </c>
      <c r="K45" s="80" t="s">
        <v>249</v>
      </c>
      <c r="L45" s="80" t="s">
        <v>317</v>
      </c>
      <c r="M45" s="80" t="s">
        <v>247</v>
      </c>
      <c r="N45" s="80" t="s">
        <v>267</v>
      </c>
      <c r="O45" s="80" t="s">
        <v>244</v>
      </c>
    </row>
    <row r="46" spans="1:15">
      <c r="A46" s="80">
        <v>205130</v>
      </c>
      <c r="B46" s="80" t="s">
        <v>271</v>
      </c>
      <c r="D46" s="80">
        <v>0</v>
      </c>
      <c r="E46" s="80">
        <v>0</v>
      </c>
      <c r="F46" s="80">
        <v>0</v>
      </c>
      <c r="G46" s="80">
        <v>0</v>
      </c>
      <c r="H46" s="80">
        <v>0</v>
      </c>
      <c r="I46" s="80">
        <v>0</v>
      </c>
      <c r="J46" s="80">
        <v>0</v>
      </c>
      <c r="K46" s="80" t="s">
        <v>249</v>
      </c>
      <c r="L46" s="80" t="s">
        <v>241</v>
      </c>
      <c r="M46" s="80" t="s">
        <v>242</v>
      </c>
      <c r="N46" s="80" t="s">
        <v>267</v>
      </c>
      <c r="O46" s="80" t="s">
        <v>244</v>
      </c>
    </row>
    <row r="47" spans="1:15">
      <c r="A47" s="80">
        <v>205131</v>
      </c>
      <c r="B47" s="80" t="s">
        <v>340</v>
      </c>
      <c r="D47" s="80">
        <v>0</v>
      </c>
      <c r="E47" s="80">
        <v>0</v>
      </c>
      <c r="F47" s="80">
        <v>0</v>
      </c>
      <c r="G47" s="80">
        <v>0</v>
      </c>
      <c r="H47" s="80">
        <v>0</v>
      </c>
      <c r="I47" s="80">
        <v>0</v>
      </c>
      <c r="J47" s="80">
        <v>0</v>
      </c>
      <c r="K47" s="80" t="s">
        <v>249</v>
      </c>
      <c r="L47" s="80" t="s">
        <v>317</v>
      </c>
      <c r="M47" s="80" t="s">
        <v>242</v>
      </c>
      <c r="N47" s="80" t="s">
        <v>267</v>
      </c>
      <c r="O47" s="80" t="s">
        <v>244</v>
      </c>
    </row>
    <row r="48" spans="1:15">
      <c r="A48" s="80">
        <v>205132</v>
      </c>
      <c r="B48" s="80" t="s">
        <v>272</v>
      </c>
      <c r="D48" s="80">
        <v>0</v>
      </c>
      <c r="E48" s="80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 t="s">
        <v>249</v>
      </c>
      <c r="L48" s="80" t="s">
        <v>241</v>
      </c>
      <c r="M48" s="80" t="s">
        <v>246</v>
      </c>
      <c r="N48" s="80" t="s">
        <v>267</v>
      </c>
      <c r="O48" s="80" t="s">
        <v>244</v>
      </c>
    </row>
    <row r="49" spans="1:15">
      <c r="A49" s="80">
        <v>205133</v>
      </c>
      <c r="B49" s="80" t="s">
        <v>341</v>
      </c>
      <c r="D49" s="80">
        <v>0</v>
      </c>
      <c r="E49" s="80">
        <v>0</v>
      </c>
      <c r="F49" s="80">
        <v>0</v>
      </c>
      <c r="G49" s="80">
        <v>0</v>
      </c>
      <c r="H49" s="80">
        <v>0</v>
      </c>
      <c r="I49" s="80">
        <v>0</v>
      </c>
      <c r="J49" s="80">
        <v>0</v>
      </c>
      <c r="K49" s="80" t="s">
        <v>249</v>
      </c>
      <c r="L49" s="80" t="s">
        <v>317</v>
      </c>
      <c r="M49" s="80" t="s">
        <v>246</v>
      </c>
      <c r="N49" s="80" t="s">
        <v>267</v>
      </c>
      <c r="O49" s="80" t="s">
        <v>244</v>
      </c>
    </row>
    <row r="50" spans="1:15">
      <c r="A50" s="80">
        <v>205160</v>
      </c>
      <c r="B50" s="80" t="s">
        <v>273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 t="s">
        <v>253</v>
      </c>
      <c r="L50" s="80" t="s">
        <v>241</v>
      </c>
      <c r="M50" s="80" t="s">
        <v>247</v>
      </c>
      <c r="N50" s="80" t="s">
        <v>267</v>
      </c>
      <c r="O50" s="80" t="s">
        <v>244</v>
      </c>
    </row>
    <row r="51" spans="1:15">
      <c r="A51" s="80">
        <v>205161</v>
      </c>
      <c r="B51" s="80" t="s">
        <v>342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 t="s">
        <v>253</v>
      </c>
      <c r="L51" s="80" t="s">
        <v>317</v>
      </c>
      <c r="M51" s="80" t="s">
        <v>247</v>
      </c>
      <c r="N51" s="80" t="s">
        <v>267</v>
      </c>
      <c r="O51" s="80" t="s">
        <v>244</v>
      </c>
    </row>
    <row r="52" spans="1:15">
      <c r="A52" s="80">
        <v>205162</v>
      </c>
      <c r="B52" s="80" t="s">
        <v>274</v>
      </c>
      <c r="D52" s="80">
        <v>0</v>
      </c>
      <c r="E52" s="80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 t="s">
        <v>253</v>
      </c>
      <c r="L52" s="80" t="s">
        <v>241</v>
      </c>
      <c r="M52" s="80" t="s">
        <v>242</v>
      </c>
      <c r="N52" s="80" t="s">
        <v>267</v>
      </c>
      <c r="O52" s="80" t="s">
        <v>244</v>
      </c>
    </row>
    <row r="53" spans="1:15">
      <c r="A53" s="80">
        <v>205163</v>
      </c>
      <c r="B53" s="80" t="s">
        <v>343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 t="s">
        <v>253</v>
      </c>
      <c r="L53" s="80" t="s">
        <v>317</v>
      </c>
      <c r="M53" s="80" t="s">
        <v>242</v>
      </c>
      <c r="N53" s="80" t="s">
        <v>267</v>
      </c>
      <c r="O53" s="80" t="s">
        <v>244</v>
      </c>
    </row>
    <row r="54" spans="1:15">
      <c r="A54" s="80">
        <v>205164</v>
      </c>
      <c r="B54" s="80" t="s">
        <v>275</v>
      </c>
      <c r="D54" s="80">
        <v>0</v>
      </c>
      <c r="E54" s="80">
        <v>0</v>
      </c>
      <c r="F54" s="80">
        <v>0</v>
      </c>
      <c r="G54" s="80">
        <v>0</v>
      </c>
      <c r="H54" s="80">
        <v>0</v>
      </c>
      <c r="I54" s="80">
        <v>0</v>
      </c>
      <c r="J54" s="80">
        <v>0</v>
      </c>
      <c r="K54" s="80" t="s">
        <v>253</v>
      </c>
      <c r="L54" s="80" t="s">
        <v>241</v>
      </c>
      <c r="M54" s="80" t="s">
        <v>246</v>
      </c>
      <c r="N54" s="80" t="s">
        <v>267</v>
      </c>
      <c r="O54" s="80" t="s">
        <v>244</v>
      </c>
    </row>
    <row r="55" spans="1:15">
      <c r="A55" s="80">
        <v>205165</v>
      </c>
      <c r="B55" s="80" t="s">
        <v>344</v>
      </c>
      <c r="D55" s="80">
        <v>0</v>
      </c>
      <c r="E55" s="80">
        <v>0</v>
      </c>
      <c r="F55" s="80">
        <v>0</v>
      </c>
      <c r="G55" s="80">
        <v>0</v>
      </c>
      <c r="H55" s="80">
        <v>0</v>
      </c>
      <c r="I55" s="80">
        <v>0</v>
      </c>
      <c r="J55" s="80">
        <v>0</v>
      </c>
      <c r="K55" s="80" t="s">
        <v>253</v>
      </c>
      <c r="L55" s="80" t="s">
        <v>317</v>
      </c>
      <c r="M55" s="80" t="s">
        <v>246</v>
      </c>
      <c r="N55" s="80" t="s">
        <v>267</v>
      </c>
      <c r="O55" s="80" t="s">
        <v>244</v>
      </c>
    </row>
    <row r="56" spans="1:15">
      <c r="A56" s="80">
        <v>205198</v>
      </c>
      <c r="B56" s="80" t="s">
        <v>276</v>
      </c>
      <c r="D56" s="80">
        <v>0</v>
      </c>
      <c r="E56" s="80">
        <v>0</v>
      </c>
      <c r="F56" s="80">
        <v>0</v>
      </c>
      <c r="G56" s="80">
        <v>0</v>
      </c>
      <c r="H56" s="80">
        <v>0</v>
      </c>
      <c r="I56" s="80">
        <v>0</v>
      </c>
      <c r="J56" s="80">
        <v>0</v>
      </c>
      <c r="K56" s="80" t="s">
        <v>240</v>
      </c>
      <c r="L56" s="80" t="s">
        <v>241</v>
      </c>
      <c r="M56" s="80" t="s">
        <v>277</v>
      </c>
      <c r="N56" s="80" t="s">
        <v>278</v>
      </c>
      <c r="O56" s="80" t="s">
        <v>244</v>
      </c>
    </row>
    <row r="57" spans="1:15">
      <c r="A57" s="80">
        <v>205199</v>
      </c>
      <c r="B57" s="80" t="s">
        <v>345</v>
      </c>
      <c r="D57" s="80">
        <v>0</v>
      </c>
      <c r="E57" s="80">
        <v>0</v>
      </c>
      <c r="F57" s="80">
        <v>0</v>
      </c>
      <c r="G57" s="80">
        <v>0</v>
      </c>
      <c r="H57" s="80">
        <v>0</v>
      </c>
      <c r="I57" s="80">
        <v>0</v>
      </c>
      <c r="J57" s="80">
        <v>0</v>
      </c>
      <c r="K57" s="80" t="s">
        <v>240</v>
      </c>
      <c r="L57" s="80" t="s">
        <v>317</v>
      </c>
      <c r="M57" s="80" t="s">
        <v>277</v>
      </c>
      <c r="N57" s="80" t="s">
        <v>278</v>
      </c>
      <c r="O57" s="80" t="s">
        <v>244</v>
      </c>
    </row>
    <row r="58" spans="1:15">
      <c r="A58" s="80">
        <v>205230</v>
      </c>
      <c r="B58" s="80" t="s">
        <v>279</v>
      </c>
      <c r="D58" s="80">
        <v>0</v>
      </c>
      <c r="E58" s="80">
        <v>0</v>
      </c>
      <c r="F58" s="80">
        <v>0</v>
      </c>
      <c r="G58" s="80">
        <v>0</v>
      </c>
      <c r="H58" s="80">
        <v>0</v>
      </c>
      <c r="I58" s="80">
        <v>0</v>
      </c>
      <c r="J58" s="80">
        <v>0</v>
      </c>
      <c r="K58" s="80" t="s">
        <v>249</v>
      </c>
      <c r="L58" s="80" t="s">
        <v>241</v>
      </c>
      <c r="M58" s="80" t="s">
        <v>277</v>
      </c>
      <c r="N58" s="80" t="s">
        <v>278</v>
      </c>
      <c r="O58" s="80" t="s">
        <v>244</v>
      </c>
    </row>
    <row r="59" spans="1:15">
      <c r="A59" s="80">
        <v>205231</v>
      </c>
      <c r="B59" s="80" t="s">
        <v>346</v>
      </c>
      <c r="D59" s="80">
        <v>0</v>
      </c>
      <c r="E59" s="80">
        <v>0</v>
      </c>
      <c r="F59" s="80">
        <v>0</v>
      </c>
      <c r="G59" s="80">
        <v>0</v>
      </c>
      <c r="H59" s="80">
        <v>0</v>
      </c>
      <c r="I59" s="80">
        <v>0</v>
      </c>
      <c r="J59" s="80">
        <v>0</v>
      </c>
      <c r="K59" s="80" t="s">
        <v>249</v>
      </c>
      <c r="L59" s="80" t="s">
        <v>317</v>
      </c>
      <c r="M59" s="80" t="s">
        <v>277</v>
      </c>
      <c r="N59" s="80" t="s">
        <v>278</v>
      </c>
      <c r="O59" s="80" t="s">
        <v>244</v>
      </c>
    </row>
    <row r="60" spans="1:15">
      <c r="A60" s="80">
        <v>205262</v>
      </c>
      <c r="B60" s="80" t="s">
        <v>280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 t="s">
        <v>253</v>
      </c>
      <c r="L60" s="80" t="s">
        <v>241</v>
      </c>
      <c r="M60" s="80" t="s">
        <v>277</v>
      </c>
      <c r="N60" s="80" t="s">
        <v>278</v>
      </c>
      <c r="O60" s="80" t="s">
        <v>244</v>
      </c>
    </row>
    <row r="61" spans="1:15">
      <c r="A61" s="80">
        <v>205263</v>
      </c>
      <c r="B61" s="80" t="s">
        <v>347</v>
      </c>
      <c r="D61" s="80">
        <v>0</v>
      </c>
      <c r="E61" s="80">
        <v>0</v>
      </c>
      <c r="F61" s="80">
        <v>0</v>
      </c>
      <c r="G61" s="80">
        <v>0</v>
      </c>
      <c r="H61" s="80">
        <v>0</v>
      </c>
      <c r="I61" s="80">
        <v>0</v>
      </c>
      <c r="J61" s="80">
        <v>0</v>
      </c>
      <c r="K61" s="80" t="s">
        <v>253</v>
      </c>
      <c r="L61" s="80" t="s">
        <v>317</v>
      </c>
      <c r="M61" s="80" t="s">
        <v>277</v>
      </c>
      <c r="N61" s="80" t="s">
        <v>278</v>
      </c>
      <c r="O61" s="80" t="s">
        <v>244</v>
      </c>
    </row>
    <row r="62" spans="1:15">
      <c r="A62" s="80">
        <v>205288</v>
      </c>
      <c r="B62" s="80" t="s">
        <v>281</v>
      </c>
      <c r="D62" s="80">
        <v>0</v>
      </c>
      <c r="E62" s="80">
        <v>0</v>
      </c>
      <c r="F62" s="80">
        <v>0</v>
      </c>
      <c r="G62" s="80">
        <v>0</v>
      </c>
      <c r="H62" s="80">
        <v>0</v>
      </c>
      <c r="I62" s="80">
        <v>0</v>
      </c>
      <c r="J62" s="80">
        <v>0</v>
      </c>
      <c r="K62" s="80" t="s">
        <v>240</v>
      </c>
      <c r="L62" s="80" t="s">
        <v>241</v>
      </c>
      <c r="M62" s="80" t="s">
        <v>247</v>
      </c>
      <c r="N62" s="80" t="s">
        <v>282</v>
      </c>
      <c r="O62" s="80" t="s">
        <v>244</v>
      </c>
    </row>
    <row r="63" spans="1:15">
      <c r="A63" s="80">
        <v>205289</v>
      </c>
      <c r="B63" s="80" t="s">
        <v>348</v>
      </c>
      <c r="D63" s="80">
        <v>0</v>
      </c>
      <c r="E63" s="80">
        <v>0</v>
      </c>
      <c r="F63" s="80">
        <v>0</v>
      </c>
      <c r="G63" s="80">
        <v>0</v>
      </c>
      <c r="H63" s="80">
        <v>0</v>
      </c>
      <c r="I63" s="80">
        <v>0</v>
      </c>
      <c r="J63" s="80">
        <v>0</v>
      </c>
      <c r="K63" s="80" t="s">
        <v>240</v>
      </c>
      <c r="L63" s="80" t="s">
        <v>317</v>
      </c>
      <c r="M63" s="80" t="s">
        <v>247</v>
      </c>
      <c r="N63" s="80" t="s">
        <v>282</v>
      </c>
      <c r="O63" s="80" t="s">
        <v>244</v>
      </c>
    </row>
    <row r="64" spans="1:15">
      <c r="A64" s="80">
        <v>205290</v>
      </c>
      <c r="B64" s="80" t="s">
        <v>283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 t="s">
        <v>240</v>
      </c>
      <c r="L64" s="80" t="s">
        <v>241</v>
      </c>
      <c r="M64" s="80" t="s">
        <v>242</v>
      </c>
      <c r="N64" s="80" t="s">
        <v>282</v>
      </c>
      <c r="O64" s="80" t="s">
        <v>244</v>
      </c>
    </row>
    <row r="65" spans="1:15">
      <c r="A65" s="80">
        <v>205291</v>
      </c>
      <c r="B65" s="80" t="s">
        <v>349</v>
      </c>
      <c r="D65" s="80">
        <v>0</v>
      </c>
      <c r="E65" s="80">
        <v>0</v>
      </c>
      <c r="F65" s="80">
        <v>0</v>
      </c>
      <c r="G65" s="80">
        <v>0</v>
      </c>
      <c r="H65" s="80">
        <v>0</v>
      </c>
      <c r="I65" s="80">
        <v>0</v>
      </c>
      <c r="J65" s="80">
        <v>0</v>
      </c>
      <c r="K65" s="80" t="s">
        <v>240</v>
      </c>
      <c r="L65" s="80" t="s">
        <v>317</v>
      </c>
      <c r="M65" s="80" t="s">
        <v>242</v>
      </c>
      <c r="N65" s="80" t="s">
        <v>282</v>
      </c>
      <c r="O65" s="80" t="s">
        <v>244</v>
      </c>
    </row>
    <row r="66" spans="1:15">
      <c r="A66" s="80">
        <v>205292</v>
      </c>
      <c r="B66" s="80" t="s">
        <v>284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 t="s">
        <v>240</v>
      </c>
      <c r="L66" s="80" t="s">
        <v>241</v>
      </c>
      <c r="M66" s="80" t="s">
        <v>246</v>
      </c>
      <c r="N66" s="80" t="s">
        <v>282</v>
      </c>
      <c r="O66" s="80" t="s">
        <v>244</v>
      </c>
    </row>
    <row r="67" spans="1:15">
      <c r="A67" s="80">
        <v>205293</v>
      </c>
      <c r="B67" s="80" t="s">
        <v>350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 t="s">
        <v>240</v>
      </c>
      <c r="L67" s="80" t="s">
        <v>317</v>
      </c>
      <c r="M67" s="80" t="s">
        <v>246</v>
      </c>
      <c r="N67" s="80" t="s">
        <v>282</v>
      </c>
      <c r="O67" s="80" t="s">
        <v>244</v>
      </c>
    </row>
    <row r="68" spans="1:15">
      <c r="A68" s="80">
        <v>205320</v>
      </c>
      <c r="B68" s="80" t="s">
        <v>285</v>
      </c>
      <c r="D68" s="80">
        <v>0</v>
      </c>
      <c r="E68" s="80">
        <v>0</v>
      </c>
      <c r="F68" s="80">
        <v>0</v>
      </c>
      <c r="G68" s="80">
        <v>0</v>
      </c>
      <c r="H68" s="80">
        <v>0</v>
      </c>
      <c r="I68" s="80">
        <v>0</v>
      </c>
      <c r="J68" s="80">
        <v>0</v>
      </c>
      <c r="K68" s="80" t="s">
        <v>249</v>
      </c>
      <c r="L68" s="80" t="s">
        <v>241</v>
      </c>
      <c r="M68" s="80" t="s">
        <v>247</v>
      </c>
      <c r="N68" s="80" t="s">
        <v>282</v>
      </c>
      <c r="O68" s="80" t="s">
        <v>244</v>
      </c>
    </row>
    <row r="69" spans="1:15">
      <c r="A69" s="80">
        <v>205321</v>
      </c>
      <c r="B69" s="80" t="s">
        <v>351</v>
      </c>
      <c r="D69" s="80">
        <v>0</v>
      </c>
      <c r="E69" s="80">
        <v>0</v>
      </c>
      <c r="F69" s="80">
        <v>0</v>
      </c>
      <c r="G69" s="80">
        <v>0</v>
      </c>
      <c r="H69" s="80">
        <v>0</v>
      </c>
      <c r="I69" s="80">
        <v>0</v>
      </c>
      <c r="J69" s="80">
        <v>0</v>
      </c>
      <c r="K69" s="80" t="s">
        <v>249</v>
      </c>
      <c r="L69" s="80" t="s">
        <v>317</v>
      </c>
      <c r="M69" s="80" t="s">
        <v>247</v>
      </c>
      <c r="N69" s="80" t="s">
        <v>282</v>
      </c>
      <c r="O69" s="80" t="s">
        <v>244</v>
      </c>
    </row>
    <row r="70" spans="1:15">
      <c r="A70" s="80">
        <v>205322</v>
      </c>
      <c r="B70" s="80" t="s">
        <v>286</v>
      </c>
      <c r="D70" s="80">
        <v>0</v>
      </c>
      <c r="E70" s="80">
        <v>0</v>
      </c>
      <c r="F70" s="80">
        <v>0</v>
      </c>
      <c r="G70" s="80">
        <v>0</v>
      </c>
      <c r="H70" s="80">
        <v>0</v>
      </c>
      <c r="I70" s="80">
        <v>0</v>
      </c>
      <c r="J70" s="80">
        <v>0</v>
      </c>
      <c r="K70" s="80" t="s">
        <v>249</v>
      </c>
      <c r="L70" s="80" t="s">
        <v>241</v>
      </c>
      <c r="M70" s="80" t="s">
        <v>242</v>
      </c>
      <c r="N70" s="80" t="s">
        <v>282</v>
      </c>
      <c r="O70" s="80" t="s">
        <v>244</v>
      </c>
    </row>
    <row r="71" spans="1:15">
      <c r="A71" s="80">
        <v>205323</v>
      </c>
      <c r="B71" s="80" t="s">
        <v>352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 t="s">
        <v>249</v>
      </c>
      <c r="L71" s="80" t="s">
        <v>317</v>
      </c>
      <c r="M71" s="80" t="s">
        <v>242</v>
      </c>
      <c r="N71" s="80" t="s">
        <v>282</v>
      </c>
      <c r="O71" s="80" t="s">
        <v>244</v>
      </c>
    </row>
    <row r="72" spans="1:15">
      <c r="A72" s="80">
        <v>205324</v>
      </c>
      <c r="B72" s="80" t="s">
        <v>287</v>
      </c>
      <c r="D72" s="80">
        <v>0</v>
      </c>
      <c r="E72" s="80">
        <v>0</v>
      </c>
      <c r="F72" s="80">
        <v>0</v>
      </c>
      <c r="G72" s="80">
        <v>0</v>
      </c>
      <c r="H72" s="80">
        <v>0</v>
      </c>
      <c r="I72" s="80">
        <v>0</v>
      </c>
      <c r="J72" s="80">
        <v>0</v>
      </c>
      <c r="K72" s="80" t="s">
        <v>249</v>
      </c>
      <c r="L72" s="80" t="s">
        <v>241</v>
      </c>
      <c r="M72" s="80" t="s">
        <v>246</v>
      </c>
      <c r="N72" s="80" t="s">
        <v>282</v>
      </c>
      <c r="O72" s="80" t="s">
        <v>244</v>
      </c>
    </row>
    <row r="73" spans="1:15">
      <c r="A73" s="80">
        <v>205325</v>
      </c>
      <c r="B73" s="80" t="s">
        <v>353</v>
      </c>
      <c r="D73" s="80">
        <v>0</v>
      </c>
      <c r="E73" s="80">
        <v>0</v>
      </c>
      <c r="F73" s="80">
        <v>0</v>
      </c>
      <c r="G73" s="80">
        <v>0</v>
      </c>
      <c r="H73" s="80">
        <v>0</v>
      </c>
      <c r="I73" s="80">
        <v>0</v>
      </c>
      <c r="J73" s="80">
        <v>0</v>
      </c>
      <c r="K73" s="80" t="s">
        <v>249</v>
      </c>
      <c r="L73" s="80" t="s">
        <v>317</v>
      </c>
      <c r="M73" s="80" t="s">
        <v>246</v>
      </c>
      <c r="N73" s="80" t="s">
        <v>282</v>
      </c>
      <c r="O73" s="80" t="s">
        <v>244</v>
      </c>
    </row>
    <row r="74" spans="1:15">
      <c r="A74" s="80">
        <v>205352</v>
      </c>
      <c r="B74" s="80" t="s">
        <v>288</v>
      </c>
      <c r="D74" s="80">
        <v>0</v>
      </c>
      <c r="E74" s="80">
        <v>0</v>
      </c>
      <c r="F74" s="80">
        <v>0</v>
      </c>
      <c r="G74" s="80">
        <v>0</v>
      </c>
      <c r="H74" s="80">
        <v>0</v>
      </c>
      <c r="I74" s="80">
        <v>0</v>
      </c>
      <c r="J74" s="80">
        <v>0</v>
      </c>
      <c r="K74" s="80" t="s">
        <v>253</v>
      </c>
      <c r="L74" s="80" t="s">
        <v>241</v>
      </c>
      <c r="M74" s="80" t="s">
        <v>247</v>
      </c>
      <c r="N74" s="80" t="s">
        <v>282</v>
      </c>
      <c r="O74" s="80" t="s">
        <v>244</v>
      </c>
    </row>
    <row r="75" spans="1:15">
      <c r="A75" s="80">
        <v>205353</v>
      </c>
      <c r="B75" s="80" t="s">
        <v>354</v>
      </c>
      <c r="D75" s="80">
        <v>0</v>
      </c>
      <c r="E75" s="80">
        <v>0</v>
      </c>
      <c r="F75" s="80">
        <v>0</v>
      </c>
      <c r="G75" s="80">
        <v>0</v>
      </c>
      <c r="H75" s="80">
        <v>0</v>
      </c>
      <c r="I75" s="80">
        <v>0</v>
      </c>
      <c r="J75" s="80">
        <v>0</v>
      </c>
      <c r="K75" s="80" t="s">
        <v>253</v>
      </c>
      <c r="L75" s="80" t="s">
        <v>317</v>
      </c>
      <c r="M75" s="80" t="s">
        <v>247</v>
      </c>
      <c r="N75" s="80" t="s">
        <v>282</v>
      </c>
      <c r="O75" s="80" t="s">
        <v>244</v>
      </c>
    </row>
    <row r="76" spans="1:15">
      <c r="A76" s="80">
        <v>205354</v>
      </c>
      <c r="B76" s="80" t="s">
        <v>289</v>
      </c>
      <c r="D76" s="80">
        <v>0</v>
      </c>
      <c r="E76" s="80">
        <v>0</v>
      </c>
      <c r="F76" s="80">
        <v>0</v>
      </c>
      <c r="G76" s="80">
        <v>0</v>
      </c>
      <c r="H76" s="80">
        <v>0</v>
      </c>
      <c r="I76" s="80">
        <v>0</v>
      </c>
      <c r="J76" s="80">
        <v>0</v>
      </c>
      <c r="K76" s="80" t="s">
        <v>253</v>
      </c>
      <c r="L76" s="80" t="s">
        <v>241</v>
      </c>
      <c r="M76" s="80" t="s">
        <v>242</v>
      </c>
      <c r="N76" s="80" t="s">
        <v>282</v>
      </c>
      <c r="O76" s="80" t="s">
        <v>244</v>
      </c>
    </row>
    <row r="77" spans="1:15">
      <c r="A77" s="80">
        <v>205355</v>
      </c>
      <c r="B77" s="80" t="s">
        <v>355</v>
      </c>
      <c r="D77" s="80">
        <v>0</v>
      </c>
      <c r="E77" s="80">
        <v>0</v>
      </c>
      <c r="F77" s="80">
        <v>0</v>
      </c>
      <c r="G77" s="80">
        <v>0</v>
      </c>
      <c r="H77" s="80">
        <v>0</v>
      </c>
      <c r="I77" s="80">
        <v>0</v>
      </c>
      <c r="J77" s="80">
        <v>0</v>
      </c>
      <c r="K77" s="80" t="s">
        <v>253</v>
      </c>
      <c r="L77" s="80" t="s">
        <v>317</v>
      </c>
      <c r="M77" s="80" t="s">
        <v>242</v>
      </c>
      <c r="N77" s="80" t="s">
        <v>282</v>
      </c>
      <c r="O77" s="80" t="s">
        <v>244</v>
      </c>
    </row>
    <row r="78" spans="1:15">
      <c r="A78" s="80">
        <v>205356</v>
      </c>
      <c r="B78" s="80" t="s">
        <v>290</v>
      </c>
      <c r="D78" s="80">
        <v>0</v>
      </c>
      <c r="E78" s="80">
        <v>0</v>
      </c>
      <c r="F78" s="80">
        <v>0</v>
      </c>
      <c r="G78" s="80">
        <v>0</v>
      </c>
      <c r="H78" s="80">
        <v>0</v>
      </c>
      <c r="I78" s="80">
        <v>0</v>
      </c>
      <c r="J78" s="80">
        <v>0</v>
      </c>
      <c r="K78" s="80" t="s">
        <v>253</v>
      </c>
      <c r="L78" s="80" t="s">
        <v>241</v>
      </c>
      <c r="M78" s="80" t="s">
        <v>246</v>
      </c>
      <c r="N78" s="80" t="s">
        <v>282</v>
      </c>
      <c r="O78" s="80" t="s">
        <v>244</v>
      </c>
    </row>
    <row r="79" spans="1:15">
      <c r="A79" s="80">
        <v>205357</v>
      </c>
      <c r="B79" s="80" t="s">
        <v>356</v>
      </c>
      <c r="D79" s="80">
        <v>0</v>
      </c>
      <c r="E79" s="80">
        <v>0</v>
      </c>
      <c r="F79" s="80">
        <v>0</v>
      </c>
      <c r="G79" s="80">
        <v>0</v>
      </c>
      <c r="H79" s="80">
        <v>0</v>
      </c>
      <c r="I79" s="80">
        <v>0</v>
      </c>
      <c r="J79" s="80">
        <v>0</v>
      </c>
      <c r="K79" s="80" t="s">
        <v>253</v>
      </c>
      <c r="L79" s="80" t="s">
        <v>317</v>
      </c>
      <c r="M79" s="80" t="s">
        <v>246</v>
      </c>
      <c r="N79" s="80" t="s">
        <v>282</v>
      </c>
      <c r="O79" s="80" t="s">
        <v>244</v>
      </c>
    </row>
    <row r="80" spans="1:15">
      <c r="A80" s="80">
        <v>205390</v>
      </c>
      <c r="B80" s="80" t="s">
        <v>291</v>
      </c>
      <c r="D80" s="80">
        <v>0</v>
      </c>
      <c r="E80" s="80">
        <v>0</v>
      </c>
      <c r="F80" s="80">
        <v>0</v>
      </c>
      <c r="G80" s="80">
        <v>0</v>
      </c>
      <c r="H80" s="80">
        <v>0</v>
      </c>
      <c r="I80" s="80">
        <v>0</v>
      </c>
      <c r="J80" s="80">
        <v>0</v>
      </c>
      <c r="K80" s="80" t="s">
        <v>240</v>
      </c>
      <c r="L80" s="80" t="s">
        <v>241</v>
      </c>
      <c r="M80" s="80" t="s">
        <v>277</v>
      </c>
      <c r="N80" s="80" t="s">
        <v>292</v>
      </c>
      <c r="O80" s="80" t="s">
        <v>244</v>
      </c>
    </row>
    <row r="81" spans="1:15">
      <c r="A81" s="80">
        <v>205391</v>
      </c>
      <c r="B81" s="80" t="s">
        <v>357</v>
      </c>
      <c r="D81" s="80">
        <v>0</v>
      </c>
      <c r="E81" s="80">
        <v>0</v>
      </c>
      <c r="F81" s="80">
        <v>0</v>
      </c>
      <c r="G81" s="80">
        <v>0</v>
      </c>
      <c r="H81" s="80">
        <v>0</v>
      </c>
      <c r="I81" s="80">
        <v>0</v>
      </c>
      <c r="J81" s="80">
        <v>0</v>
      </c>
      <c r="K81" s="80" t="s">
        <v>240</v>
      </c>
      <c r="L81" s="80" t="s">
        <v>317</v>
      </c>
      <c r="M81" s="80" t="s">
        <v>277</v>
      </c>
      <c r="N81" s="80" t="s">
        <v>292</v>
      </c>
      <c r="O81" s="80" t="s">
        <v>244</v>
      </c>
    </row>
    <row r="82" spans="1:15">
      <c r="A82" s="80">
        <v>205422</v>
      </c>
      <c r="B82" s="80" t="s">
        <v>293</v>
      </c>
      <c r="D82" s="80">
        <v>0</v>
      </c>
      <c r="E82" s="80">
        <v>0</v>
      </c>
      <c r="F82" s="80">
        <v>0</v>
      </c>
      <c r="G82" s="80">
        <v>0</v>
      </c>
      <c r="H82" s="80">
        <v>0</v>
      </c>
      <c r="I82" s="80">
        <v>0</v>
      </c>
      <c r="J82" s="80">
        <v>0</v>
      </c>
      <c r="K82" s="80" t="s">
        <v>249</v>
      </c>
      <c r="L82" s="80" t="s">
        <v>241</v>
      </c>
      <c r="M82" s="80" t="s">
        <v>277</v>
      </c>
      <c r="N82" s="80" t="s">
        <v>292</v>
      </c>
      <c r="O82" s="80" t="s">
        <v>244</v>
      </c>
    </row>
    <row r="83" spans="1:15">
      <c r="A83" s="80">
        <v>205423</v>
      </c>
      <c r="B83" s="80" t="s">
        <v>358</v>
      </c>
      <c r="D83" s="80">
        <v>0</v>
      </c>
      <c r="E83" s="80">
        <v>0</v>
      </c>
      <c r="F83" s="80">
        <v>0</v>
      </c>
      <c r="G83" s="80">
        <v>0</v>
      </c>
      <c r="H83" s="80">
        <v>0</v>
      </c>
      <c r="I83" s="80">
        <v>0</v>
      </c>
      <c r="J83" s="80">
        <v>0</v>
      </c>
      <c r="K83" s="80" t="s">
        <v>249</v>
      </c>
      <c r="L83" s="80" t="s">
        <v>317</v>
      </c>
      <c r="M83" s="80" t="s">
        <v>277</v>
      </c>
      <c r="N83" s="80" t="s">
        <v>292</v>
      </c>
      <c r="O83" s="80" t="s">
        <v>244</v>
      </c>
    </row>
    <row r="84" spans="1:15">
      <c r="A84" s="80">
        <v>205454</v>
      </c>
      <c r="B84" s="80" t="s">
        <v>294</v>
      </c>
      <c r="D84" s="80">
        <v>0</v>
      </c>
      <c r="E84" s="80">
        <v>0</v>
      </c>
      <c r="F84" s="80">
        <v>0</v>
      </c>
      <c r="G84" s="80">
        <v>0</v>
      </c>
      <c r="H84" s="80">
        <v>0</v>
      </c>
      <c r="I84" s="80">
        <v>0</v>
      </c>
      <c r="J84" s="80">
        <v>0</v>
      </c>
      <c r="K84" s="80" t="s">
        <v>253</v>
      </c>
      <c r="L84" s="80" t="s">
        <v>241</v>
      </c>
      <c r="M84" s="80" t="s">
        <v>277</v>
      </c>
      <c r="N84" s="80" t="s">
        <v>292</v>
      </c>
      <c r="O84" s="80" t="s">
        <v>244</v>
      </c>
    </row>
    <row r="85" spans="1:15">
      <c r="A85" s="80">
        <v>205455</v>
      </c>
      <c r="B85" s="80" t="s">
        <v>359</v>
      </c>
      <c r="D85" s="80">
        <v>0</v>
      </c>
      <c r="E85" s="80">
        <v>0</v>
      </c>
      <c r="F85" s="80">
        <v>0</v>
      </c>
      <c r="G85" s="80">
        <v>0</v>
      </c>
      <c r="H85" s="80">
        <v>0</v>
      </c>
      <c r="I85" s="80">
        <v>0</v>
      </c>
      <c r="J85" s="80">
        <v>0</v>
      </c>
      <c r="K85" s="80" t="s">
        <v>253</v>
      </c>
      <c r="L85" s="80" t="s">
        <v>317</v>
      </c>
      <c r="M85" s="80" t="s">
        <v>277</v>
      </c>
      <c r="N85" s="80" t="s">
        <v>292</v>
      </c>
      <c r="O85" s="80" t="s">
        <v>244</v>
      </c>
    </row>
  </sheetData>
  <autoFilter ref="A1:O8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2025-03-28T09:41:08Z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
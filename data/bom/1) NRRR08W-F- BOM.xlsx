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0" windowWidth="15600" windowHeight="11040" tabRatio="597"/>
  </bookViews>
  <sheets>
    <sheet name="Stock Item" sheetId="23" r:id="rId1"/>
    <sheet name="Stock Item (Read Me)" sheetId="10" state="hidden" r:id="rId2"/>
    <sheet name="Backend data" sheetId="24" r:id="rId3"/>
    <sheet name="Result" sheetId="26" r:id="rId4"/>
  </sheets>
  <definedNames>
    <definedName name="_xlnm._FilterDatabase" localSheetId="3" hidden="1">Result!$A$1:$O$43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15" i="23" l="1"/>
  <c r="N18" i="23"/>
  <c r="M18" i="23"/>
  <c r="M7" i="23"/>
  <c r="R17" i="23" l="1"/>
  <c r="M17" i="23" s="1"/>
  <c r="N17" i="23" s="1"/>
  <c r="R15" i="23"/>
  <c r="R14" i="23"/>
  <c r="R13" i="23"/>
  <c r="R12" i="23"/>
  <c r="R11" i="23"/>
  <c r="R9" i="23"/>
  <c r="R8" i="23"/>
  <c r="R7" i="23"/>
  <c r="R4" i="23"/>
  <c r="M4" i="23" s="1"/>
  <c r="R3" i="23"/>
  <c r="M3" i="23" s="1"/>
  <c r="R25" i="23"/>
  <c r="S25" i="23" s="1"/>
  <c r="R23" i="23"/>
  <c r="S23" i="23" s="1"/>
  <c r="M11" i="23" l="1"/>
  <c r="N11" i="23" s="1"/>
  <c r="O10" i="23"/>
  <c r="R10" i="23" s="1"/>
  <c r="M10" i="23" s="1"/>
  <c r="N10" i="23" s="1"/>
  <c r="N14" i="23" l="1"/>
  <c r="N13" i="23"/>
  <c r="N12" i="23"/>
  <c r="N9" i="23"/>
  <c r="N8" i="23"/>
  <c r="N7" i="23"/>
  <c r="N4" i="23"/>
  <c r="N3" i="23"/>
  <c r="R2" i="23"/>
  <c r="N2" i="23" l="1"/>
  <c r="M2" i="23"/>
  <c r="N19" i="23"/>
  <c r="N21" i="23" s="1"/>
  <c r="H5" i="24"/>
  <c r="I3" i="24"/>
  <c r="I8" i="24" s="1"/>
  <c r="H3" i="24"/>
  <c r="G3" i="24"/>
  <c r="F3" i="24"/>
  <c r="F6" i="24" s="1"/>
  <c r="E3" i="24"/>
  <c r="D3" i="24"/>
  <c r="C3" i="24"/>
  <c r="C7" i="24" s="1"/>
  <c r="A2" i="23"/>
  <c r="N25" i="23" l="1"/>
  <c r="N23" i="23"/>
  <c r="N26" i="23"/>
  <c r="N24" i="23"/>
  <c r="N22" i="23"/>
  <c r="H4" i="24"/>
  <c r="H8" i="24" s="1"/>
  <c r="D4" i="24"/>
  <c r="D8" i="24" s="1"/>
  <c r="I6" i="24"/>
  <c r="G4" i="24"/>
  <c r="G8" i="24" s="1"/>
  <c r="I7" i="24"/>
  <c r="C8" i="24"/>
  <c r="C6" i="24"/>
  <c r="F2" i="23" s="1"/>
  <c r="E8" i="24"/>
  <c r="E7" i="24"/>
  <c r="F8" i="24"/>
  <c r="E6" i="24"/>
  <c r="F7" i="24"/>
  <c r="H7" i="24" l="1"/>
  <c r="H6" i="24"/>
  <c r="F18" i="23" s="1"/>
  <c r="D7" i="24"/>
  <c r="D6" i="24"/>
  <c r="G7" i="24"/>
  <c r="G6" i="24"/>
  <c r="F17" i="23" s="1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<sst xmlns="http://schemas.openxmlformats.org/spreadsheetml/2006/main" count="806" uniqueCount="395">
  <si>
    <t>Name</t>
  </si>
  <si>
    <t>Group Name</t>
  </si>
  <si>
    <t>Units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</si>
  <si>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</si>
  <si>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</si>
  <si>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</si>
  <si>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</si>
  <si>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</si>
  <si>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</si>
  <si>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</si>
  <si>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</si>
  <si>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Down Light Series</t>
  </si>
  <si>
    <t>Nos.</t>
  </si>
  <si>
    <t>Mechanical Store</t>
  </si>
  <si>
    <t>Component</t>
  </si>
  <si>
    <t>Refl. 50014-W OD-50 LES ID -20.5 H-13.4mm  8-18W</t>
  </si>
  <si>
    <t>Diff. 50014-W D-49.5 T-1.2mm  Frosted - 8-18W</t>
  </si>
  <si>
    <t>COB Holder 50014-W OD-35 ID-17 H-3.5mm 8-18W</t>
  </si>
  <si>
    <t>PBX-COB 8-15W</t>
  </si>
  <si>
    <t>SBX-COB 8-18W (12Nos)</t>
  </si>
  <si>
    <t>Conn. 2Pin Ass. Wire Black Male (Small)</t>
  </si>
  <si>
    <t>Sleeve M4mm Fiber Glass White</t>
  </si>
  <si>
    <t>L-120mm</t>
  </si>
  <si>
    <t>Wire Clip-M3-MS</t>
  </si>
  <si>
    <t>Screw No. 4X6.5mm Self Pan Combi. PH - SS</t>
  </si>
  <si>
    <t>Screw- M3X7mm use for Wire Clip</t>
  </si>
  <si>
    <t>Screw M3X6mm CSK PH - SS</t>
  </si>
  <si>
    <t>Screw-M3X6mm  use for COB Holder</t>
  </si>
  <si>
    <t>Rivet 1/8" x 1/4" MS (Big)</t>
  </si>
  <si>
    <t xml:space="preserve">Ravit -  3.2X6mm  </t>
  </si>
  <si>
    <t>Electronics Store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</si>
  <si>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</si>
  <si>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</si>
  <si>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</si>
  <si>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</si>
  <si>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</si>
  <si>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</si>
  <si>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</si>
  <si>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</si>
  <si>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</si>
  <si>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</si>
  <si>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</si>
  <si>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</si>
  <si>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</si>
  <si>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</si>
  <si>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</si>
  <si>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</si>
  <si>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</si>
  <si>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</si>
  <si>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</si>
  <si>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</si>
  <si>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</si>
  <si>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</si>
  <si>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</si>
  <si>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</si>
  <si>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</si>
  <si>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</si>
  <si>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</si>
  <si>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</si>
  <si>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</si>
  <si>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</si>
  <si>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</si>
  <si>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</si>
  <si>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</si>
  <si>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</si>
  <si>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</si>
  <si>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</si>
  <si>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</si>
  <si>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</si>
  <si>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</si>
  <si>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</si>
  <si>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</si>
  <si>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</si>
  <si>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</si>
  <si>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</si>
  <si>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</si>
  <si>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</si>
  <si>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</si>
  <si>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</si>
  <si>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</si>
  <si>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</si>
  <si>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</si>
  <si>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</si>
  <si>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</si>
  <si>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</si>
  <si>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</si>
  <si>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</si>
  <si>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</si>
  <si>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</si>
  <si>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</si>
  <si>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</si>
  <si>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</si>
  <si>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</si>
  <si>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</si>
  <si>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</si>
  <si>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</si>
  <si>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</si>
  <si>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</si>
  <si>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</si>
  <si>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</si>
  <si>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</si>
  <si>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</si>
  <si>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</si>
  <si>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</si>
  <si>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</si>
  <si>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</si>
  <si>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</si>
  <si>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</si>
  <si>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</si>
  <si>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</si>
  <si>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</si>
  <si>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</si>
  <si>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</si>
  <si>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</si>
  <si>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</si>
  <si>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</si>
  <si>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</si>
  <si>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</si>
  <si>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</si>
  <si>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</si>
  <si>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</si>
  <si>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</si>
  <si>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</si>
  <si>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</si>
  <si>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</si>
  <si>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</si>
  <si>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</si>
  <si>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</si>
  <si>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</si>
  <si>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</si>
  <si>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</si>
  <si>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</si>
  <si>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</si>
  <si>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</si>
  <si>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</si>
  <si>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</si>
  <si>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</si>
  <si>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</si>
  <si>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</si>
  <si>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</si>
  <si>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</si>
  <si>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</si>
  <si>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</si>
  <si>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</si>
  <si>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</si>
  <si>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</si>
  <si>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</si>
  <si>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</si>
  <si>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</si>
  <si>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</si>
  <si>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</si>
  <si>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</si>
  <si>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</si>
  <si>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</si>
  <si>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</si>
  <si>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</si>
  <si>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</si>
  <si>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</si>
  <si>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</si>
  <si>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</si>
  <si>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</si>
  <si>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</si>
  <si>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</si>
  <si>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</si>
  <si>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</si>
  <si>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</si>
  <si>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</si>
  <si>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</si>
  <si>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</si>
  <si>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</si>
  <si>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</si>
  <si>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</si>
  <si>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</si>
  <si>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</si>
  <si>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</si>
  <si>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</si>
  <si>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</si>
  <si>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</si>
  <si>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</si>
  <si>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</si>
  <si>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</si>
  <si>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</si>
  <si>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</si>
  <si>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</si>
  <si>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</si>
  <si>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</si>
  <si>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</si>
  <si>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</si>
  <si>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</si>
  <si>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</si>
  <si>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</si>
  <si>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</si>
  <si>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</si>
  <si>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</si>
  <si>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</si>
  <si>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</si>
  <si>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</si>
  <si>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</si>
  <si>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</si>
  <si>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</si>
  <si>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</si>
  <si>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</si>
  <si>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</si>
  <si>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</si>
  <si>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</si>
  <si>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</si>
  <si>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</si>
  <si>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</si>
  <si>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TRIM</t>
  </si>
  <si>
    <t>HOUSING/HS</t>
  </si>
  <si>
    <t>REFLECTOR</t>
  </si>
  <si>
    <t>BEAM ANGLE</t>
  </si>
  <si>
    <t>COLOR TEMP</t>
  </si>
  <si>
    <t>DRIVING SYSTEM</t>
  </si>
  <si>
    <t>EXTRA</t>
  </si>
  <si>
    <t>Formulae</t>
  </si>
  <si>
    <t>Formulae for COST</t>
  </si>
  <si>
    <t>Formulae for Quantity</t>
  </si>
  <si>
    <t>COLOR TEMPERATURE</t>
  </si>
  <si>
    <t>Code</t>
  </si>
  <si>
    <t>Item Name</t>
  </si>
  <si>
    <t xml:space="preserve">Quantity </t>
  </si>
  <si>
    <t>Cost</t>
  </si>
  <si>
    <t>R</t>
  </si>
  <si>
    <t>Trim-O-68 I-51 H-63mm White NRRR8-18W</t>
  </si>
  <si>
    <t>R08</t>
  </si>
  <si>
    <t>HS 50X24.5mm 8W DR-NR-SR</t>
  </si>
  <si>
    <t>27-</t>
  </si>
  <si>
    <t>COB 30W 2700K 12LED 34-38V 890mA 19x19mm CRI-90</t>
  </si>
  <si>
    <t>08-</t>
  </si>
  <si>
    <t>PS 8W 200MA 36V LPF (PCB MT43-8-12W-V2 LPF)</t>
  </si>
  <si>
    <t>Trim-O-68 I-51 H-63mm Black NRRR8-18W</t>
  </si>
  <si>
    <t>R12</t>
  </si>
  <si>
    <t>HS 50x34.5mm (SR-DR-NR-12W)</t>
  </si>
  <si>
    <t>30-</t>
  </si>
  <si>
    <t>COB 30-36W 3000K 12LED 34-38V 890mA 19x19mm CRI-90</t>
  </si>
  <si>
    <t>08T-</t>
  </si>
  <si>
    <t>PS 8W 200MA 36V Triac Dimming</t>
  </si>
  <si>
    <t>T</t>
  </si>
  <si>
    <t>Trim-O-68 I-51 H-63mm Inner Black NRRR8-18W</t>
  </si>
  <si>
    <t>R15</t>
  </si>
  <si>
    <t>HS-50X40.5mm (SR-DR-NR-15W)</t>
  </si>
  <si>
    <t>40-</t>
  </si>
  <si>
    <t>COB 30-36W 4000K 12LED 34-38V 890mA 19x19mm CRI-90</t>
  </si>
  <si>
    <t>08I-</t>
  </si>
  <si>
    <t>Dali Driver SC-10W PE19DA4240  (AI-Dimming)-25-40V</t>
  </si>
  <si>
    <t>R18</t>
  </si>
  <si>
    <t>HS-50X50.5mm (SR-DR-NR-12W)</t>
  </si>
  <si>
    <t>50-</t>
  </si>
  <si>
    <t>COB 30-36W 5000K 12LED 34-38V 890mA 19x19mm CRI-90</t>
  </si>
  <si>
    <t>08BT-</t>
  </si>
  <si>
    <t>PS CCT 8W 170MA 36V BT-SC (PCB LT 7-20W-CCT-V 1.1 REV-1)</t>
  </si>
  <si>
    <t>60-</t>
  </si>
  <si>
    <t>COB 30-36W 6000K 12LED 34-38V 890mA 19x19mm CRI-90</t>
  </si>
  <si>
    <t>08ID-</t>
  </si>
  <si>
    <t>Dali Driver DC-10W PE694R4230(AI-Dimming)-25-40V</t>
  </si>
  <si>
    <t>08BTD-</t>
  </si>
  <si>
    <t>PS CCT 8W 170MA 36V BT-DC (PCB LT 7-20W-CCT-V 1.1 REV-1)</t>
  </si>
  <si>
    <t>27T-</t>
  </si>
  <si>
    <t>30T-</t>
  </si>
  <si>
    <t>12-</t>
  </si>
  <si>
    <t>PS 12-20W 300mA 36-72V Maxic (PCB LT-MX-20W-V2)</t>
  </si>
  <si>
    <t>40T-</t>
  </si>
  <si>
    <t>12T-</t>
  </si>
  <si>
    <t>PS 12W 300mA 36V Triac Dimming</t>
  </si>
  <si>
    <t>50T-</t>
  </si>
  <si>
    <t>12I-</t>
  </si>
  <si>
    <t>60T-</t>
  </si>
  <si>
    <t>12BT-</t>
  </si>
  <si>
    <t>PS CCT 12W 250MA 36V BT-SC (PCB LT 7-20W-CCT-V 1.1 REV-1)</t>
  </si>
  <si>
    <t>12ID-</t>
  </si>
  <si>
    <t>27I-</t>
  </si>
  <si>
    <t>12BTD-</t>
  </si>
  <si>
    <t>PS CCT 12W 250MA 36V BT-DC (PCB LT 7-20W-CCT-V 1.1 REV-1)</t>
  </si>
  <si>
    <t>30I-</t>
  </si>
  <si>
    <t>40I-</t>
  </si>
  <si>
    <t>15-</t>
  </si>
  <si>
    <t>PS 15W 370mA 36V Maxic(PCB LT-MX-20W-V2)</t>
  </si>
  <si>
    <t>50I-</t>
  </si>
  <si>
    <t>15T-</t>
  </si>
  <si>
    <t>PS 15W 350mA 25-42V Triac Dimm</t>
  </si>
  <si>
    <t>60I-</t>
  </si>
  <si>
    <t>15I-</t>
  </si>
  <si>
    <t>Dali Driver SC-15-20W PE19DA4240 (AI-Dimming)9-42V</t>
  </si>
  <si>
    <t>26ID-</t>
  </si>
  <si>
    <t>LED COB Dual Colour 30W 2700K-5000k</t>
  </si>
  <si>
    <t>15BT-</t>
  </si>
  <si>
    <t>PS CCT 15W 320MA 36V BT-SC (PCB LT 7-20W-CCT-V 1.1 REV-1)</t>
  </si>
  <si>
    <t>15ID-</t>
  </si>
  <si>
    <t>Dali Driver DC-20W PE69R4240 (AI-Dimming)-25-40V</t>
  </si>
  <si>
    <t>27BT-</t>
  </si>
  <si>
    <t>15BTD-</t>
  </si>
  <si>
    <t>PS CCT 15W 320MA 36V BT-DC (PCB LT 7-20W-CCT-V 1.1 REV-1)</t>
  </si>
  <si>
    <t>30BT-</t>
  </si>
  <si>
    <t>40BT-</t>
  </si>
  <si>
    <t>18-</t>
  </si>
  <si>
    <t>PS 18W 440mA 36V Maxic(PCB LT-MX-20W-V2)</t>
  </si>
  <si>
    <t>50BT-</t>
  </si>
  <si>
    <t>18T-</t>
  </si>
  <si>
    <t>PS 18W 450mA 36V Track Dimming</t>
  </si>
  <si>
    <t>60BT-</t>
  </si>
  <si>
    <t>18I-</t>
  </si>
  <si>
    <t>26BTD-</t>
  </si>
  <si>
    <t>18BT-</t>
  </si>
  <si>
    <t>PS CCT 18W 375MA 36V BT-SC (PCB LT 7-20W-CCT-V 1.1 REV-1)</t>
  </si>
  <si>
    <t>18ID-</t>
  </si>
  <si>
    <t>18BTD-</t>
  </si>
  <si>
    <t>PS CCT 18W 375MA 36V BT-DC (PCB LT 7-20W-CCT-V 1.1 REV-1)</t>
  </si>
  <si>
    <t>3000K</t>
  </si>
  <si>
    <t>Constant Current</t>
  </si>
  <si>
    <t>4000K</t>
  </si>
  <si>
    <t>NRRR08F40</t>
  </si>
  <si>
    <t>NRRB08F30</t>
  </si>
  <si>
    <t>NRRB08F40</t>
  </si>
  <si>
    <t>NRRT08F30</t>
  </si>
  <si>
    <t>NRRT08F40</t>
  </si>
  <si>
    <t>TRIAC Dimming</t>
  </si>
  <si>
    <t>NRRR08F30T</t>
  </si>
  <si>
    <t>NRRR08F40T</t>
  </si>
  <si>
    <t>NRRB08F30T</t>
  </si>
  <si>
    <t>NRRB08F40T</t>
  </si>
  <si>
    <t>NRRT08F30T</t>
  </si>
  <si>
    <t>NRRT08F40T</t>
  </si>
  <si>
    <t>DALI Dimming</t>
  </si>
  <si>
    <t>NRRR08F30I</t>
  </si>
  <si>
    <t>NRRR08F40I</t>
  </si>
  <si>
    <t>NRRB08F30I</t>
  </si>
  <si>
    <t>NRRB08F40I</t>
  </si>
  <si>
    <t>NRRT08F30I</t>
  </si>
  <si>
    <t>NRRT08F40I</t>
  </si>
  <si>
    <t>NRRR08F26ID</t>
  </si>
  <si>
    <t>NRRB08F26ID</t>
  </si>
  <si>
    <t>NRRT08F26ID</t>
  </si>
  <si>
    <t>Bluetooth Dimming</t>
  </si>
  <si>
    <t>NRRR08F30BT</t>
  </si>
  <si>
    <t>NRRR08F40BT</t>
  </si>
  <si>
    <t>NRRB08F30BT</t>
  </si>
  <si>
    <t>NRRB08F40BT</t>
  </si>
  <si>
    <t>NRRT08F30BT</t>
  </si>
  <si>
    <t>NRRT08F40BT</t>
  </si>
  <si>
    <t>NRRR08F26BTD</t>
  </si>
  <si>
    <t>NRRB08F26BTD</t>
  </si>
  <si>
    <t>NRRT08F26BTD</t>
  </si>
  <si>
    <t>F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</si>
  <si>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</si>
  <si>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</si>
  <si>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</si>
  <si>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</si>
  <si>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</si>
  <si>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</si>
  <si>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</si>
  <si>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</si>
  <si>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</si>
  <si>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</si>
  <si>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Beam Angle</t>
  </si>
  <si>
    <t>Color Temp</t>
  </si>
  <si>
    <t>Driving System</t>
  </si>
  <si>
    <t>Trim</t>
  </si>
  <si>
    <t>Watt</t>
  </si>
  <si>
    <t>NRRR08F50</t>
  </si>
  <si>
    <t>Flood - 50°</t>
  </si>
  <si>
    <t>5000K</t>
  </si>
  <si>
    <t>Round White Trim</t>
  </si>
  <si>
    <t>08 Watt</t>
  </si>
  <si>
    <t>NRRR08F30</t>
  </si>
  <si>
    <t>NRRB08F50</t>
  </si>
  <si>
    <t>Round Black Trim</t>
  </si>
  <si>
    <t>NRRT08F50</t>
  </si>
  <si>
    <t>Round Two Color Trim</t>
  </si>
  <si>
    <t>NRRR08F50T</t>
  </si>
  <si>
    <t>NRRB08F50T</t>
  </si>
  <si>
    <t>NRRT08F50T</t>
  </si>
  <si>
    <t>NRRR08F50I</t>
  </si>
  <si>
    <t>NRRB08F50I</t>
  </si>
  <si>
    <t>NRRT08F50I</t>
  </si>
  <si>
    <t>NRRR08F50BT</t>
  </si>
  <si>
    <t>NRRB08F50BT</t>
  </si>
  <si>
    <t>NRRT08F50BT</t>
  </si>
  <si>
    <t>2700K - 6000K Dual Color</t>
  </si>
  <si>
    <t>Dali + Dual Color (2700K - 6000K)</t>
  </si>
  <si>
    <t>Bluetooth + Dual Color (2700K - 6000K)</t>
  </si>
  <si>
    <t>Unit Price</t>
  </si>
  <si>
    <t>USD</t>
  </si>
  <si>
    <t>INS&amp;FRED</t>
  </si>
  <si>
    <t>BCD</t>
  </si>
  <si>
    <t>Total Cost</t>
  </si>
  <si>
    <t>Locking Spring  L-57 W-10mm T-0.2mm DR/NR-5/18W</t>
  </si>
  <si>
    <t>NRRR08-CC</t>
  </si>
  <si>
    <t>NRRR08 Track Dimming</t>
  </si>
  <si>
    <t>NRRR08 Dali Single Color</t>
  </si>
  <si>
    <t>NRRR08 BT Single Color</t>
  </si>
  <si>
    <t>NRRR08  Dali Dual Color</t>
  </si>
  <si>
    <t>NRRR08  BT Dual Color</t>
  </si>
  <si>
    <t>PS Rate Mention with Total Amt</t>
  </si>
  <si>
    <t xml:space="preserve">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</si>
</sst>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 &quot;Rs.&quot;\ * #,##0.00_ ;_ &quot;Rs.&quot;\ * \-#,##0.00_ ;_ &quot;Rs.&quot;\ * &quot;-&quot;??_ ;_ @_ "/>
    <numFmt numFmtId="164" formatCode="&quot;$&quot;#,##0.0000"/>
    <numFmt numFmtId="165" formatCode="_ [$Rs.-4009]\ * #,##0.00_ ;_ [$Rs.-4009]\ * \-#,##0.00_ ;_ [$Rs.-4009]\ * &quot;-&quot;??_ ;_ @_ "/>
    <numFmt numFmtId="166" formatCode="&quot;$&quot;#,##0.000"/>
    <numFmt numFmtId="167" formatCode="_-[$Rs-420]* #,##0.00_-;_-[$Rs-420]* #,##0.00\-;_-[$Rs-420]* &quot;-&quot;??_-;_-@_-"/>
    <numFmt numFmtId="168" formatCode="_-[$$-409]* #,##0.00_ ;_-[$$-409]* \-#,##0.00\ ;_-[$$-409]* &quot;-&quot;??_ ;_-@_ 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10"/>
      <color rgb="FF000000"/>
      <name val="Afacad-Regular"/>
      <charset val="134"/>
    </font>
    <font>
      <sz val="16"/>
      <color theme="1"/>
      <name val="Times New Roman"/>
      <family val="1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0" fontId="19" fillId="0" borderId="0"/>
    <xf numFmtId="0" fontId="3" fillId="0" borderId="0"/>
    <xf numFmtId="0" fontId="14" fillId="0" borderId="0" applyNumberFormat="0" applyFill="0" applyBorder="0" applyAlignment="0" applyProtection="0"/>
    <xf numFmtId="0" fontId="20" fillId="0" borderId="0"/>
    <xf numFmtId="44" fontId="21" fillId="0" borderId="0" applyFont="0" applyFill="0" applyBorder="0" applyAlignment="0" applyProtection="0"/>
  </cellStyleXfs>
  <cellXfs count="128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0" fillId="2" borderId="1" xfId="0" applyFont="1" applyFill="1" applyBorder="1" applyAlignment="1">
      <alignment wrapText="1"/>
    </xf>
    <xf numFmtId="0" fontId="0" fillId="2" borderId="1" xfId="0" applyFont="1" applyFill="1" applyBorder="1"/>
    <xf numFmtId="0" fontId="0" fillId="3" borderId="0" xfId="0" applyFill="1" applyAlignment="1">
      <alignment wrapText="1"/>
    </xf>
    <xf numFmtId="0" fontId="0" fillId="3" borderId="0" xfId="0" applyFill="1"/>
    <xf numFmtId="0" fontId="0" fillId="4" borderId="2" xfId="0" applyFill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wrapText="1"/>
    </xf>
    <xf numFmtId="0" fontId="0" fillId="0" borderId="1" xfId="0" applyFont="1" applyBorder="1"/>
    <xf numFmtId="0" fontId="0" fillId="6" borderId="1" xfId="0" applyFill="1" applyBorder="1"/>
    <xf numFmtId="0" fontId="0" fillId="0" borderId="1" xfId="0" applyFont="1" applyBorder="1" applyAlignment="1">
      <alignment wrapText="1"/>
    </xf>
    <xf numFmtId="0" fontId="0" fillId="6" borderId="1" xfId="0" applyFont="1" applyFill="1" applyBorder="1"/>
    <xf numFmtId="0" fontId="0" fillId="2" borderId="3" xfId="0" applyFont="1" applyFill="1" applyBorder="1"/>
    <xf numFmtId="0" fontId="0" fillId="0" borderId="1" xfId="0" applyBorder="1"/>
    <xf numFmtId="0" fontId="19" fillId="0" borderId="1" xfId="1" applyBorder="1"/>
    <xf numFmtId="0" fontId="0" fillId="7" borderId="1" xfId="0" applyFill="1" applyBorder="1"/>
    <xf numFmtId="49" fontId="19" fillId="0" borderId="1" xfId="1" applyNumberFormat="1" applyBorder="1"/>
    <xf numFmtId="0" fontId="5" fillId="0" borderId="0" xfId="0" applyFont="1"/>
    <xf numFmtId="0" fontId="6" fillId="7" borderId="0" xfId="0" applyFont="1" applyFill="1"/>
    <xf numFmtId="0" fontId="7" fillId="8" borderId="1" xfId="0" applyFont="1" applyFill="1" applyBorder="1" applyAlignment="1">
      <alignment horizontal="center" wrapText="1"/>
    </xf>
    <xf numFmtId="0" fontId="4" fillId="7" borderId="0" xfId="0" applyFont="1" applyFill="1"/>
    <xf numFmtId="0" fontId="0" fillId="7" borderId="0" xfId="0" applyFill="1"/>
    <xf numFmtId="0" fontId="7" fillId="9" borderId="1" xfId="0" applyFont="1" applyFill="1" applyBorder="1" applyAlignment="1">
      <alignment horizontal="left" vertical="top" wrapText="1"/>
    </xf>
    <xf numFmtId="0" fontId="7" fillId="9" borderId="4" xfId="0" applyFont="1" applyFill="1" applyBorder="1" applyAlignment="1">
      <alignment horizontal="left" vertical="center" wrapText="1"/>
    </xf>
    <xf numFmtId="0" fontId="7" fillId="10" borderId="6" xfId="0" applyFont="1" applyFill="1" applyBorder="1" applyAlignment="1">
      <alignment wrapText="1"/>
    </xf>
    <xf numFmtId="0" fontId="8" fillId="7" borderId="7" xfId="0" applyFont="1" applyFill="1" applyBorder="1"/>
    <xf numFmtId="0" fontId="5" fillId="7" borderId="8" xfId="0" applyFont="1" applyFill="1" applyBorder="1"/>
    <xf numFmtId="0" fontId="7" fillId="0" borderId="9" xfId="0" applyFont="1" applyBorder="1" applyAlignment="1">
      <alignment wrapText="1"/>
    </xf>
    <xf numFmtId="0" fontId="5" fillId="0" borderId="4" xfId="0" applyFont="1" applyBorder="1" applyAlignment="1">
      <alignment horizontal="left" vertical="top" wrapText="1"/>
    </xf>
    <xf numFmtId="0" fontId="5" fillId="0" borderId="6" xfId="0" applyFont="1" applyBorder="1"/>
    <xf numFmtId="0" fontId="9" fillId="7" borderId="10" xfId="0" applyFont="1" applyFill="1" applyBorder="1" applyAlignment="1">
      <alignment horizontal="left" indent="2"/>
    </xf>
    <xf numFmtId="0" fontId="5" fillId="7" borderId="0" xfId="0" applyFont="1" applyFill="1" applyAlignment="1">
      <alignment horizontal="left" indent="2"/>
    </xf>
    <xf numFmtId="0" fontId="5" fillId="0" borderId="1" xfId="0" applyFont="1" applyBorder="1" applyAlignment="1">
      <alignment horizontal="left" vertical="top" wrapText="1"/>
    </xf>
    <xf numFmtId="0" fontId="7" fillId="7" borderId="10" xfId="0" applyFont="1" applyFill="1" applyBorder="1" applyAlignment="1">
      <alignment horizontal="left" indent="2"/>
    </xf>
    <xf numFmtId="0" fontId="5" fillId="7" borderId="10" xfId="0" applyFont="1" applyFill="1" applyBorder="1" applyAlignment="1">
      <alignment horizontal="left" indent="2"/>
    </xf>
    <xf numFmtId="0" fontId="10" fillId="7" borderId="10" xfId="0" applyFont="1" applyFill="1" applyBorder="1" applyAlignment="1">
      <alignment horizontal="left" indent="2"/>
    </xf>
    <xf numFmtId="0" fontId="10" fillId="7" borderId="0" xfId="0" applyFont="1" applyFill="1" applyAlignment="1">
      <alignment horizontal="left" indent="2"/>
    </xf>
    <xf numFmtId="0" fontId="10" fillId="7" borderId="10" xfId="0" applyFont="1" applyFill="1" applyBorder="1" applyAlignment="1">
      <alignment horizontal="left" indent="3"/>
    </xf>
    <xf numFmtId="0" fontId="11" fillId="7" borderId="10" xfId="0" applyFont="1" applyFill="1" applyBorder="1" applyAlignment="1">
      <alignment horizontal="left" indent="3"/>
    </xf>
    <xf numFmtId="0" fontId="12" fillId="7" borderId="0" xfId="0" applyFont="1" applyFill="1" applyAlignment="1">
      <alignment horizontal="left" indent="3"/>
    </xf>
    <xf numFmtId="0" fontId="13" fillId="0" borderId="6" xfId="0" applyFont="1" applyBorder="1" applyAlignment="1">
      <alignment wrapText="1"/>
    </xf>
    <xf numFmtId="0" fontId="5" fillId="7" borderId="10" xfId="0" applyFont="1" applyFill="1" applyBorder="1"/>
    <xf numFmtId="0" fontId="5" fillId="7" borderId="11" xfId="0" applyFont="1" applyFill="1" applyBorder="1"/>
    <xf numFmtId="0" fontId="5" fillId="7" borderId="12" xfId="0" applyFont="1" applyFill="1" applyBorder="1"/>
    <xf numFmtId="0" fontId="9" fillId="7" borderId="0" xfId="0" applyFont="1" applyFill="1"/>
    <xf numFmtId="0" fontId="7" fillId="7" borderId="0" xfId="0" applyFont="1" applyFill="1"/>
    <xf numFmtId="0" fontId="7" fillId="9" borderId="4" xfId="0" applyFont="1" applyFill="1" applyBorder="1" applyAlignment="1">
      <alignment horizontal="left" vertical="top" wrapText="1"/>
    </xf>
    <xf numFmtId="0" fontId="7" fillId="9" borderId="6" xfId="0" applyFont="1" applyFill="1" applyBorder="1" applyAlignment="1">
      <alignment horizontal="left" vertical="top" wrapText="1"/>
    </xf>
    <xf numFmtId="0" fontId="10" fillId="7" borderId="0" xfId="0" applyFont="1" applyFill="1" applyAlignment="1">
      <alignment wrapText="1"/>
    </xf>
    <xf numFmtId="0" fontId="10" fillId="7" borderId="0" xfId="0" applyFont="1" applyFill="1" applyAlignment="1">
      <alignment horizontal="left"/>
    </xf>
    <xf numFmtId="0" fontId="10" fillId="7" borderId="0" xfId="0" applyFont="1" applyFill="1" applyAlignment="1">
      <alignment horizontal="left" indent="1"/>
    </xf>
    <xf numFmtId="0" fontId="12" fillId="7" borderId="0" xfId="0" applyFont="1" applyFill="1" applyAlignment="1">
      <alignment horizontal="left" indent="1"/>
    </xf>
    <xf numFmtId="0" fontId="5" fillId="0" borderId="6" xfId="0" applyFont="1" applyBorder="1" applyAlignment="1">
      <alignment wrapText="1"/>
    </xf>
    <xf numFmtId="0" fontId="8" fillId="7" borderId="8" xfId="0" applyFont="1" applyFill="1" applyBorder="1"/>
    <xf numFmtId="0" fontId="14" fillId="7" borderId="0" xfId="3" applyFill="1" applyBorder="1" applyAlignment="1"/>
    <xf numFmtId="0" fontId="14" fillId="7" borderId="0" xfId="3" applyFill="1" applyBorder="1"/>
    <xf numFmtId="0" fontId="8" fillId="7" borderId="13" xfId="0" applyFont="1" applyFill="1" applyBorder="1"/>
    <xf numFmtId="0" fontId="5" fillId="7" borderId="14" xfId="0" applyFont="1" applyFill="1" applyBorder="1" applyAlignment="1">
      <alignment horizontal="left" indent="2"/>
    </xf>
    <xf numFmtId="0" fontId="10" fillId="7" borderId="14" xfId="0" applyFont="1" applyFill="1" applyBorder="1" applyAlignment="1">
      <alignment horizontal="left" indent="2"/>
    </xf>
    <xf numFmtId="0" fontId="5" fillId="7" borderId="14" xfId="0" applyFont="1" applyFill="1" applyBorder="1"/>
    <xf numFmtId="0" fontId="5" fillId="7" borderId="15" xfId="0" applyFont="1" applyFill="1" applyBorder="1"/>
    <xf numFmtId="0" fontId="6" fillId="0" borderId="4" xfId="0" applyFont="1" applyBorder="1" applyAlignment="1">
      <alignment horizontal="left" vertical="top" wrapText="1"/>
    </xf>
    <xf numFmtId="0" fontId="0" fillId="7" borderId="0" xfId="0" applyFill="1" applyAlignment="1">
      <alignment readingOrder="1"/>
    </xf>
    <xf numFmtId="0" fontId="0" fillId="0" borderId="0" xfId="0" applyAlignment="1">
      <alignment horizontal="center"/>
    </xf>
    <xf numFmtId="0" fontId="15" fillId="10" borderId="1" xfId="0" applyFont="1" applyFill="1" applyBorder="1" applyAlignment="1">
      <alignment horizontal="center" vertical="center"/>
    </xf>
    <xf numFmtId="0" fontId="16" fillId="11" borderId="0" xfId="0" applyFont="1" applyFill="1" applyAlignment="1">
      <alignment horizontal="left" vertical="center" wrapText="1"/>
    </xf>
    <xf numFmtId="0" fontId="0" fillId="1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17" fillId="0" borderId="1" xfId="0" applyFont="1" applyBorder="1" applyAlignment="1">
      <alignment horizontal="center" vertical="center"/>
    </xf>
    <xf numFmtId="0" fontId="0" fillId="0" borderId="2" xfId="0" applyBorder="1"/>
    <xf numFmtId="0" fontId="20" fillId="0" borderId="0" xfId="4"/>
    <xf numFmtId="0" fontId="22" fillId="0" borderId="1" xfId="0" applyNumberFormat="1" applyFont="1" applyBorder="1" applyAlignment="1">
      <alignment horizontal="center" vertical="center" wrapText="1"/>
    </xf>
    <xf numFmtId="164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164" fontId="23" fillId="0" borderId="0" xfId="0" applyNumberFormat="1" applyFont="1" applyBorder="1" applyAlignment="1">
      <alignment horizontal="center" vertical="center"/>
    </xf>
    <xf numFmtId="0" fontId="2" fillId="0" borderId="1" xfId="0" applyFont="1" applyBorder="1"/>
    <xf numFmtId="0" fontId="0" fillId="0" borderId="0" xfId="0" applyAlignment="1">
      <alignment horizontal="center" vertical="center"/>
    </xf>
    <xf numFmtId="165" fontId="24" fillId="0" borderId="1" xfId="0" applyNumberFormat="1" applyFont="1" applyBorder="1" applyAlignment="1">
      <alignment horizontal="center" vertical="center"/>
    </xf>
    <xf numFmtId="167" fontId="24" fillId="0" borderId="1" xfId="0" applyNumberFormat="1" applyFont="1" applyFill="1" applyBorder="1" applyAlignment="1">
      <alignment horizontal="center" vertical="center"/>
    </xf>
    <xf numFmtId="166" fontId="24" fillId="0" borderId="1" xfId="0" applyNumberFormat="1" applyFont="1" applyBorder="1" applyAlignment="1">
      <alignment horizontal="center" vertical="center"/>
    </xf>
    <xf numFmtId="9" fontId="24" fillId="0" borderId="1" xfId="0" applyNumberFormat="1" applyFont="1" applyBorder="1" applyAlignment="1">
      <alignment horizontal="center" vertical="center"/>
    </xf>
    <xf numFmtId="164" fontId="24" fillId="0" borderId="1" xfId="0" applyNumberFormat="1" applyFont="1" applyBorder="1" applyAlignment="1">
      <alignment horizontal="center" vertical="center"/>
    </xf>
    <xf numFmtId="168" fontId="24" fillId="0" borderId="1" xfId="5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165" fontId="25" fillId="5" borderId="16" xfId="0" applyNumberFormat="1" applyFont="1" applyFill="1" applyBorder="1" applyAlignment="1">
      <alignment horizontal="center" vertical="center"/>
    </xf>
    <xf numFmtId="0" fontId="24" fillId="0" borderId="0" xfId="0" applyFont="1"/>
    <xf numFmtId="165" fontId="24" fillId="0" borderId="0" xfId="0" applyNumberFormat="1" applyFont="1"/>
    <xf numFmtId="167" fontId="22" fillId="13" borderId="1" xfId="0" applyNumberFormat="1" applyFont="1" applyFill="1" applyBorder="1" applyAlignment="1">
      <alignment horizontal="center" vertical="center"/>
    </xf>
    <xf numFmtId="167" fontId="25" fillId="0" borderId="1" xfId="0" applyNumberFormat="1" applyFont="1" applyBorder="1" applyAlignment="1">
      <alignment horizontal="center" vertical="center"/>
    </xf>
    <xf numFmtId="166" fontId="23" fillId="0" borderId="0" xfId="0" applyNumberFormat="1" applyFont="1" applyBorder="1" applyAlignment="1">
      <alignment horizontal="center" vertical="center"/>
    </xf>
    <xf numFmtId="9" fontId="23" fillId="0" borderId="0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wrapText="1"/>
    </xf>
    <xf numFmtId="164" fontId="24" fillId="0" borderId="17" xfId="0" applyNumberFormat="1" applyFont="1" applyBorder="1" applyAlignment="1">
      <alignment horizontal="center" vertical="center"/>
    </xf>
    <xf numFmtId="164" fontId="24" fillId="0" borderId="3" xfId="0" applyNumberFormat="1" applyFont="1" applyBorder="1" applyAlignment="1">
      <alignment horizontal="center" vertical="center"/>
    </xf>
    <xf numFmtId="164" fontId="24" fillId="0" borderId="9" xfId="0" applyNumberFormat="1" applyFont="1" applyBorder="1" applyAlignment="1">
      <alignment horizontal="center" vertical="center"/>
    </xf>
    <xf numFmtId="165" fontId="24" fillId="0" borderId="17" xfId="0" applyNumberFormat="1" applyFont="1" applyBorder="1" applyAlignment="1">
      <alignment horizontal="center" vertical="center"/>
    </xf>
    <xf numFmtId="165" fontId="24" fillId="0" borderId="3" xfId="0" applyNumberFormat="1" applyFont="1" applyBorder="1" applyAlignment="1">
      <alignment horizontal="center" vertical="center"/>
    </xf>
    <xf numFmtId="165" fontId="24" fillId="0" borderId="9" xfId="0" applyNumberFormat="1" applyFont="1" applyBorder="1" applyAlignment="1">
      <alignment horizontal="center" vertical="center"/>
    </xf>
    <xf numFmtId="166" fontId="24" fillId="0" borderId="17" xfId="0" applyNumberFormat="1" applyFont="1" applyBorder="1" applyAlignment="1">
      <alignment horizontal="center" vertical="center"/>
    </xf>
    <xf numFmtId="166" fontId="24" fillId="0" borderId="3" xfId="0" applyNumberFormat="1" applyFont="1" applyBorder="1" applyAlignment="1">
      <alignment horizontal="center" vertical="center"/>
    </xf>
    <xf numFmtId="166" fontId="24" fillId="0" borderId="9" xfId="0" applyNumberFormat="1" applyFont="1" applyBorder="1" applyAlignment="1">
      <alignment horizontal="center" vertical="center"/>
    </xf>
    <xf numFmtId="9" fontId="24" fillId="0" borderId="17" xfId="0" applyNumberFormat="1" applyFont="1" applyBorder="1" applyAlignment="1">
      <alignment horizontal="center" vertical="center"/>
    </xf>
    <xf numFmtId="9" fontId="24" fillId="0" borderId="3" xfId="0" applyNumberFormat="1" applyFont="1" applyBorder="1" applyAlignment="1">
      <alignment horizontal="center" vertical="center"/>
    </xf>
    <xf numFmtId="9" fontId="24" fillId="0" borderId="9" xfId="0" applyNumberFormat="1" applyFont="1" applyBorder="1" applyAlignment="1">
      <alignment horizontal="center" vertical="center"/>
    </xf>
    <xf numFmtId="0" fontId="25" fillId="4" borderId="4" xfId="0" applyFont="1" applyFill="1" applyBorder="1" applyAlignment="1">
      <alignment horizontal="right" vertical="center"/>
    </xf>
    <xf numFmtId="0" fontId="25" fillId="4" borderId="2" xfId="0" applyFont="1" applyFill="1" applyBorder="1" applyAlignment="1">
      <alignment horizontal="right" vertical="center"/>
    </xf>
    <xf numFmtId="0" fontId="25" fillId="13" borderId="4" xfId="0" applyFont="1" applyFill="1" applyBorder="1" applyAlignment="1">
      <alignment horizontal="right" vertical="center"/>
    </xf>
    <xf numFmtId="0" fontId="25" fillId="13" borderId="2" xfId="0" applyFont="1" applyFill="1" applyBorder="1" applyAlignment="1">
      <alignment horizontal="right" vertical="center"/>
    </xf>
    <xf numFmtId="0" fontId="10" fillId="7" borderId="0" xfId="0" applyFont="1" applyFill="1" applyAlignment="1">
      <alignment horizontal="left" wrapText="1"/>
    </xf>
    <xf numFmtId="0" fontId="10" fillId="7" borderId="10" xfId="0" applyFont="1" applyFill="1" applyBorder="1" applyAlignment="1">
      <alignment horizontal="left" wrapText="1" indent="2"/>
    </xf>
    <xf numFmtId="0" fontId="10" fillId="7" borderId="0" xfId="0" applyFont="1" applyFill="1" applyAlignment="1">
      <alignment horizontal="left" wrapText="1" indent="2"/>
    </xf>
    <xf numFmtId="0" fontId="10" fillId="7" borderId="14" xfId="0" applyFont="1" applyFill="1" applyBorder="1" applyAlignment="1">
      <alignment horizontal="left" wrapText="1" indent="2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6">
    <cellStyle name="Currency" xfId="5" builtinId="4"/>
    <cellStyle name="Hyperlink 2" xfId="3"/>
    <cellStyle name="Normal" xfId="0" builtinId="0"/>
    <cellStyle name="Normal 2" xfId="1"/>
    <cellStyle name="Normal 3" xfId="2"/>
    <cellStyle name="Normal 4" xfId="4"/>
  </cellStyles>
  <dxfs count="11"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fgColor rgb="FFFF9999"/>
          <bgColor rgb="FFFF9999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6"/>
  <sheetViews>
    <sheetView tabSelected="1" topLeftCell="F1" zoomScaleNormal="100" workbookViewId="0">
      <selection activeCell="F16" sqref="F16"/>
    </sheetView>
  </sheetViews>
  <sheetFormatPr defaultColWidth="9" defaultRowHeight="15"/>
  <cols>
    <col min="1" max="3" width="18" customWidth="1"/>
    <col min="4" max="4" width="20.140625" customWidth="1"/>
    <col min="5" max="5" width="20.42578125" customWidth="1"/>
    <col min="6" max="6" width="55" customWidth="1"/>
    <col min="7" max="7" width="27" customWidth="1"/>
    <col min="8" max="8" width="27.7109375" hidden="1" customWidth="1"/>
    <col min="9" max="9" width="31.85546875" hidden="1" customWidth="1"/>
    <col min="10" max="10" width="33.5703125" hidden="1" customWidth="1"/>
    <col min="11" max="11" width="27.7109375" hidden="1" customWidth="1"/>
    <col min="12" max="12" width="27.7109375" customWidth="1"/>
    <col min="13" max="13" width="14" style="94" customWidth="1"/>
    <col min="14" max="14" width="14.28515625" style="94" customWidth="1"/>
    <col min="15" max="15" width="9" style="94"/>
    <col min="16" max="16" width="12" style="94" customWidth="1"/>
    <col min="17" max="17" width="9" style="94"/>
    <col min="18" max="18" width="10.85546875" style="94" customWidth="1"/>
  </cols>
  <sheetData>
    <row r="1" spans="1:18" s="68" customFormat="1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 t="s">
        <v>8</v>
      </c>
      <c r="J1" s="69"/>
      <c r="K1" s="69" t="s">
        <v>9</v>
      </c>
      <c r="L1" s="69" t="s">
        <v>10</v>
      </c>
      <c r="M1" s="77" t="s">
        <v>381</v>
      </c>
      <c r="N1" s="77" t="s">
        <v>222</v>
      </c>
      <c r="O1" s="78" t="s">
        <v>382</v>
      </c>
      <c r="P1" s="79" t="s">
        <v>383</v>
      </c>
      <c r="Q1" s="80" t="s">
        <v>384</v>
      </c>
      <c r="R1" s="78" t="s">
        <v>385</v>
      </c>
    </row>
    <row r="2" spans="1:18">
      <c r="A2" s="18" t="str">
        <f>D2</f>
        <v>NRRR08F30</v>
      </c>
      <c r="B2" s="18" t="s">
        <v>11</v>
      </c>
      <c r="C2" s="18" t="s">
        <v>12</v>
      </c>
      <c r="D2" s="70" t="s">
        <v>364</v>
      </c>
      <c r="E2" s="18">
        <v>1</v>
      </c>
      <c r="F2" s="71" t="str">
        <f>'Backend data'!C6</f>
        <v>Trim-O-68 I-51 H-63mm White NRRR8-18W</v>
      </c>
      <c r="G2" s="10">
        <v>1</v>
      </c>
      <c r="H2" s="72" t="s">
        <v>13</v>
      </c>
      <c r="I2" s="18" t="s">
        <v>14</v>
      </c>
      <c r="J2" s="18"/>
      <c r="K2" s="18"/>
      <c r="L2" s="18"/>
      <c r="M2" s="84">
        <f t="shared" ref="M2:M4" si="0">R2*87</f>
        <v>55.984499999999997</v>
      </c>
      <c r="N2" s="84">
        <f>M2*G2</f>
        <v>55.984499999999997</v>
      </c>
      <c r="O2" s="86">
        <v>0.42899999999999999</v>
      </c>
      <c r="P2" s="87">
        <v>0.5</v>
      </c>
      <c r="Q2" s="87"/>
      <c r="R2" s="88">
        <f>O2+(O2*(P2+Q2))</f>
        <v>0.64349999999999996</v>
      </c>
    </row>
    <row r="3" spans="1:18">
      <c r="A3" s="18"/>
      <c r="B3" s="18"/>
      <c r="C3" s="18"/>
      <c r="D3" s="18"/>
      <c r="E3" s="18"/>
      <c r="F3" s="102" t="s">
        <v>226</v>
      </c>
      <c r="G3" s="10">
        <v>1</v>
      </c>
      <c r="H3" s="72" t="s">
        <v>13</v>
      </c>
      <c r="I3" s="18" t="s">
        <v>14</v>
      </c>
      <c r="J3" s="18"/>
      <c r="K3" s="18"/>
      <c r="L3" s="18"/>
      <c r="M3" s="84">
        <f t="shared" si="0"/>
        <v>57.289499999999997</v>
      </c>
      <c r="N3" s="84">
        <f t="shared" ref="N3:N14" si="1">M3*G3</f>
        <v>57.289499999999997</v>
      </c>
      <c r="O3" s="86">
        <v>0.439</v>
      </c>
      <c r="P3" s="87">
        <v>0.5</v>
      </c>
      <c r="Q3" s="87"/>
      <c r="R3" s="88">
        <f t="shared" ref="R3:R9" si="2">O3+(O3*(P3+Q3))</f>
        <v>0.65849999999999997</v>
      </c>
    </row>
    <row r="4" spans="1:18">
      <c r="A4" s="18"/>
      <c r="B4" s="18"/>
      <c r="C4" s="18"/>
      <c r="D4" s="18"/>
      <c r="E4" s="18"/>
      <c r="F4" s="18" t="s">
        <v>15</v>
      </c>
      <c r="G4" s="10">
        <v>1</v>
      </c>
      <c r="H4" s="72" t="s">
        <v>13</v>
      </c>
      <c r="I4" s="18" t="s">
        <v>14</v>
      </c>
      <c r="J4" s="18"/>
      <c r="K4" s="18"/>
      <c r="L4" s="18"/>
      <c r="M4" s="106">
        <f t="shared" si="0"/>
        <v>7.4385000000000003</v>
      </c>
      <c r="N4" s="106">
        <f t="shared" si="1"/>
        <v>7.4385000000000003</v>
      </c>
      <c r="O4" s="109">
        <v>5.7000000000000002E-2</v>
      </c>
      <c r="P4" s="112">
        <v>0.5</v>
      </c>
      <c r="Q4" s="112"/>
      <c r="R4" s="103">
        <f t="shared" si="2"/>
        <v>8.5500000000000007E-2</v>
      </c>
    </row>
    <row r="5" spans="1:18">
      <c r="A5" s="18"/>
      <c r="B5" s="18"/>
      <c r="C5" s="18"/>
      <c r="D5" s="18"/>
      <c r="E5" s="18"/>
      <c r="F5" s="13" t="s">
        <v>16</v>
      </c>
      <c r="G5" s="10">
        <v>1</v>
      </c>
      <c r="H5" s="72" t="s">
        <v>13</v>
      </c>
      <c r="I5" s="18" t="s">
        <v>14</v>
      </c>
      <c r="J5" s="18"/>
      <c r="K5" s="18"/>
      <c r="L5" s="18"/>
      <c r="M5" s="107"/>
      <c r="N5" s="107"/>
      <c r="O5" s="110"/>
      <c r="P5" s="113"/>
      <c r="Q5" s="113"/>
      <c r="R5" s="104"/>
    </row>
    <row r="6" spans="1:18">
      <c r="A6" s="18"/>
      <c r="B6" s="18"/>
      <c r="C6" s="18"/>
      <c r="D6" s="18"/>
      <c r="E6" s="18"/>
      <c r="F6" s="18" t="s">
        <v>17</v>
      </c>
      <c r="G6" s="10">
        <v>1</v>
      </c>
      <c r="H6" s="72" t="s">
        <v>13</v>
      </c>
      <c r="I6" s="18" t="s">
        <v>14</v>
      </c>
      <c r="J6" s="18"/>
      <c r="K6" s="18"/>
      <c r="L6" s="18"/>
      <c r="M6" s="108"/>
      <c r="N6" s="108"/>
      <c r="O6" s="111"/>
      <c r="P6" s="114"/>
      <c r="Q6" s="114"/>
      <c r="R6" s="105"/>
    </row>
    <row r="7" spans="1:18">
      <c r="A7" s="18"/>
      <c r="B7" s="18"/>
      <c r="C7" s="18"/>
      <c r="D7" s="18"/>
      <c r="E7" s="18"/>
      <c r="F7" s="82" t="s">
        <v>386</v>
      </c>
      <c r="G7" s="10">
        <v>2</v>
      </c>
      <c r="H7" s="72" t="s">
        <v>13</v>
      </c>
      <c r="I7" s="18" t="s">
        <v>14</v>
      </c>
      <c r="J7" s="18"/>
      <c r="K7" s="18"/>
      <c r="L7" s="18"/>
      <c r="M7" s="84">
        <f>R7*87</f>
        <v>2.2185000000000001</v>
      </c>
      <c r="N7" s="84">
        <f t="shared" si="1"/>
        <v>4.4370000000000003</v>
      </c>
      <c r="O7" s="86">
        <v>1.7000000000000001E-2</v>
      </c>
      <c r="P7" s="87">
        <v>0.5</v>
      </c>
      <c r="Q7" s="87"/>
      <c r="R7" s="88">
        <f t="shared" si="2"/>
        <v>2.5500000000000002E-2</v>
      </c>
    </row>
    <row r="8" spans="1:18">
      <c r="A8" s="18"/>
      <c r="B8" s="18"/>
      <c r="C8" s="18"/>
      <c r="D8" s="18"/>
      <c r="E8" s="18"/>
      <c r="F8" s="73" t="s">
        <v>18</v>
      </c>
      <c r="G8" s="10">
        <v>1</v>
      </c>
      <c r="H8" s="72" t="s">
        <v>13</v>
      </c>
      <c r="I8" s="18" t="s">
        <v>14</v>
      </c>
      <c r="J8" s="18"/>
      <c r="K8" s="18"/>
      <c r="L8" s="18"/>
      <c r="M8" s="84">
        <v>8.5</v>
      </c>
      <c r="N8" s="84">
        <f t="shared" si="1"/>
        <v>8.5</v>
      </c>
      <c r="O8" s="86">
        <v>0</v>
      </c>
      <c r="P8" s="87">
        <v>0.5</v>
      </c>
      <c r="Q8" s="87"/>
      <c r="R8" s="88">
        <f t="shared" si="2"/>
        <v>0</v>
      </c>
    </row>
    <row r="9" spans="1:18">
      <c r="A9" s="18"/>
      <c r="B9" s="18"/>
      <c r="C9" s="18"/>
      <c r="D9" s="18"/>
      <c r="E9" s="18"/>
      <c r="F9" s="73" t="s">
        <v>19</v>
      </c>
      <c r="G9" s="10">
        <v>0.08</v>
      </c>
      <c r="H9" s="72" t="s">
        <v>13</v>
      </c>
      <c r="I9" s="18" t="s">
        <v>14</v>
      </c>
      <c r="J9" s="18"/>
      <c r="K9" s="18"/>
      <c r="L9" s="18"/>
      <c r="M9" s="84">
        <v>27</v>
      </c>
      <c r="N9" s="84">
        <f t="shared" si="1"/>
        <v>2.16</v>
      </c>
      <c r="O9" s="86">
        <v>0</v>
      </c>
      <c r="P9" s="87">
        <v>0.5</v>
      </c>
      <c r="Q9" s="87"/>
      <c r="R9" s="88">
        <f t="shared" si="2"/>
        <v>0</v>
      </c>
    </row>
    <row r="10" spans="1:18">
      <c r="A10" s="18"/>
      <c r="B10" s="18"/>
      <c r="C10" s="18"/>
      <c r="D10" s="18"/>
      <c r="E10" s="18"/>
      <c r="F10" s="13" t="s">
        <v>20</v>
      </c>
      <c r="G10" s="10">
        <v>1</v>
      </c>
      <c r="H10" s="72" t="s">
        <v>13</v>
      </c>
      <c r="I10" s="18" t="s">
        <v>14</v>
      </c>
      <c r="J10" s="18"/>
      <c r="K10" s="18"/>
      <c r="L10" s="18"/>
      <c r="M10" s="84">
        <f>R10*87</f>
        <v>3.915</v>
      </c>
      <c r="N10" s="84">
        <f t="shared" si="1"/>
        <v>3.915</v>
      </c>
      <c r="O10" s="89">
        <f>0.06/2</f>
        <v>0.03</v>
      </c>
      <c r="P10" s="87">
        <v>0.5</v>
      </c>
      <c r="Q10" s="90"/>
      <c r="R10" s="88">
        <f>O10+(O10*(P10+Q10))</f>
        <v>4.4999999999999998E-2</v>
      </c>
    </row>
    <row r="11" spans="1:18">
      <c r="A11" s="18"/>
      <c r="B11" s="18"/>
      <c r="C11" s="18"/>
      <c r="D11" s="18"/>
      <c r="E11" s="18"/>
      <c r="F11" s="18" t="s">
        <v>21</v>
      </c>
      <c r="G11" s="10">
        <v>0.12</v>
      </c>
      <c r="H11" s="72" t="s">
        <v>13</v>
      </c>
      <c r="I11" s="18" t="s">
        <v>14</v>
      </c>
      <c r="J11" s="18" t="s">
        <v>22</v>
      </c>
      <c r="K11" s="18"/>
      <c r="L11" s="18"/>
      <c r="M11" s="85">
        <f>5.7/1000*120</f>
        <v>0.68400000000000005</v>
      </c>
      <c r="N11" s="85">
        <f>M11*G11</f>
        <v>8.208E-2</v>
      </c>
      <c r="O11" s="86">
        <v>0</v>
      </c>
      <c r="P11" s="87">
        <v>0.5</v>
      </c>
      <c r="Q11" s="87"/>
      <c r="R11" s="88">
        <f t="shared" ref="R11:R17" si="3">O11+(O11*(P11+Q11))</f>
        <v>0</v>
      </c>
    </row>
    <row r="12" spans="1:18">
      <c r="A12" s="18"/>
      <c r="B12" s="18"/>
      <c r="C12" s="18"/>
      <c r="D12" s="18"/>
      <c r="E12" s="18"/>
      <c r="F12" s="18" t="s">
        <v>23</v>
      </c>
      <c r="G12" s="10">
        <v>1</v>
      </c>
      <c r="H12" s="72" t="s">
        <v>13</v>
      </c>
      <c r="I12" s="18" t="s">
        <v>14</v>
      </c>
      <c r="J12" s="18"/>
      <c r="K12" s="18"/>
      <c r="L12" s="18"/>
      <c r="M12" s="84">
        <v>0.6</v>
      </c>
      <c r="N12" s="84">
        <f t="shared" si="1"/>
        <v>0.6</v>
      </c>
      <c r="O12" s="86">
        <v>0</v>
      </c>
      <c r="P12" s="87">
        <v>0.5</v>
      </c>
      <c r="Q12" s="87"/>
      <c r="R12" s="88">
        <f t="shared" si="3"/>
        <v>0</v>
      </c>
    </row>
    <row r="13" spans="1:18">
      <c r="A13" s="18"/>
      <c r="B13" s="18"/>
      <c r="C13" s="18"/>
      <c r="D13" s="18"/>
      <c r="E13" s="18"/>
      <c r="F13" s="18" t="s">
        <v>24</v>
      </c>
      <c r="G13" s="10">
        <v>1</v>
      </c>
      <c r="H13" s="72" t="s">
        <v>13</v>
      </c>
      <c r="I13" s="18" t="s">
        <v>14</v>
      </c>
      <c r="J13" s="18" t="s">
        <v>25</v>
      </c>
      <c r="K13" s="18"/>
      <c r="L13" s="18"/>
      <c r="M13" s="84">
        <v>0.21</v>
      </c>
      <c r="N13" s="84">
        <f t="shared" si="1"/>
        <v>0.21</v>
      </c>
      <c r="O13" s="86">
        <v>0</v>
      </c>
      <c r="P13" s="87">
        <v>0.5</v>
      </c>
      <c r="Q13" s="87"/>
      <c r="R13" s="88">
        <f t="shared" si="3"/>
        <v>0</v>
      </c>
    </row>
    <row r="14" spans="1:18">
      <c r="A14" s="18"/>
      <c r="B14" s="18"/>
      <c r="C14" s="18"/>
      <c r="D14" s="18"/>
      <c r="E14" s="18"/>
      <c r="F14" s="18" t="s">
        <v>26</v>
      </c>
      <c r="G14" s="10">
        <v>2</v>
      </c>
      <c r="H14" s="72" t="s">
        <v>13</v>
      </c>
      <c r="I14" s="18" t="s">
        <v>14</v>
      </c>
      <c r="J14" s="18" t="s">
        <v>27</v>
      </c>
      <c r="K14" s="18"/>
      <c r="L14" s="18"/>
      <c r="M14" s="84">
        <v>0.48</v>
      </c>
      <c r="N14" s="84">
        <f t="shared" si="1"/>
        <v>0.96</v>
      </c>
      <c r="O14" s="86">
        <v>0</v>
      </c>
      <c r="P14" s="87">
        <v>0.5</v>
      </c>
      <c r="Q14" s="87"/>
      <c r="R14" s="88">
        <f t="shared" si="3"/>
        <v>0</v>
      </c>
    </row>
    <row r="15" spans="1:18">
      <c r="A15" s="18"/>
      <c r="B15" s="18"/>
      <c r="C15" s="18"/>
      <c r="D15" s="18"/>
      <c r="E15" s="18"/>
      <c r="F15" s="18" t="s">
        <v>28</v>
      </c>
      <c r="G15" s="10">
        <v>4</v>
      </c>
      <c r="H15" s="72" t="s">
        <v>13</v>
      </c>
      <c r="I15" s="18" t="s">
        <v>14</v>
      </c>
      <c r="J15" s="18" t="s">
        <v>29</v>
      </c>
      <c r="K15" s="18"/>
      <c r="L15" s="18"/>
      <c r="M15" s="84">
        <v>0.26</v>
      </c>
      <c r="N15" s="84">
        <f>M15*G15</f>
        <v>1.04</v>
      </c>
      <c r="O15" s="86">
        <v>0</v>
      </c>
      <c r="P15" s="87">
        <v>0.5</v>
      </c>
      <c r="Q15" s="87"/>
      <c r="R15" s="88">
        <f t="shared" si="3"/>
        <v>0</v>
      </c>
    </row>
    <row r="16" spans="1:18" ht="20.25">
      <c r="A16" s="18"/>
      <c r="B16" s="18"/>
      <c r="C16" s="18"/>
      <c r="D16" s="18"/>
      <c r="E16" s="18"/>
      <c r="F16" s="18"/>
      <c r="G16" s="74"/>
      <c r="H16" s="75"/>
      <c r="I16" s="18"/>
      <c r="J16" s="18"/>
      <c r="K16" s="18"/>
      <c r="L16" s="18"/>
      <c r="M16" s="84"/>
      <c r="N16" s="84"/>
      <c r="O16" s="86"/>
      <c r="P16" s="87"/>
      <c r="Q16" s="87"/>
      <c r="R16" s="88"/>
    </row>
    <row r="17" spans="1:19">
      <c r="A17" s="18"/>
      <c r="B17" s="18"/>
      <c r="C17" s="18"/>
      <c r="D17" s="18"/>
      <c r="E17" s="18"/>
      <c r="F17" s="14" t="str">
        <f>'Backend data'!G6</f>
        <v>COB 30-36W 3000K 12LED 34-38V 890mA 19x19mm CRI-90</v>
      </c>
      <c r="G17" s="10">
        <v>1</v>
      </c>
      <c r="H17" s="18" t="s">
        <v>30</v>
      </c>
      <c r="I17" s="18" t="s">
        <v>14</v>
      </c>
      <c r="J17" s="18"/>
      <c r="K17" s="18"/>
      <c r="L17" s="18"/>
      <c r="M17" s="84">
        <f t="shared" ref="M17:M18" si="4">R17*87</f>
        <v>84.825000000000003</v>
      </c>
      <c r="N17" s="84">
        <f>M17*G17</f>
        <v>84.825000000000003</v>
      </c>
      <c r="O17" s="86">
        <v>0.65</v>
      </c>
      <c r="P17" s="87">
        <v>0.5</v>
      </c>
      <c r="Q17" s="87"/>
      <c r="R17" s="88">
        <f t="shared" si="3"/>
        <v>0.97500000000000009</v>
      </c>
    </row>
    <row r="18" spans="1:19">
      <c r="A18" s="18"/>
      <c r="B18" s="18"/>
      <c r="C18" s="18"/>
      <c r="D18" s="18"/>
      <c r="E18" s="18"/>
      <c r="F18" s="14" t="str">
        <f>'Backend data'!H6</f>
        <v>PS 8W 200MA 36V LPF (PCB MT43-8-12W-V2 LPF)</v>
      </c>
      <c r="G18" s="10">
        <v>1</v>
      </c>
      <c r="H18" s="72" t="s">
        <v>13</v>
      </c>
      <c r="I18" s="18" t="s">
        <v>14</v>
      </c>
      <c r="J18" s="18"/>
      <c r="K18" s="18"/>
      <c r="L18" s="18"/>
      <c r="M18" s="84">
        <f t="shared" si="4"/>
        <v>0</v>
      </c>
      <c r="N18" s="84">
        <f>M18*G18</f>
        <v>0</v>
      </c>
      <c r="O18" s="91" t="s">
        <v>393</v>
      </c>
      <c r="P18" s="92"/>
      <c r="Q18" s="92"/>
      <c r="R18" s="92"/>
    </row>
    <row r="19" spans="1:19" ht="21" customHeight="1" thickBot="1">
      <c r="M19" s="92"/>
      <c r="N19" s="93">
        <f>SUM(N2:N18)</f>
        <v>227.44157999999999</v>
      </c>
      <c r="O19" s="92"/>
      <c r="P19" s="92"/>
      <c r="Q19" s="92"/>
      <c r="R19" s="92"/>
    </row>
    <row r="20" spans="1:19" ht="15.75" thickTop="1">
      <c r="N20" s="95"/>
    </row>
    <row r="21" spans="1:19" ht="24" customHeight="1">
      <c r="L21" s="117" t="s">
        <v>387</v>
      </c>
      <c r="M21" s="118"/>
      <c r="N21" s="96">
        <f>N19+42</f>
        <v>269.44157999999999</v>
      </c>
    </row>
    <row r="22" spans="1:19" ht="24" customHeight="1">
      <c r="L22" s="115" t="s">
        <v>388</v>
      </c>
      <c r="M22" s="116"/>
      <c r="N22" s="96">
        <f>N19+275</f>
        <v>502.44157999999999</v>
      </c>
      <c r="S22" s="101" t="s">
        <v>394</v>
      </c>
    </row>
    <row r="23" spans="1:19" ht="24" customHeight="1">
      <c r="L23" s="115" t="s">
        <v>389</v>
      </c>
      <c r="M23" s="116"/>
      <c r="N23" s="97">
        <f>((N19)+(R23*87))</f>
        <v>885.16157999999996</v>
      </c>
      <c r="O23" s="98">
        <v>5.04</v>
      </c>
      <c r="P23" s="99">
        <v>0.5</v>
      </c>
      <c r="Q23" s="99"/>
      <c r="R23" s="81">
        <f>O23+(O23*(P23+Q23))</f>
        <v>7.5600000000000005</v>
      </c>
      <c r="S23" s="83">
        <f>R23*87</f>
        <v>657.72</v>
      </c>
    </row>
    <row r="24" spans="1:19" ht="24" customHeight="1">
      <c r="L24" s="115" t="s">
        <v>390</v>
      </c>
      <c r="M24" s="116"/>
      <c r="N24" s="96">
        <f>N19+330</f>
        <v>557.44157999999993</v>
      </c>
      <c r="O24" s="100"/>
      <c r="P24" s="100"/>
      <c r="Q24" s="100"/>
      <c r="R24" s="100"/>
      <c r="S24" s="83"/>
    </row>
    <row r="25" spans="1:19" ht="24" customHeight="1">
      <c r="L25" s="115" t="s">
        <v>391</v>
      </c>
      <c r="M25" s="116"/>
      <c r="N25" s="97">
        <f>((N19)+(R25*87))</f>
        <v>941.92907999999989</v>
      </c>
      <c r="O25" s="98">
        <v>5.4749999999999996</v>
      </c>
      <c r="P25" s="99">
        <v>0.5</v>
      </c>
      <c r="Q25" s="99"/>
      <c r="R25" s="81">
        <f>O25+(O25*(P25+Q25))</f>
        <v>8.2124999999999986</v>
      </c>
      <c r="S25" s="83">
        <f>R25*87</f>
        <v>714.48749999999984</v>
      </c>
    </row>
    <row r="26" spans="1:19" ht="24" customHeight="1">
      <c r="L26" s="115" t="s">
        <v>392</v>
      </c>
      <c r="M26" s="116"/>
      <c r="N26" s="96">
        <f>N19+330</f>
        <v>557.44157999999993</v>
      </c>
    </row>
    <row r="31" spans="1:19">
      <c r="M31"/>
      <c r="N31"/>
      <c r="O31"/>
      <c r="P31"/>
    </row>
    <row r="32" spans="1:19">
      <c r="M32"/>
      <c r="N32"/>
      <c r="O32"/>
      <c r="P32"/>
    </row>
    <row r="33" spans="13:16">
      <c r="M33"/>
      <c r="N33"/>
      <c r="O33"/>
      <c r="P33"/>
    </row>
    <row r="34" spans="13:16">
      <c r="M34"/>
      <c r="N34"/>
      <c r="O34"/>
      <c r="P34"/>
    </row>
    <row r="35" spans="13:16">
      <c r="M35"/>
      <c r="N35"/>
      <c r="O35"/>
      <c r="P35"/>
    </row>
    <row r="36" spans="13:16">
      <c r="M36"/>
      <c r="N36"/>
      <c r="O36"/>
      <c r="P36"/>
    </row>
  </sheetData>
  <mergeCells count="12">
    <mergeCell ref="L23:M23"/>
    <mergeCell ref="L24:M24"/>
    <mergeCell ref="L25:M25"/>
    <mergeCell ref="L26:M26"/>
    <mergeCell ref="L21:M21"/>
    <mergeCell ref="L22:M22"/>
    <mergeCell ref="R4:R6"/>
    <mergeCell ref="M4:M6"/>
    <mergeCell ref="N4:N6"/>
    <mergeCell ref="O4:O6"/>
    <mergeCell ref="P4:P6"/>
    <mergeCell ref="Q4:Q6"/>
  </mergeCells>
  <conditionalFormatting sqref="G16">
    <cfRule type="expression" dxfId="10" priority="1">
      <formula>$K16="CH"</formula>
    </cfRule>
  </conditionalFormatting>
  <conditionalFormatting sqref="F1:F2 F22:F1048576 F7:F10 F19 F12">
    <cfRule type="containsText" dxfId="9" priority="6" operator="containsText" text="PS-">
      <formula>NOT(ISERROR(SEARCH("PS-",F1)))</formula>
    </cfRule>
    <cfRule type="containsText" dxfId="8" priority="9" operator="containsText" text="COB-">
      <formula>NOT(ISERROR(SEARCH("COB-",F1)))</formula>
    </cfRule>
    <cfRule type="containsText" dxfId="7" priority="11" operator="containsText" text="TRIM">
      <formula>NOT(ISERROR(SEARCH("TRIM",F1)))</formula>
    </cfRule>
  </conditionalFormatting>
  <conditionalFormatting sqref="F1:G1 F2 F10 F7 F19:G19 F29:G1048576 F8:G9 F12 F22:F28">
    <cfRule type="containsText" dxfId="6" priority="5" operator="containsText" text="REFLECTOR">
      <formula>NOT(ISERROR(SEARCH("REFLECTOR",F1)))</formula>
    </cfRule>
  </conditionalFormatting>
  <pageMargins left="0.25" right="0.25" top="0.75" bottom="0.75" header="0.3" footer="0.3"/>
  <pageSetup paperSize="9" scale="44"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00000000-000E-0000-0000-000003000000}">
            <xm:f>$F:$F='Backend data'!$C$2:$H$2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F1:G1 F19:G19 F29:G1048576 F2 F7:F10 F12 F22:F28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Result!$B$2:$B$43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22" customWidth="1"/>
    <col min="2" max="3" width="23.42578125" style="22" customWidth="1"/>
    <col min="4" max="4" width="5.85546875" style="23" customWidth="1"/>
    <col min="5" max="11" width="8.7109375" style="23"/>
    <col min="12" max="12" width="6.140625" style="23" customWidth="1"/>
    <col min="13" max="18" width="8.7109375" style="23"/>
    <col min="19" max="16384" width="8.7109375" style="22"/>
  </cols>
  <sheetData>
    <row r="1" spans="1:17" ht="15">
      <c r="A1" s="24" t="s">
        <v>31</v>
      </c>
      <c r="B1" s="24" t="s">
        <v>32</v>
      </c>
      <c r="C1" s="24" t="s">
        <v>33</v>
      </c>
      <c r="E1" s="25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>
      <c r="A2" s="27" t="s">
        <v>34</v>
      </c>
      <c r="B2" s="28"/>
      <c r="C2" s="29" t="s">
        <v>35</v>
      </c>
      <c r="E2" s="30"/>
      <c r="F2" s="31"/>
      <c r="G2" s="31"/>
      <c r="H2" s="31"/>
      <c r="I2" s="31"/>
      <c r="J2" s="31"/>
      <c r="K2" s="31"/>
      <c r="L2" s="31"/>
      <c r="M2" s="31"/>
      <c r="N2" s="31"/>
      <c r="O2" s="58"/>
      <c r="P2" s="58"/>
      <c r="Q2" s="61"/>
    </row>
    <row r="3" spans="1:17">
      <c r="A3" s="32" t="s">
        <v>0</v>
      </c>
      <c r="B3" s="33" t="s">
        <v>36</v>
      </c>
      <c r="C3" s="34"/>
      <c r="E3" s="35" t="s">
        <v>37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62"/>
    </row>
    <row r="4" spans="1:17">
      <c r="A4" s="37" t="s">
        <v>1</v>
      </c>
      <c r="B4" s="33" t="s">
        <v>36</v>
      </c>
      <c r="C4" s="34"/>
      <c r="E4" s="38" t="s">
        <v>38</v>
      </c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62"/>
    </row>
    <row r="5" spans="1:17" ht="12.6" customHeight="1">
      <c r="A5" s="37" t="s">
        <v>39</v>
      </c>
      <c r="B5" s="33" t="s">
        <v>36</v>
      </c>
      <c r="C5" s="34"/>
      <c r="E5" s="120" t="s">
        <v>40</v>
      </c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2"/>
    </row>
    <row r="6" spans="1:17" ht="12.6" customHeight="1">
      <c r="A6" s="37" t="s">
        <v>41</v>
      </c>
      <c r="B6" s="33" t="s">
        <v>36</v>
      </c>
      <c r="C6" s="34"/>
      <c r="E6" s="120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2"/>
    </row>
    <row r="7" spans="1:17" ht="12.6" customHeight="1">
      <c r="A7" s="37" t="s">
        <v>42</v>
      </c>
      <c r="B7" s="33" t="s">
        <v>36</v>
      </c>
      <c r="C7" s="34"/>
      <c r="E7" s="120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2"/>
    </row>
    <row r="8" spans="1:17" ht="12.6" customHeight="1">
      <c r="A8" s="37" t="s">
        <v>43</v>
      </c>
      <c r="B8" s="33" t="s">
        <v>36</v>
      </c>
      <c r="C8" s="34"/>
      <c r="E8" s="120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2"/>
    </row>
    <row r="9" spans="1:17" ht="12.95" customHeight="1">
      <c r="A9" s="37" t="s">
        <v>44</v>
      </c>
      <c r="B9" s="33" t="s">
        <v>36</v>
      </c>
      <c r="C9" s="34"/>
      <c r="E9" s="120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2"/>
    </row>
    <row r="10" spans="1:17">
      <c r="A10" s="37" t="s">
        <v>45</v>
      </c>
      <c r="B10" s="33" t="s">
        <v>36</v>
      </c>
      <c r="C10" s="34"/>
      <c r="E10" s="39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62"/>
    </row>
    <row r="11" spans="1:17">
      <c r="A11" s="37" t="s">
        <v>2</v>
      </c>
      <c r="B11" s="33" t="s">
        <v>36</v>
      </c>
      <c r="C11" s="34"/>
      <c r="E11" s="38" t="s">
        <v>46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62"/>
    </row>
    <row r="12" spans="1:17">
      <c r="A12" s="37" t="s">
        <v>47</v>
      </c>
      <c r="B12" s="33" t="s">
        <v>36</v>
      </c>
      <c r="C12" s="34"/>
      <c r="E12" s="40" t="s">
        <v>48</v>
      </c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63"/>
    </row>
    <row r="13" spans="1:17">
      <c r="A13" s="37" t="s">
        <v>49</v>
      </c>
      <c r="B13" s="33" t="s">
        <v>36</v>
      </c>
      <c r="C13" s="34"/>
      <c r="E13" s="42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62"/>
    </row>
    <row r="14" spans="1:17" ht="15">
      <c r="A14" s="37" t="s">
        <v>50</v>
      </c>
      <c r="B14" s="33" t="s">
        <v>36</v>
      </c>
      <c r="C14" s="34"/>
      <c r="E14" s="43" t="s">
        <v>51</v>
      </c>
      <c r="F14" s="44"/>
      <c r="G14" s="44"/>
      <c r="H14" s="44"/>
      <c r="I14" s="44"/>
      <c r="J14" s="44"/>
      <c r="K14" s="44"/>
      <c r="L14" s="44"/>
      <c r="M14" s="59" t="s">
        <v>52</v>
      </c>
      <c r="N14" s="36"/>
      <c r="O14" s="36"/>
      <c r="P14" s="36"/>
      <c r="Q14" s="62"/>
    </row>
    <row r="15" spans="1:17" ht="15">
      <c r="A15" s="37" t="s">
        <v>53</v>
      </c>
      <c r="B15" s="33" t="s">
        <v>36</v>
      </c>
      <c r="C15" s="45" t="s">
        <v>54</v>
      </c>
      <c r="E15" s="4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64"/>
    </row>
    <row r="16" spans="1:17">
      <c r="A16" s="37" t="s">
        <v>55</v>
      </c>
      <c r="B16" s="33" t="s">
        <v>36</v>
      </c>
      <c r="C16" s="34"/>
      <c r="E16" s="47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65"/>
    </row>
    <row r="17" spans="1:17" ht="15">
      <c r="A17" s="37" t="s">
        <v>56</v>
      </c>
      <c r="B17" s="33" t="s">
        <v>36</v>
      </c>
      <c r="C17" s="34"/>
      <c r="E17" s="49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</row>
    <row r="18" spans="1:17" ht="15">
      <c r="A18" s="37" t="s">
        <v>57</v>
      </c>
      <c r="B18" s="33" t="s">
        <v>36</v>
      </c>
      <c r="C18" s="34"/>
      <c r="E18" s="50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</row>
    <row r="19" spans="1:17">
      <c r="A19" s="37" t="s">
        <v>58</v>
      </c>
      <c r="B19" s="33" t="s">
        <v>36</v>
      </c>
      <c r="C19" s="34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</row>
    <row r="20" spans="1:17" ht="25.5">
      <c r="A20" s="37" t="s">
        <v>59</v>
      </c>
      <c r="B20" s="33" t="s">
        <v>36</v>
      </c>
      <c r="C20" s="34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</row>
    <row r="21" spans="1:17">
      <c r="A21" s="37" t="s">
        <v>60</v>
      </c>
      <c r="B21" s="33" t="s">
        <v>36</v>
      </c>
      <c r="C21" s="34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</row>
    <row r="22" spans="1:17">
      <c r="A22" s="27" t="s">
        <v>61</v>
      </c>
      <c r="B22" s="51"/>
      <c r="C22" s="52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</row>
    <row r="23" spans="1:17" ht="38.25">
      <c r="A23" s="37" t="s">
        <v>62</v>
      </c>
      <c r="B23" s="33" t="s">
        <v>63</v>
      </c>
      <c r="C23" s="34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</row>
    <row r="24" spans="1:17" ht="15">
      <c r="A24" s="37" t="s">
        <v>64</v>
      </c>
      <c r="B24" s="33" t="s">
        <v>36</v>
      </c>
      <c r="C24" s="34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</row>
    <row r="25" spans="1:17" ht="15">
      <c r="A25" s="37" t="s">
        <v>65</v>
      </c>
      <c r="B25" s="33" t="s">
        <v>36</v>
      </c>
      <c r="C25" s="34"/>
      <c r="E25" s="50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</row>
    <row r="26" spans="1:17">
      <c r="A26" s="37" t="s">
        <v>66</v>
      </c>
      <c r="B26" s="33" t="s">
        <v>36</v>
      </c>
      <c r="C26" s="3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</row>
    <row r="27" spans="1:17" ht="15">
      <c r="A27" s="37" t="s">
        <v>67</v>
      </c>
      <c r="B27" s="33" t="s">
        <v>36</v>
      </c>
      <c r="C27" s="34"/>
      <c r="E27" s="55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</row>
    <row r="28" spans="1:17" ht="15">
      <c r="A28" s="37" t="s">
        <v>68</v>
      </c>
      <c r="B28" s="33" t="s">
        <v>36</v>
      </c>
      <c r="C28" s="34"/>
      <c r="E28" s="56"/>
      <c r="F28" s="56"/>
      <c r="G28" s="56"/>
      <c r="H28" s="56"/>
      <c r="I28" s="56"/>
      <c r="J28" s="56"/>
      <c r="K28" s="56"/>
      <c r="L28" s="56"/>
      <c r="M28" s="60"/>
      <c r="N28" s="26"/>
      <c r="O28" s="26"/>
      <c r="P28" s="26"/>
      <c r="Q28" s="26"/>
    </row>
    <row r="29" spans="1:17" ht="15">
      <c r="A29" s="37" t="s">
        <v>69</v>
      </c>
      <c r="B29" s="33" t="s">
        <v>36</v>
      </c>
      <c r="C29" s="34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</row>
    <row r="30" spans="1:17" ht="15">
      <c r="A30" s="37" t="s">
        <v>70</v>
      </c>
      <c r="B30" s="33" t="s">
        <v>36</v>
      </c>
      <c r="C30" s="34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</row>
    <row r="31" spans="1:17" ht="38.25">
      <c r="A31" s="37" t="s">
        <v>71</v>
      </c>
      <c r="B31" s="33" t="s">
        <v>72</v>
      </c>
      <c r="C31" s="34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</row>
    <row r="32" spans="1:17" ht="15">
      <c r="A32" s="27" t="s">
        <v>73</v>
      </c>
      <c r="B32" s="51"/>
      <c r="C32" s="52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</row>
    <row r="33" spans="1:3">
      <c r="A33" s="37" t="s">
        <v>74</v>
      </c>
      <c r="B33" s="33" t="s">
        <v>36</v>
      </c>
      <c r="C33" s="34"/>
    </row>
    <row r="34" spans="1:3">
      <c r="A34" s="37" t="s">
        <v>75</v>
      </c>
      <c r="B34" s="33" t="s">
        <v>36</v>
      </c>
      <c r="C34" s="34"/>
    </row>
    <row r="35" spans="1:3">
      <c r="A35" s="37" t="s">
        <v>76</v>
      </c>
      <c r="B35" s="33" t="s">
        <v>36</v>
      </c>
      <c r="C35" s="34"/>
    </row>
    <row r="36" spans="1:3">
      <c r="A36" s="37" t="s">
        <v>77</v>
      </c>
      <c r="B36" s="33" t="s">
        <v>36</v>
      </c>
      <c r="C36" s="34"/>
    </row>
    <row r="37" spans="1:3" ht="76.5">
      <c r="A37" s="37" t="s">
        <v>78</v>
      </c>
      <c r="B37" s="33" t="s">
        <v>36</v>
      </c>
      <c r="C37" s="45" t="s">
        <v>79</v>
      </c>
    </row>
    <row r="38" spans="1:3" ht="38.25">
      <c r="A38" s="37" t="s">
        <v>80</v>
      </c>
      <c r="B38" s="33" t="s">
        <v>36</v>
      </c>
      <c r="C38" s="45" t="s">
        <v>81</v>
      </c>
    </row>
    <row r="39" spans="1:3">
      <c r="A39" s="27" t="s">
        <v>82</v>
      </c>
      <c r="B39" s="51"/>
      <c r="C39" s="52"/>
    </row>
    <row r="40" spans="1:3" ht="25.5">
      <c r="A40" s="37" t="s">
        <v>83</v>
      </c>
      <c r="B40" s="33" t="s">
        <v>36</v>
      </c>
      <c r="C40" s="34"/>
    </row>
    <row r="41" spans="1:3">
      <c r="A41" s="37" t="s">
        <v>84</v>
      </c>
      <c r="B41" s="33" t="s">
        <v>36</v>
      </c>
      <c r="C41" s="34"/>
    </row>
    <row r="42" spans="1:3" ht="25.5">
      <c r="A42" s="37" t="s">
        <v>85</v>
      </c>
      <c r="B42" s="33" t="s">
        <v>36</v>
      </c>
      <c r="C42" s="34"/>
    </row>
    <row r="43" spans="1:3" ht="25.5">
      <c r="A43" s="37" t="s">
        <v>86</v>
      </c>
      <c r="B43" s="33" t="s">
        <v>36</v>
      </c>
      <c r="C43" s="34"/>
    </row>
    <row r="44" spans="1:3">
      <c r="A44" s="37" t="s">
        <v>87</v>
      </c>
      <c r="B44" s="33" t="s">
        <v>36</v>
      </c>
      <c r="C44" s="34"/>
    </row>
    <row r="45" spans="1:3" ht="25.5">
      <c r="A45" s="37" t="s">
        <v>88</v>
      </c>
      <c r="B45" s="33" t="s">
        <v>36</v>
      </c>
      <c r="C45" s="34"/>
    </row>
    <row r="46" spans="1:3">
      <c r="A46" s="27" t="s">
        <v>89</v>
      </c>
      <c r="B46" s="51"/>
      <c r="C46" s="52"/>
    </row>
    <row r="47" spans="1:3">
      <c r="A47" s="37" t="s">
        <v>3</v>
      </c>
      <c r="B47" s="33" t="s">
        <v>36</v>
      </c>
      <c r="C47" s="34"/>
    </row>
    <row r="48" spans="1:3">
      <c r="A48" s="37" t="s">
        <v>4</v>
      </c>
      <c r="B48" s="33" t="s">
        <v>36</v>
      </c>
      <c r="C48" s="34"/>
    </row>
    <row r="49" spans="1:3">
      <c r="A49" s="37" t="s">
        <v>5</v>
      </c>
      <c r="B49" s="33" t="s">
        <v>36</v>
      </c>
      <c r="C49" s="34"/>
    </row>
    <row r="50" spans="1:3">
      <c r="A50" s="37" t="s">
        <v>6</v>
      </c>
      <c r="B50" s="33" t="s">
        <v>36</v>
      </c>
      <c r="C50" s="34"/>
    </row>
    <row r="51" spans="1:3" ht="38.25">
      <c r="A51" s="37" t="s">
        <v>7</v>
      </c>
      <c r="B51" s="33" t="s">
        <v>63</v>
      </c>
      <c r="C51" s="34"/>
    </row>
    <row r="52" spans="1:3" ht="25.5">
      <c r="A52" s="37" t="s">
        <v>8</v>
      </c>
      <c r="B52" s="33" t="s">
        <v>36</v>
      </c>
      <c r="C52" s="57" t="s">
        <v>90</v>
      </c>
    </row>
    <row r="53" spans="1:3">
      <c r="A53" s="37" t="s">
        <v>9</v>
      </c>
      <c r="B53" s="33" t="s">
        <v>36</v>
      </c>
      <c r="C53" s="34"/>
    </row>
    <row r="54" spans="1:3" ht="38.25">
      <c r="A54" s="37" t="s">
        <v>10</v>
      </c>
      <c r="B54" s="33" t="s">
        <v>72</v>
      </c>
      <c r="C54" s="34"/>
    </row>
    <row r="55" spans="1:3" ht="25.5">
      <c r="A55" s="27" t="s">
        <v>91</v>
      </c>
      <c r="B55" s="51"/>
      <c r="C55" s="52"/>
    </row>
    <row r="56" spans="1:3" ht="25.5">
      <c r="A56" s="37" t="s">
        <v>92</v>
      </c>
      <c r="B56" s="33" t="s">
        <v>36</v>
      </c>
      <c r="C56" s="34"/>
    </row>
    <row r="57" spans="1:3" ht="25.5">
      <c r="A57" s="37" t="s">
        <v>93</v>
      </c>
      <c r="B57" s="33" t="s">
        <v>36</v>
      </c>
      <c r="C57" s="34"/>
    </row>
    <row r="58" spans="1:3" ht="25.5">
      <c r="A58" s="37" t="s">
        <v>94</v>
      </c>
      <c r="B58" s="33" t="s">
        <v>36</v>
      </c>
      <c r="C58" s="34"/>
    </row>
    <row r="59" spans="1:3" ht="25.5">
      <c r="A59" s="37" t="s">
        <v>95</v>
      </c>
      <c r="B59" s="33" t="s">
        <v>36</v>
      </c>
      <c r="C59" s="34"/>
    </row>
    <row r="60" spans="1:3">
      <c r="A60" s="37" t="s">
        <v>96</v>
      </c>
      <c r="B60" s="33" t="s">
        <v>97</v>
      </c>
      <c r="C60" s="34"/>
    </row>
    <row r="61" spans="1:3">
      <c r="A61" s="37" t="s">
        <v>98</v>
      </c>
      <c r="B61" s="33" t="s">
        <v>97</v>
      </c>
      <c r="C61" s="34"/>
    </row>
    <row r="62" spans="1:3" ht="63.75">
      <c r="A62" s="37" t="s">
        <v>99</v>
      </c>
      <c r="B62" s="33" t="s">
        <v>100</v>
      </c>
      <c r="C62" s="34"/>
    </row>
    <row r="63" spans="1:3" ht="25.5">
      <c r="A63" s="37" t="s">
        <v>101</v>
      </c>
      <c r="B63" s="33" t="s">
        <v>36</v>
      </c>
      <c r="C63" s="34"/>
    </row>
    <row r="64" spans="1:3" ht="25.5">
      <c r="A64" s="27" t="s">
        <v>102</v>
      </c>
      <c r="B64" s="51"/>
      <c r="C64" s="52"/>
    </row>
    <row r="65" spans="1:3" ht="25.5">
      <c r="A65" s="37" t="s">
        <v>103</v>
      </c>
      <c r="B65" s="33" t="s">
        <v>36</v>
      </c>
      <c r="C65" s="34"/>
    </row>
    <row r="66" spans="1:3" ht="25.5">
      <c r="A66" s="37" t="s">
        <v>104</v>
      </c>
      <c r="B66" s="33" t="s">
        <v>36</v>
      </c>
      <c r="C66" s="34"/>
    </row>
    <row r="67" spans="1:3" ht="25.5">
      <c r="A67" s="37" t="s">
        <v>105</v>
      </c>
      <c r="B67" s="33" t="s">
        <v>36</v>
      </c>
      <c r="C67" s="34"/>
    </row>
    <row r="68" spans="1:3" ht="25.5">
      <c r="A68" s="37" t="s">
        <v>106</v>
      </c>
      <c r="B68" s="33" t="s">
        <v>36</v>
      </c>
      <c r="C68" s="34"/>
    </row>
    <row r="69" spans="1:3">
      <c r="A69" s="37" t="s">
        <v>107</v>
      </c>
      <c r="B69" s="33" t="s">
        <v>97</v>
      </c>
      <c r="C69" s="34"/>
    </row>
    <row r="70" spans="1:3">
      <c r="A70" s="37" t="s">
        <v>108</v>
      </c>
      <c r="B70" s="33" t="s">
        <v>97</v>
      </c>
      <c r="C70" s="34"/>
    </row>
    <row r="71" spans="1:3" ht="63.75">
      <c r="A71" s="37" t="s">
        <v>109</v>
      </c>
      <c r="B71" s="33" t="s">
        <v>100</v>
      </c>
      <c r="C71" s="34"/>
    </row>
    <row r="72" spans="1:3" ht="25.5">
      <c r="A72" s="37" t="s">
        <v>110</v>
      </c>
      <c r="B72" s="33" t="s">
        <v>36</v>
      </c>
      <c r="C72" s="34"/>
    </row>
    <row r="73" spans="1:3">
      <c r="A73" s="27" t="s">
        <v>111</v>
      </c>
      <c r="B73" s="51"/>
      <c r="C73" s="52"/>
    </row>
    <row r="74" spans="1:3">
      <c r="A74" s="37" t="s">
        <v>112</v>
      </c>
      <c r="B74" s="33" t="s">
        <v>97</v>
      </c>
      <c r="C74" s="34"/>
    </row>
    <row r="75" spans="1:3" ht="51">
      <c r="A75" s="37" t="s">
        <v>113</v>
      </c>
      <c r="B75" s="33" t="s">
        <v>97</v>
      </c>
      <c r="C75" s="45" t="s">
        <v>114</v>
      </c>
    </row>
    <row r="76" spans="1:3">
      <c r="A76" s="37" t="s">
        <v>115</v>
      </c>
      <c r="B76" s="33" t="s">
        <v>97</v>
      </c>
      <c r="C76" s="34"/>
    </row>
    <row r="77" spans="1:3">
      <c r="A77" s="37" t="s">
        <v>116</v>
      </c>
      <c r="B77" s="33" t="s">
        <v>97</v>
      </c>
      <c r="C77" s="34"/>
    </row>
    <row r="78" spans="1:3">
      <c r="A78" s="37" t="s">
        <v>117</v>
      </c>
      <c r="B78" s="33" t="s">
        <v>97</v>
      </c>
      <c r="C78" s="34"/>
    </row>
    <row r="79" spans="1:3">
      <c r="A79" s="27" t="s">
        <v>118</v>
      </c>
      <c r="B79" s="51"/>
      <c r="C79" s="52"/>
    </row>
    <row r="80" spans="1:3">
      <c r="A80" s="37" t="s">
        <v>119</v>
      </c>
      <c r="B80" s="33" t="s">
        <v>97</v>
      </c>
      <c r="C80" s="34"/>
    </row>
    <row r="81" spans="1:3" ht="63.75">
      <c r="A81" s="37" t="s">
        <v>120</v>
      </c>
      <c r="B81" s="33" t="s">
        <v>97</v>
      </c>
      <c r="C81" s="45" t="s">
        <v>121</v>
      </c>
    </row>
    <row r="82" spans="1:3">
      <c r="A82" s="37" t="s">
        <v>122</v>
      </c>
      <c r="B82" s="33" t="s">
        <v>97</v>
      </c>
      <c r="C82" s="34"/>
    </row>
    <row r="83" spans="1:3" ht="25.5">
      <c r="A83" s="37" t="s">
        <v>123</v>
      </c>
      <c r="B83" s="33" t="s">
        <v>97</v>
      </c>
      <c r="C83" s="45" t="s">
        <v>124</v>
      </c>
    </row>
    <row r="84" spans="1:3">
      <c r="A84" s="37" t="s">
        <v>125</v>
      </c>
      <c r="B84" s="33" t="s">
        <v>97</v>
      </c>
      <c r="C84" s="34"/>
    </row>
    <row r="85" spans="1:3">
      <c r="A85" s="37" t="s">
        <v>126</v>
      </c>
      <c r="B85" s="33" t="s">
        <v>97</v>
      </c>
      <c r="C85" s="34"/>
    </row>
    <row r="86" spans="1:3">
      <c r="A86" s="37" t="s">
        <v>127</v>
      </c>
      <c r="B86" s="33" t="s">
        <v>97</v>
      </c>
      <c r="C86" s="34"/>
    </row>
    <row r="87" spans="1:3">
      <c r="A87" s="37" t="s">
        <v>128</v>
      </c>
      <c r="B87" s="33" t="s">
        <v>97</v>
      </c>
      <c r="C87" s="34"/>
    </row>
    <row r="88" spans="1:3">
      <c r="A88" s="37" t="s">
        <v>129</v>
      </c>
      <c r="B88" s="33" t="s">
        <v>97</v>
      </c>
      <c r="C88" s="34"/>
    </row>
    <row r="89" spans="1:3">
      <c r="A89" s="37" t="s">
        <v>130</v>
      </c>
      <c r="B89" s="33" t="s">
        <v>97</v>
      </c>
      <c r="C89" s="34"/>
    </row>
    <row r="90" spans="1:3">
      <c r="A90" s="37" t="s">
        <v>131</v>
      </c>
      <c r="B90" s="33" t="s">
        <v>97</v>
      </c>
      <c r="C90" s="34"/>
    </row>
    <row r="91" spans="1:3">
      <c r="A91" s="37" t="s">
        <v>132</v>
      </c>
      <c r="B91" s="33" t="s">
        <v>97</v>
      </c>
      <c r="C91" s="34"/>
    </row>
    <row r="92" spans="1:3">
      <c r="A92" s="37" t="s">
        <v>133</v>
      </c>
      <c r="B92" s="33" t="s">
        <v>97</v>
      </c>
      <c r="C92" s="34"/>
    </row>
    <row r="93" spans="1:3" ht="25.5">
      <c r="A93" s="37" t="s">
        <v>134</v>
      </c>
      <c r="B93" s="33" t="s">
        <v>97</v>
      </c>
      <c r="C93" s="34"/>
    </row>
    <row r="94" spans="1:3" ht="25.5">
      <c r="A94" s="37" t="s">
        <v>135</v>
      </c>
      <c r="B94" s="33" t="s">
        <v>97</v>
      </c>
      <c r="C94" s="34"/>
    </row>
    <row r="95" spans="1:3" ht="25.5">
      <c r="A95" s="37" t="s">
        <v>136</v>
      </c>
      <c r="B95" s="33" t="s">
        <v>97</v>
      </c>
      <c r="C95" s="45" t="s">
        <v>137</v>
      </c>
    </row>
    <row r="96" spans="1:3">
      <c r="A96" s="27" t="s">
        <v>138</v>
      </c>
      <c r="B96" s="51"/>
      <c r="C96" s="52"/>
    </row>
    <row r="97" spans="1:3">
      <c r="A97" s="37" t="s">
        <v>139</v>
      </c>
      <c r="B97" s="33" t="s">
        <v>97</v>
      </c>
      <c r="C97" s="34"/>
    </row>
    <row r="98" spans="1:3">
      <c r="A98" s="37" t="s">
        <v>140</v>
      </c>
      <c r="B98" s="33" t="s">
        <v>97</v>
      </c>
      <c r="C98" s="34"/>
    </row>
    <row r="99" spans="1:3">
      <c r="A99" s="37" t="s">
        <v>141</v>
      </c>
      <c r="B99" s="33" t="s">
        <v>97</v>
      </c>
      <c r="C99" s="34"/>
    </row>
    <row r="100" spans="1:3">
      <c r="A100" s="37" t="s">
        <v>142</v>
      </c>
      <c r="B100" s="33" t="s">
        <v>97</v>
      </c>
      <c r="C100" s="34"/>
    </row>
    <row r="101" spans="1:3">
      <c r="A101" s="37" t="s">
        <v>143</v>
      </c>
      <c r="B101" s="33" t="s">
        <v>97</v>
      </c>
      <c r="C101" s="34"/>
    </row>
    <row r="102" spans="1:3">
      <c r="A102" s="27" t="s">
        <v>144</v>
      </c>
      <c r="B102" s="51"/>
      <c r="C102" s="52"/>
    </row>
    <row r="103" spans="1:3">
      <c r="A103" s="37" t="s">
        <v>145</v>
      </c>
      <c r="B103" s="33" t="s">
        <v>97</v>
      </c>
      <c r="C103" s="34"/>
    </row>
    <row r="104" spans="1:3">
      <c r="A104" s="37" t="s">
        <v>146</v>
      </c>
      <c r="B104" s="33" t="s">
        <v>36</v>
      </c>
      <c r="C104" s="34"/>
    </row>
    <row r="105" spans="1:3">
      <c r="A105" s="27" t="s">
        <v>147</v>
      </c>
      <c r="B105" s="51"/>
      <c r="C105" s="52"/>
    </row>
    <row r="106" spans="1:3">
      <c r="A106" s="37" t="s">
        <v>148</v>
      </c>
      <c r="B106" s="33" t="s">
        <v>36</v>
      </c>
      <c r="C106" s="34"/>
    </row>
    <row r="107" spans="1:3">
      <c r="A107" s="37" t="s">
        <v>149</v>
      </c>
      <c r="B107" s="33" t="s">
        <v>36</v>
      </c>
      <c r="C107" s="34"/>
    </row>
    <row r="108" spans="1:3">
      <c r="A108" s="37" t="s">
        <v>150</v>
      </c>
      <c r="B108" s="33" t="s">
        <v>36</v>
      </c>
      <c r="C108" s="34"/>
    </row>
    <row r="109" spans="1:3">
      <c r="A109" s="37" t="s">
        <v>151</v>
      </c>
      <c r="B109" s="33" t="s">
        <v>36</v>
      </c>
      <c r="C109" s="34"/>
    </row>
    <row r="110" spans="1:3">
      <c r="A110" s="37" t="s">
        <v>152</v>
      </c>
      <c r="B110" s="33" t="s">
        <v>36</v>
      </c>
      <c r="C110" s="34"/>
    </row>
    <row r="111" spans="1:3">
      <c r="A111" s="37" t="s">
        <v>153</v>
      </c>
      <c r="B111" s="33" t="s">
        <v>36</v>
      </c>
      <c r="C111" s="34"/>
    </row>
    <row r="112" spans="1:3">
      <c r="A112" s="27" t="s">
        <v>154</v>
      </c>
      <c r="B112" s="51"/>
      <c r="C112" s="52"/>
    </row>
    <row r="113" spans="1:3">
      <c r="A113" s="37" t="s">
        <v>155</v>
      </c>
      <c r="B113" s="33" t="s">
        <v>36</v>
      </c>
      <c r="C113" s="34"/>
    </row>
    <row r="114" spans="1:3">
      <c r="A114" s="37" t="s">
        <v>156</v>
      </c>
      <c r="B114" s="33" t="s">
        <v>36</v>
      </c>
      <c r="C114" s="34"/>
    </row>
    <row r="115" spans="1:3">
      <c r="A115" s="37" t="s">
        <v>157</v>
      </c>
      <c r="B115" s="33" t="s">
        <v>36</v>
      </c>
      <c r="C115" s="34"/>
    </row>
    <row r="116" spans="1:3">
      <c r="A116" s="27" t="s">
        <v>158</v>
      </c>
      <c r="B116" s="51"/>
      <c r="C116" s="52"/>
    </row>
    <row r="117" spans="1:3" ht="25.5">
      <c r="A117" s="37" t="s">
        <v>159</v>
      </c>
      <c r="B117" s="33" t="s">
        <v>36</v>
      </c>
      <c r="C117" s="34"/>
    </row>
    <row r="118" spans="1:3">
      <c r="A118" s="37" t="s">
        <v>160</v>
      </c>
      <c r="B118" s="33" t="s">
        <v>36</v>
      </c>
      <c r="C118" s="34"/>
    </row>
    <row r="119" spans="1:3">
      <c r="A119" s="37" t="s">
        <v>161</v>
      </c>
      <c r="B119" s="33" t="s">
        <v>36</v>
      </c>
      <c r="C119" s="34"/>
    </row>
    <row r="120" spans="1:3">
      <c r="A120" s="27" t="s">
        <v>162</v>
      </c>
      <c r="B120" s="51"/>
      <c r="C120" s="52"/>
    </row>
    <row r="121" spans="1:3">
      <c r="A121" s="37" t="s">
        <v>163</v>
      </c>
      <c r="B121" s="33" t="s">
        <v>164</v>
      </c>
      <c r="C121" s="34"/>
    </row>
    <row r="122" spans="1:3">
      <c r="A122" s="37" t="s">
        <v>165</v>
      </c>
      <c r="B122" s="33" t="s">
        <v>166</v>
      </c>
      <c r="C122" s="34"/>
    </row>
    <row r="123" spans="1:3">
      <c r="A123" s="27" t="s">
        <v>167</v>
      </c>
      <c r="B123" s="51"/>
      <c r="C123" s="52"/>
    </row>
    <row r="124" spans="1:3">
      <c r="A124" s="37" t="s">
        <v>168</v>
      </c>
      <c r="B124" s="33" t="s">
        <v>97</v>
      </c>
      <c r="C124" s="34"/>
    </row>
    <row r="125" spans="1:3">
      <c r="A125" s="37" t="s">
        <v>169</v>
      </c>
      <c r="B125" s="33" t="s">
        <v>97</v>
      </c>
      <c r="C125" s="34"/>
    </row>
    <row r="126" spans="1:3" ht="25.5">
      <c r="A126" s="27" t="s">
        <v>170</v>
      </c>
      <c r="B126" s="51"/>
      <c r="C126" s="52"/>
    </row>
    <row r="127" spans="1:3">
      <c r="A127" s="37" t="s">
        <v>171</v>
      </c>
      <c r="B127" s="33" t="s">
        <v>97</v>
      </c>
      <c r="C127" s="34"/>
    </row>
    <row r="128" spans="1:3">
      <c r="A128" s="37" t="s">
        <v>172</v>
      </c>
      <c r="B128" s="33" t="s">
        <v>97</v>
      </c>
      <c r="C128" s="34"/>
    </row>
    <row r="129" spans="1:3">
      <c r="A129" s="27" t="s">
        <v>173</v>
      </c>
      <c r="B129" s="51"/>
      <c r="C129" s="52"/>
    </row>
    <row r="130" spans="1:3" ht="51">
      <c r="A130" s="37" t="s">
        <v>174</v>
      </c>
      <c r="B130" s="66" t="s">
        <v>175</v>
      </c>
      <c r="C130" s="34"/>
    </row>
    <row r="131" spans="1:3" ht="51">
      <c r="A131" s="37" t="s">
        <v>176</v>
      </c>
      <c r="B131" s="66" t="s">
        <v>175</v>
      </c>
      <c r="C131" s="34"/>
    </row>
    <row r="132" spans="1:3" ht="51">
      <c r="A132" s="37" t="s">
        <v>177</v>
      </c>
      <c r="B132" s="66" t="s">
        <v>175</v>
      </c>
      <c r="C132" s="34"/>
    </row>
    <row r="133" spans="1:3" ht="38.25">
      <c r="A133" s="37" t="s">
        <v>178</v>
      </c>
      <c r="B133" s="66" t="s">
        <v>179</v>
      </c>
      <c r="C133" s="34"/>
    </row>
    <row r="134" spans="1:3">
      <c r="A134" s="37" t="s">
        <v>180</v>
      </c>
      <c r="B134" s="66" t="s">
        <v>181</v>
      </c>
      <c r="C134" s="34"/>
    </row>
    <row r="135" spans="1:3">
      <c r="A135" s="37" t="s">
        <v>182</v>
      </c>
      <c r="B135" s="66" t="s">
        <v>183</v>
      </c>
      <c r="C135" s="34"/>
    </row>
    <row r="136" spans="1:3">
      <c r="A136" s="37" t="s">
        <v>184</v>
      </c>
      <c r="B136" s="66" t="s">
        <v>185</v>
      </c>
      <c r="C136" s="34"/>
    </row>
    <row r="137" spans="1:3">
      <c r="A137" s="37" t="s">
        <v>186</v>
      </c>
      <c r="B137" s="66" t="s">
        <v>187</v>
      </c>
      <c r="C137" s="34"/>
    </row>
    <row r="138" spans="1:3">
      <c r="A138" s="37" t="s">
        <v>188</v>
      </c>
      <c r="B138" s="66" t="s">
        <v>189</v>
      </c>
      <c r="C138" s="34"/>
    </row>
    <row r="139" spans="1:3">
      <c r="A139" s="37" t="s">
        <v>190</v>
      </c>
      <c r="B139" s="66" t="s">
        <v>189</v>
      </c>
      <c r="C139" s="34"/>
    </row>
    <row r="140" spans="1:3">
      <c r="A140" s="37" t="s">
        <v>191</v>
      </c>
      <c r="B140" s="66" t="s">
        <v>189</v>
      </c>
      <c r="C140" s="34"/>
    </row>
    <row r="141" spans="1:3">
      <c r="A141" s="27" t="s">
        <v>192</v>
      </c>
      <c r="B141" s="51"/>
      <c r="C141" s="52"/>
    </row>
    <row r="142" spans="1:3">
      <c r="A142" s="37" t="s">
        <v>193</v>
      </c>
      <c r="B142" s="33" t="s">
        <v>36</v>
      </c>
      <c r="C142" s="34"/>
    </row>
    <row r="143" spans="1:3">
      <c r="A143" s="37" t="s">
        <v>194</v>
      </c>
      <c r="B143" s="33" t="s">
        <v>36</v>
      </c>
      <c r="C143" s="34"/>
    </row>
    <row r="144" spans="1:3">
      <c r="A144" s="27" t="s">
        <v>195</v>
      </c>
      <c r="B144" s="51"/>
      <c r="C144" s="52"/>
    </row>
    <row r="145" spans="1:3">
      <c r="A145" s="37" t="s">
        <v>196</v>
      </c>
      <c r="B145" s="33" t="s">
        <v>36</v>
      </c>
      <c r="C145" s="34"/>
    </row>
    <row r="146" spans="1:3">
      <c r="A146" s="37" t="s">
        <v>197</v>
      </c>
      <c r="B146" s="33" t="s">
        <v>36</v>
      </c>
      <c r="C146" s="34"/>
    </row>
    <row r="147" spans="1:3">
      <c r="A147" s="37" t="s">
        <v>198</v>
      </c>
      <c r="B147" s="33" t="s">
        <v>36</v>
      </c>
      <c r="C147" s="34"/>
    </row>
    <row r="148" spans="1:3">
      <c r="A148" s="37" t="s">
        <v>199</v>
      </c>
      <c r="B148" s="33" t="s">
        <v>36</v>
      </c>
      <c r="C148" s="34"/>
    </row>
    <row r="149" spans="1:3">
      <c r="A149" s="37" t="s">
        <v>200</v>
      </c>
      <c r="B149" s="33" t="s">
        <v>36</v>
      </c>
      <c r="C149" s="34"/>
    </row>
    <row r="150" spans="1:3">
      <c r="A150" s="37" t="s">
        <v>201</v>
      </c>
      <c r="B150" s="33" t="s">
        <v>36</v>
      </c>
      <c r="C150" s="34"/>
    </row>
    <row r="151" spans="1:3">
      <c r="A151" s="37" t="s">
        <v>202</v>
      </c>
      <c r="B151" s="33" t="s">
        <v>36</v>
      </c>
      <c r="C151" s="34"/>
    </row>
    <row r="152" spans="1:3">
      <c r="A152" s="37" t="s">
        <v>203</v>
      </c>
      <c r="B152" s="33" t="s">
        <v>36</v>
      </c>
      <c r="C152" s="34"/>
    </row>
    <row r="153" spans="1:3">
      <c r="A153" s="37" t="s">
        <v>204</v>
      </c>
      <c r="B153" s="33" t="s">
        <v>36</v>
      </c>
      <c r="C153" s="34"/>
    </row>
    <row r="154" spans="1:3">
      <c r="A154" s="37" t="s">
        <v>205</v>
      </c>
      <c r="B154" s="33" t="s">
        <v>36</v>
      </c>
      <c r="C154" s="34"/>
    </row>
    <row r="155" spans="1:3" ht="25.5">
      <c r="A155" s="37" t="s">
        <v>206</v>
      </c>
      <c r="B155" s="33" t="s">
        <v>36</v>
      </c>
      <c r="C155" s="34"/>
    </row>
    <row r="156" spans="1:3">
      <c r="A156" s="37" t="s">
        <v>207</v>
      </c>
      <c r="B156" s="33" t="s">
        <v>36</v>
      </c>
      <c r="C156" s="34"/>
    </row>
    <row r="241" spans="5:7" ht="15">
      <c r="E241" s="26"/>
      <c r="F241" s="26"/>
      <c r="G241" s="26"/>
    </row>
    <row r="242" spans="5:7" ht="15">
      <c r="E242" s="26"/>
      <c r="F242" s="26"/>
      <c r="G242" s="26"/>
    </row>
    <row r="243" spans="5:7" ht="15">
      <c r="E243" s="26"/>
      <c r="F243" s="26"/>
      <c r="G243" s="67"/>
    </row>
    <row r="244" spans="5:7" ht="15">
      <c r="E244" s="26"/>
      <c r="F244" s="26"/>
      <c r="G244" s="67"/>
    </row>
    <row r="245" spans="5:7" ht="15">
      <c r="E245" s="26"/>
      <c r="F245" s="26"/>
      <c r="G245" s="67"/>
    </row>
    <row r="246" spans="5:7" ht="15">
      <c r="E246" s="26"/>
      <c r="F246" s="26"/>
      <c r="G246" s="67"/>
    </row>
    <row r="247" spans="5:7" ht="15">
      <c r="E247" s="26"/>
      <c r="F247" s="26"/>
      <c r="G247" s="67"/>
    </row>
    <row r="248" spans="5:7" ht="15">
      <c r="E248" s="26"/>
      <c r="F248" s="26"/>
      <c r="G248" s="67"/>
    </row>
    <row r="249" spans="5:7" ht="15">
      <c r="E249" s="26"/>
      <c r="F249" s="26"/>
      <c r="G249" s="67"/>
    </row>
    <row r="250" spans="5:7" ht="15">
      <c r="E250" s="26"/>
      <c r="F250" s="26"/>
      <c r="G250" s="67"/>
    </row>
    <row r="251" spans="5:7" ht="15">
      <c r="E251" s="26"/>
      <c r="F251" s="26"/>
      <c r="G251" s="67"/>
    </row>
    <row r="252" spans="5:7" ht="15">
      <c r="E252" s="26"/>
      <c r="F252" s="26"/>
      <c r="G252" s="67"/>
    </row>
    <row r="253" spans="5:7" ht="15">
      <c r="E253" s="26"/>
      <c r="F253" s="26"/>
      <c r="G253" s="67"/>
    </row>
    <row r="254" spans="5:7" ht="15">
      <c r="E254" s="26"/>
      <c r="F254" s="26"/>
      <c r="G254" s="67"/>
    </row>
    <row r="255" spans="5:7" ht="15">
      <c r="E255" s="26"/>
      <c r="F255" s="26"/>
      <c r="G255" s="67"/>
    </row>
    <row r="256" spans="5:7" ht="15">
      <c r="E256" s="26"/>
      <c r="F256" s="26"/>
      <c r="G256" s="67"/>
    </row>
    <row r="257" spans="5:7" ht="15">
      <c r="E257" s="26"/>
      <c r="F257" s="26"/>
      <c r="G257" s="67"/>
    </row>
    <row r="258" spans="5:7" ht="15">
      <c r="E258" s="26"/>
      <c r="F258" s="26"/>
      <c r="G258" s="67"/>
    </row>
    <row r="259" spans="5:7" ht="15">
      <c r="E259" s="26"/>
      <c r="F259" s="26"/>
      <c r="G259" s="67"/>
    </row>
    <row r="260" spans="5:7" ht="15">
      <c r="E260" s="26"/>
      <c r="F260" s="26"/>
      <c r="G260" s="67"/>
    </row>
    <row r="261" spans="5:7" ht="15">
      <c r="E261" s="26"/>
      <c r="F261" s="26"/>
      <c r="G261" s="67"/>
    </row>
    <row r="262" spans="5:7" ht="15">
      <c r="E262" s="26"/>
      <c r="F262" s="26"/>
      <c r="G262" s="67"/>
    </row>
    <row r="263" spans="5:7" ht="15">
      <c r="E263" s="26"/>
      <c r="F263" s="26"/>
      <c r="G263" s="67"/>
    </row>
    <row r="264" spans="5:7" ht="15">
      <c r="E264" s="26"/>
      <c r="F264" s="26"/>
      <c r="G264" s="67"/>
    </row>
    <row r="265" spans="5:7" ht="15">
      <c r="E265" s="26"/>
      <c r="F265" s="26"/>
      <c r="G265" s="67"/>
    </row>
    <row r="266" spans="5:7" ht="15">
      <c r="E266" s="26"/>
      <c r="F266" s="26"/>
      <c r="G266" s="26"/>
    </row>
    <row r="267" spans="5:7" ht="15">
      <c r="E267" s="26"/>
      <c r="F267" s="26"/>
      <c r="G267" s="26"/>
    </row>
    <row r="268" spans="5:7" ht="15">
      <c r="E268" s="26"/>
      <c r="F268" s="26"/>
      <c r="G268" s="26"/>
    </row>
    <row r="269" spans="5:7" ht="15">
      <c r="E269" s="26"/>
      <c r="F269" s="26"/>
      <c r="G269" s="26"/>
    </row>
    <row r="270" spans="5:7" ht="15">
      <c r="E270" s="26"/>
      <c r="F270" s="26"/>
      <c r="G270" s="26"/>
    </row>
    <row r="271" spans="5:7" ht="15">
      <c r="E271" s="26"/>
      <c r="F271" s="26"/>
      <c r="G271" s="26"/>
    </row>
    <row r="272" spans="5:7" ht="15">
      <c r="E272" s="26"/>
      <c r="F272" s="26"/>
      <c r="G272" s="26"/>
    </row>
    <row r="353" spans="5:5" ht="15">
      <c r="E353" s="26"/>
    </row>
    <row r="354" spans="5:5" ht="15">
      <c r="E354" s="26"/>
    </row>
    <row r="355" spans="5:5" ht="15">
      <c r="E355" s="26"/>
    </row>
    <row r="356" spans="5:5" ht="15">
      <c r="E356" s="26"/>
    </row>
    <row r="358" spans="5:5" ht="15">
      <c r="E358" s="26"/>
    </row>
    <row r="360" spans="5:5" ht="15">
      <c r="E360" s="26"/>
    </row>
    <row r="362" spans="5:5" ht="15">
      <c r="E362" s="26"/>
    </row>
    <row r="365" spans="5:5" ht="15">
      <c r="E365" s="26"/>
    </row>
    <row r="366" spans="5:5" ht="15">
      <c r="E366" s="26"/>
    </row>
    <row r="367" spans="5:5" ht="15">
      <c r="E367" s="26"/>
    </row>
    <row r="368" spans="5:5" ht="15">
      <c r="E368" s="26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49"/>
  <sheetViews>
    <sheetView topLeftCell="X19" workbookViewId="0">
      <selection activeCell="AA23" sqref="AA23:AB28"/>
    </sheetView>
  </sheetViews>
  <sheetFormatPr defaultColWidth="9" defaultRowHeight="15"/>
  <cols>
    <col min="1" max="1" width="2" customWidth="1"/>
    <col min="2" max="2" width="11.5703125" customWidth="1"/>
    <col min="3" max="3" width="85" style="1" customWidth="1"/>
    <col min="4" max="4" width="27.28515625" customWidth="1"/>
    <col min="5" max="5" width="10.42578125" customWidth="1"/>
    <col min="6" max="6" width="11.85546875" customWidth="1"/>
    <col min="7" max="7" width="32.7109375" customWidth="1"/>
    <col min="8" max="8" width="38.42578125" style="1" customWidth="1"/>
    <col min="9" max="9" width="27.7109375" customWidth="1"/>
    <col min="11" max="11" width="2.7109375" customWidth="1"/>
    <col min="13" max="13" width="13.5703125" style="1" customWidth="1"/>
    <col min="16" max="16" width="2.28515625" customWidth="1"/>
    <col min="18" max="18" width="56.85546875" style="1" customWidth="1"/>
    <col min="21" max="21" width="1.42578125" customWidth="1"/>
    <col min="22" max="22" width="8.140625" customWidth="1"/>
    <col min="23" max="23" width="56.42578125" customWidth="1"/>
    <col min="26" max="26" width="1.28515625" customWidth="1"/>
    <col min="28" max="28" width="55.7109375" style="1" customWidth="1"/>
    <col min="31" max="31" width="1.7109375" customWidth="1"/>
  </cols>
  <sheetData>
    <row r="1" spans="2:9">
      <c r="C1" s="2"/>
    </row>
    <row r="2" spans="2:9">
      <c r="C2" s="3" t="s">
        <v>208</v>
      </c>
      <c r="D2" s="4" t="s">
        <v>209</v>
      </c>
      <c r="E2" s="4" t="s">
        <v>210</v>
      </c>
      <c r="F2" s="4" t="s">
        <v>211</v>
      </c>
      <c r="G2" s="4" t="s">
        <v>212</v>
      </c>
      <c r="H2" s="3" t="s">
        <v>213</v>
      </c>
      <c r="I2" s="17" t="s">
        <v>214</v>
      </c>
    </row>
    <row r="3" spans="2:9">
      <c r="C3" s="5" t="str">
        <f>MID('Stock Item'!$D$2,4,1)</f>
        <v>R</v>
      </c>
      <c r="D3" s="2" t="str">
        <f>MID('Stock Item'!$D$2,3,1)</f>
        <v>R</v>
      </c>
      <c r="E3" s="5" t="str">
        <f>MID('Stock Item'!$D$2,5,2)</f>
        <v>08</v>
      </c>
      <c r="F3" s="5" t="str">
        <f>MID('Stock Item'!$D$2,8,1)</f>
        <v>3</v>
      </c>
      <c r="G3" s="1" t="str">
        <f>MID('Stock Item'!$D$2,8,2)</f>
        <v>30</v>
      </c>
      <c r="H3" s="5" t="str">
        <f>MID('Stock Item'!$D$2,10,3)</f>
        <v/>
      </c>
      <c r="I3" t="str">
        <f>MID('Stock Item'!$D$2,2,1)</f>
        <v>R</v>
      </c>
    </row>
    <row r="4" spans="2:9">
      <c r="D4" s="6" t="str">
        <f>CONCATENATE('Backend data'!$D$3,'Backend data'!$E$3)</f>
        <v>R08</v>
      </c>
      <c r="G4" s="6" t="str">
        <f>CONCATENATE($G$3,H3,H5)</f>
        <v>30-</v>
      </c>
      <c r="H4" s="1" t="str">
        <f>CONCATENATE($E$3,$H$3,"-")</f>
        <v>08-</v>
      </c>
    </row>
    <row r="5" spans="2:9">
      <c r="H5" s="1" t="str">
        <f>CONCATENATE(("-"))</f>
        <v>-</v>
      </c>
    </row>
    <row r="6" spans="2:9" ht="30">
      <c r="B6" s="3" t="s">
        <v>215</v>
      </c>
      <c r="C6" s="7" t="str">
        <f>VLOOKUP($C$3,$B$23:$E$72,2,0)</f>
        <v>Trim-O-68 I-51 H-63mm White NRRR8-18W</v>
      </c>
      <c r="D6" s="8" t="str">
        <f>VLOOKUP($D$4,G23:$J$100,2,0)</f>
        <v>HS 50X24.5mm 8W DR-NR-SR</v>
      </c>
      <c r="E6" s="8" t="e">
        <f>VLOOKUP($E$3,$L$23:$O$72,2,0)</f>
        <v>#N/A</v>
      </c>
      <c r="F6" s="8" t="e">
        <f>VLOOKUP($F$3,$Q$23:$T$72,2,0)</f>
        <v>#N/A</v>
      </c>
      <c r="G6" s="8" t="str">
        <f>VLOOKUP($G$4,$V$23:$Y$72,2,0)</f>
        <v>COB 30-36W 3000K 12LED 34-38V 890mA 19x19mm CRI-90</v>
      </c>
      <c r="H6" s="9" t="str">
        <f>VLOOKUP($H$4,$AA$23:$AD$72,2,0)</f>
        <v>PS 8W 200MA 36V LPF (PCB MT43-8-12W-V2 LPF)</v>
      </c>
      <c r="I6" s="9" t="e">
        <f>VLOOKUP($I$3,AF23:$AI$100,2,0)</f>
        <v>#N/A</v>
      </c>
    </row>
    <row r="7" spans="2:9" ht="30">
      <c r="B7" s="3" t="s">
        <v>216</v>
      </c>
      <c r="C7" s="7">
        <f>VLOOKUP($C$3,$B$23:$E$72,4,0)</f>
        <v>0</v>
      </c>
      <c r="D7" s="8">
        <f>VLOOKUP($D$4,G23:$J$100,4,0)</f>
        <v>0</v>
      </c>
      <c r="E7" s="8" t="e">
        <f>VLOOKUP($E$3,$L$23:$O$72,4,0)</f>
        <v>#N/A</v>
      </c>
      <c r="F7" s="8" t="e">
        <f>VLOOKUP($F$3,$Q$23:$T$72,4,0)</f>
        <v>#N/A</v>
      </c>
      <c r="G7" s="8">
        <f>VLOOKUP($G$4,$V$23:$Y$72,4,0)</f>
        <v>0</v>
      </c>
      <c r="H7" s="9">
        <f>VLOOKUP($H$4,$AA$23:$AD$72,4,0)</f>
        <v>0</v>
      </c>
      <c r="I7" s="9" t="e">
        <f>VLOOKUP($I$3,$AF$23:$AI$100,4,0)</f>
        <v>#N/A</v>
      </c>
    </row>
    <row r="8" spans="2:9" ht="45">
      <c r="B8" s="3" t="s">
        <v>217</v>
      </c>
      <c r="C8" s="7">
        <f>VLOOKUP($C$3,$B$23:$E$72,3,0)</f>
        <v>0</v>
      </c>
      <c r="D8" s="8">
        <f>VLOOKUP($D$4,G23:$J$100,3,0)</f>
        <v>0</v>
      </c>
      <c r="E8" s="8" t="e">
        <f>VLOOKUP($E$3,$L$23:$O$72,3,0)</f>
        <v>#N/A</v>
      </c>
      <c r="F8" s="8" t="e">
        <f>VLOOKUP($F$3,$Q$23:$T$72,3,0)</f>
        <v>#N/A</v>
      </c>
      <c r="G8" s="8">
        <f>VLOOKUP($G$4,$V$23:$Y$72,3,0)</f>
        <v>0</v>
      </c>
      <c r="H8" s="9">
        <f>VLOOKUP($H$4,$AA$23:$AD$72,3,0)</f>
        <v>0</v>
      </c>
      <c r="I8" s="9" t="e">
        <f>VLOOKUP($I$3,$AF$23:$AI$100,3,0)</f>
        <v>#N/A</v>
      </c>
    </row>
    <row r="19" spans="2:35" ht="13.9" customHeight="1"/>
    <row r="21" spans="2:35">
      <c r="B21" s="126" t="s">
        <v>208</v>
      </c>
      <c r="C21" s="127"/>
      <c r="D21" s="127"/>
      <c r="E21" s="127"/>
      <c r="G21" s="126" t="s">
        <v>209</v>
      </c>
      <c r="H21" s="127"/>
      <c r="I21" s="127"/>
      <c r="J21" s="127"/>
      <c r="L21" s="126" t="s">
        <v>210</v>
      </c>
      <c r="M21" s="127"/>
      <c r="N21" s="127"/>
      <c r="O21" s="127"/>
      <c r="Q21" s="126" t="s">
        <v>211</v>
      </c>
      <c r="R21" s="127"/>
      <c r="S21" s="127"/>
      <c r="T21" s="127"/>
      <c r="V21" s="126" t="s">
        <v>218</v>
      </c>
      <c r="W21" s="127"/>
      <c r="X21" s="127"/>
      <c r="Y21" s="127"/>
      <c r="AA21" s="123" t="s">
        <v>213</v>
      </c>
      <c r="AB21" s="124"/>
      <c r="AC21" s="124"/>
      <c r="AD21" s="125"/>
      <c r="AF21" s="123" t="s">
        <v>214</v>
      </c>
      <c r="AG21" s="124"/>
      <c r="AH21" s="124"/>
      <c r="AI21" s="125"/>
    </row>
    <row r="22" spans="2:35">
      <c r="B22" s="11" t="s">
        <v>219</v>
      </c>
      <c r="C22" s="12" t="s">
        <v>220</v>
      </c>
      <c r="D22" s="11" t="s">
        <v>221</v>
      </c>
      <c r="E22" s="11" t="s">
        <v>222</v>
      </c>
      <c r="G22" s="11" t="s">
        <v>219</v>
      </c>
      <c r="H22" s="12" t="s">
        <v>220</v>
      </c>
      <c r="I22" s="11" t="s">
        <v>221</v>
      </c>
      <c r="J22" s="11" t="s">
        <v>222</v>
      </c>
      <c r="L22" s="11" t="s">
        <v>219</v>
      </c>
      <c r="M22" s="12" t="s">
        <v>220</v>
      </c>
      <c r="N22" s="11" t="s">
        <v>221</v>
      </c>
      <c r="O22" s="11" t="s">
        <v>222</v>
      </c>
      <c r="Q22" s="11" t="s">
        <v>219</v>
      </c>
      <c r="R22" s="12" t="s">
        <v>220</v>
      </c>
      <c r="S22" s="11" t="s">
        <v>221</v>
      </c>
      <c r="T22" s="11" t="s">
        <v>222</v>
      </c>
      <c r="V22" s="11" t="s">
        <v>219</v>
      </c>
      <c r="W22" s="11" t="s">
        <v>220</v>
      </c>
      <c r="X22" s="11" t="s">
        <v>221</v>
      </c>
      <c r="Y22" s="11" t="s">
        <v>222</v>
      </c>
      <c r="AA22" s="11" t="s">
        <v>219</v>
      </c>
      <c r="AB22" s="12" t="s">
        <v>220</v>
      </c>
      <c r="AC22" s="11" t="s">
        <v>221</v>
      </c>
      <c r="AD22" s="11" t="s">
        <v>222</v>
      </c>
      <c r="AF22" s="11" t="s">
        <v>219</v>
      </c>
      <c r="AG22" s="11" t="s">
        <v>220</v>
      </c>
      <c r="AH22" s="11" t="s">
        <v>221</v>
      </c>
      <c r="AI22" s="11" t="s">
        <v>222</v>
      </c>
    </row>
    <row r="23" spans="2:35">
      <c r="B23" s="13" t="s">
        <v>223</v>
      </c>
      <c r="C23" s="14" t="s">
        <v>224</v>
      </c>
      <c r="D23" s="13"/>
      <c r="E23" s="13"/>
      <c r="G23" s="13" t="s">
        <v>225</v>
      </c>
      <c r="H23" s="15" t="s">
        <v>226</v>
      </c>
      <c r="I23" s="18"/>
      <c r="J23" s="18"/>
      <c r="Q23" t="s">
        <v>343</v>
      </c>
      <c r="R23" s="18" t="s">
        <v>15</v>
      </c>
      <c r="V23" s="19" t="s">
        <v>227</v>
      </c>
      <c r="W23" s="20" t="s">
        <v>228</v>
      </c>
      <c r="AA23" s="21" t="s">
        <v>229</v>
      </c>
      <c r="AB23" s="18" t="s">
        <v>230</v>
      </c>
    </row>
    <row r="24" spans="2:35">
      <c r="B24" s="13" t="s">
        <v>39</v>
      </c>
      <c r="C24" s="16" t="s">
        <v>231</v>
      </c>
      <c r="D24" s="13"/>
      <c r="E24" s="13"/>
      <c r="G24" s="13" t="s">
        <v>232</v>
      </c>
      <c r="H24" s="15" t="s">
        <v>233</v>
      </c>
      <c r="I24" s="18"/>
      <c r="J24" s="18"/>
      <c r="V24" s="19" t="s">
        <v>234</v>
      </c>
      <c r="W24" s="20" t="s">
        <v>235</v>
      </c>
      <c r="AA24" s="21" t="s">
        <v>236</v>
      </c>
      <c r="AB24" s="13" t="s">
        <v>237</v>
      </c>
    </row>
    <row r="25" spans="2:35">
      <c r="B25" s="13" t="s">
        <v>238</v>
      </c>
      <c r="C25" s="16" t="s">
        <v>239</v>
      </c>
      <c r="D25" s="13"/>
      <c r="E25" s="13"/>
      <c r="G25" s="13" t="s">
        <v>240</v>
      </c>
      <c r="H25" s="15" t="s">
        <v>241</v>
      </c>
      <c r="I25" s="18"/>
      <c r="J25" s="18"/>
      <c r="V25" s="19" t="s">
        <v>242</v>
      </c>
      <c r="W25" s="20" t="s">
        <v>243</v>
      </c>
      <c r="AA25" s="21" t="s">
        <v>244</v>
      </c>
      <c r="AB25" s="13" t="s">
        <v>245</v>
      </c>
    </row>
    <row r="26" spans="2:35">
      <c r="G26" s="13" t="s">
        <v>246</v>
      </c>
      <c r="H26" s="15" t="s">
        <v>247</v>
      </c>
      <c r="I26" s="18"/>
      <c r="J26" s="18"/>
      <c r="V26" s="19" t="s">
        <v>248</v>
      </c>
      <c r="W26" s="20" t="s">
        <v>249</v>
      </c>
      <c r="AA26" s="21" t="s">
        <v>250</v>
      </c>
      <c r="AB26" s="13" t="s">
        <v>251</v>
      </c>
    </row>
    <row r="27" spans="2:35">
      <c r="V27" s="19" t="s">
        <v>252</v>
      </c>
      <c r="W27" s="20" t="s">
        <v>253</v>
      </c>
      <c r="AA27" s="19" t="s">
        <v>254</v>
      </c>
      <c r="AB27" s="13" t="s">
        <v>255</v>
      </c>
    </row>
    <row r="28" spans="2:35">
      <c r="V28" s="19"/>
      <c r="W28" s="19"/>
      <c r="AA28" s="19" t="s">
        <v>256</v>
      </c>
      <c r="AB28" s="13" t="s">
        <v>257</v>
      </c>
    </row>
    <row r="29" spans="2:35">
      <c r="V29" s="19" t="s">
        <v>258</v>
      </c>
      <c r="W29" s="20" t="s">
        <v>228</v>
      </c>
    </row>
    <row r="30" spans="2:35">
      <c r="V30" s="19" t="s">
        <v>259</v>
      </c>
      <c r="W30" s="20" t="s">
        <v>235</v>
      </c>
      <c r="AA30" s="21" t="s">
        <v>260</v>
      </c>
      <c r="AB30" s="18" t="s">
        <v>261</v>
      </c>
    </row>
    <row r="31" spans="2:35">
      <c r="V31" s="19" t="s">
        <v>262</v>
      </c>
      <c r="W31" s="20" t="s">
        <v>243</v>
      </c>
      <c r="AA31" s="21" t="s">
        <v>263</v>
      </c>
      <c r="AB31" s="18" t="s">
        <v>264</v>
      </c>
    </row>
    <row r="32" spans="2:35">
      <c r="V32" s="19" t="s">
        <v>265</v>
      </c>
      <c r="W32" s="20" t="s">
        <v>249</v>
      </c>
      <c r="AA32" s="21" t="s">
        <v>266</v>
      </c>
      <c r="AB32" s="13" t="s">
        <v>245</v>
      </c>
    </row>
    <row r="33" spans="22:28">
      <c r="V33" s="19" t="s">
        <v>267</v>
      </c>
      <c r="W33" s="20" t="s">
        <v>253</v>
      </c>
      <c r="AA33" s="21" t="s">
        <v>268</v>
      </c>
      <c r="AB33" s="18" t="s">
        <v>269</v>
      </c>
    </row>
    <row r="34" spans="22:28">
      <c r="V34" s="19"/>
      <c r="W34" s="19"/>
      <c r="AA34" s="19" t="s">
        <v>270</v>
      </c>
      <c r="AB34" s="13" t="s">
        <v>255</v>
      </c>
    </row>
    <row r="35" spans="22:28">
      <c r="V35" s="19" t="s">
        <v>271</v>
      </c>
      <c r="W35" s="20" t="s">
        <v>228</v>
      </c>
      <c r="AA35" s="19" t="s">
        <v>272</v>
      </c>
      <c r="AB35" s="18" t="s">
        <v>273</v>
      </c>
    </row>
    <row r="36" spans="22:28">
      <c r="V36" s="19" t="s">
        <v>274</v>
      </c>
      <c r="W36" s="20" t="s">
        <v>235</v>
      </c>
    </row>
    <row r="37" spans="22:28">
      <c r="V37" s="19" t="s">
        <v>275</v>
      </c>
      <c r="W37" s="20" t="s">
        <v>243</v>
      </c>
      <c r="AA37" s="21" t="s">
        <v>276</v>
      </c>
      <c r="AB37" s="18" t="s">
        <v>277</v>
      </c>
    </row>
    <row r="38" spans="22:28">
      <c r="V38" s="19" t="s">
        <v>278</v>
      </c>
      <c r="W38" s="20" t="s">
        <v>249</v>
      </c>
      <c r="AA38" s="21" t="s">
        <v>279</v>
      </c>
      <c r="AB38" s="18" t="s">
        <v>280</v>
      </c>
    </row>
    <row r="39" spans="22:28">
      <c r="V39" s="19" t="s">
        <v>281</v>
      </c>
      <c r="W39" s="20" t="s">
        <v>253</v>
      </c>
      <c r="AA39" s="21" t="s">
        <v>282</v>
      </c>
      <c r="AB39" s="18" t="s">
        <v>283</v>
      </c>
    </row>
    <row r="40" spans="22:28">
      <c r="V40" s="19" t="s">
        <v>284</v>
      </c>
      <c r="W40" s="20" t="s">
        <v>285</v>
      </c>
      <c r="AA40" s="21" t="s">
        <v>286</v>
      </c>
      <c r="AB40" s="18" t="s">
        <v>287</v>
      </c>
    </row>
    <row r="41" spans="22:28">
      <c r="V41" s="18"/>
      <c r="W41" s="18"/>
      <c r="AA41" s="19" t="s">
        <v>288</v>
      </c>
      <c r="AB41" s="18" t="s">
        <v>289</v>
      </c>
    </row>
    <row r="42" spans="22:28">
      <c r="V42" s="19" t="s">
        <v>290</v>
      </c>
      <c r="W42" s="20" t="s">
        <v>228</v>
      </c>
      <c r="AA42" s="19" t="s">
        <v>291</v>
      </c>
      <c r="AB42" s="18" t="s">
        <v>292</v>
      </c>
    </row>
    <row r="43" spans="22:28">
      <c r="V43" s="19" t="s">
        <v>293</v>
      </c>
      <c r="W43" s="20" t="s">
        <v>235</v>
      </c>
    </row>
    <row r="44" spans="22:28">
      <c r="V44" s="19" t="s">
        <v>294</v>
      </c>
      <c r="W44" s="20" t="s">
        <v>243</v>
      </c>
      <c r="AA44" s="21" t="s">
        <v>295</v>
      </c>
      <c r="AB44" s="18" t="s">
        <v>296</v>
      </c>
    </row>
    <row r="45" spans="22:28">
      <c r="V45" s="19" t="s">
        <v>297</v>
      </c>
      <c r="W45" s="20" t="s">
        <v>249</v>
      </c>
      <c r="AA45" s="21" t="s">
        <v>298</v>
      </c>
      <c r="AB45" s="18" t="s">
        <v>299</v>
      </c>
    </row>
    <row r="46" spans="22:28">
      <c r="V46" s="19" t="s">
        <v>300</v>
      </c>
      <c r="W46" s="20" t="s">
        <v>253</v>
      </c>
      <c r="AA46" s="21" t="s">
        <v>301</v>
      </c>
      <c r="AB46" s="18" t="s">
        <v>283</v>
      </c>
    </row>
    <row r="47" spans="22:28">
      <c r="V47" s="13" t="s">
        <v>302</v>
      </c>
      <c r="W47" s="20" t="s">
        <v>285</v>
      </c>
      <c r="AA47" s="21" t="s">
        <v>303</v>
      </c>
      <c r="AB47" s="18" t="s">
        <v>304</v>
      </c>
    </row>
    <row r="48" spans="22:28">
      <c r="AA48" s="19" t="s">
        <v>305</v>
      </c>
      <c r="AB48" s="18" t="s">
        <v>289</v>
      </c>
    </row>
    <row r="49" spans="27:28">
      <c r="AA49" s="19" t="s">
        <v>306</v>
      </c>
      <c r="AB49" s="18" t="s">
        <v>307</v>
      </c>
    </row>
  </sheetData>
  <mergeCells count="7">
    <mergeCell ref="AA21:AD21"/>
    <mergeCell ref="AF21:AI21"/>
    <mergeCell ref="B21:E21"/>
    <mergeCell ref="G21:J21"/>
    <mergeCell ref="L21:O21"/>
    <mergeCell ref="Q21:T21"/>
    <mergeCell ref="V21:Y21"/>
  </mergeCells>
  <conditionalFormatting sqref="C23:C25">
    <cfRule type="expression" dxfId="4" priority="1">
      <formula>$F:$F=$C$2:$H$2</formula>
    </cfRule>
    <cfRule type="containsText" dxfId="3" priority="2" operator="containsText" text="REFLECTOR">
      <formula>NOT(ISERROR(SEARCH("REFLECTOR",C23)))</formula>
    </cfRule>
    <cfRule type="containsText" dxfId="2" priority="3" operator="containsText" text="PS-">
      <formula>NOT(ISERROR(SEARCH("PS-",C23)))</formula>
    </cfRule>
    <cfRule type="containsText" dxfId="1" priority="4" operator="containsText" text="COB-">
      <formula>NOT(ISERROR(SEARCH("COB-",C23)))</formula>
    </cfRule>
    <cfRule type="containsText" dxfId="0" priority="5" operator="containsText" text="TRIM">
      <formula>NOT(ISERROR(SEARCH("TRIM",C23)))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topLeftCell="A25" workbookViewId="0">
      <selection activeCell="F14" sqref="F14"/>
    </sheetView>
  </sheetViews>
  <sheetFormatPr defaultRowHeight="15"/>
  <cols>
    <col min="1" max="1" width="9.140625" style="76"/>
    <col min="2" max="2" width="20" style="76" customWidth="1"/>
    <col min="3" max="16384" width="9.140625" style="76"/>
  </cols>
  <sheetData>
    <row r="1" spans="1:15">
      <c r="A1" s="76" t="s">
        <v>344</v>
      </c>
      <c r="B1" s="76" t="s">
        <v>345</v>
      </c>
      <c r="C1" s="76" t="s">
        <v>346</v>
      </c>
      <c r="D1" s="76" t="s">
        <v>347</v>
      </c>
      <c r="E1" s="76" t="s">
        <v>348</v>
      </c>
      <c r="F1" s="76" t="s">
        <v>349</v>
      </c>
      <c r="G1" s="76" t="s">
        <v>350</v>
      </c>
      <c r="H1" s="76" t="s">
        <v>351</v>
      </c>
      <c r="I1" s="76" t="s">
        <v>352</v>
      </c>
      <c r="J1" s="76" t="s">
        <v>353</v>
      </c>
      <c r="K1" s="76" t="s">
        <v>354</v>
      </c>
      <c r="L1" s="76" t="s">
        <v>355</v>
      </c>
      <c r="M1" s="76" t="s">
        <v>356</v>
      </c>
      <c r="N1" s="76" t="s">
        <v>357</v>
      </c>
      <c r="O1" s="76" t="s">
        <v>358</v>
      </c>
    </row>
    <row r="2" spans="1:15">
      <c r="A2" s="76">
        <v>204003</v>
      </c>
      <c r="B2" s="76" t="s">
        <v>359</v>
      </c>
      <c r="D2" s="76">
        <v>0</v>
      </c>
      <c r="E2" s="76">
        <v>0</v>
      </c>
      <c r="F2" s="76">
        <v>0</v>
      </c>
      <c r="G2" s="76">
        <v>0</v>
      </c>
      <c r="H2" s="76">
        <v>0</v>
      </c>
      <c r="I2" s="76">
        <v>0</v>
      </c>
      <c r="J2" s="76">
        <v>0</v>
      </c>
      <c r="K2" s="76" t="s">
        <v>360</v>
      </c>
      <c r="L2" s="76" t="s">
        <v>361</v>
      </c>
      <c r="M2" s="76" t="s">
        <v>309</v>
      </c>
      <c r="N2" s="76" t="s">
        <v>362</v>
      </c>
      <c r="O2" s="76" t="s">
        <v>363</v>
      </c>
    </row>
    <row r="3" spans="1:15">
      <c r="A3" s="76">
        <v>204004</v>
      </c>
      <c r="B3" s="76" t="s">
        <v>311</v>
      </c>
      <c r="D3" s="76">
        <v>0</v>
      </c>
      <c r="E3" s="76">
        <v>0</v>
      </c>
      <c r="F3" s="76">
        <v>0</v>
      </c>
      <c r="G3" s="76">
        <v>0</v>
      </c>
      <c r="H3" s="76">
        <v>0</v>
      </c>
      <c r="I3" s="76">
        <v>0</v>
      </c>
      <c r="J3" s="76">
        <v>0</v>
      </c>
      <c r="K3" s="76" t="s">
        <v>360</v>
      </c>
      <c r="L3" s="76" t="s">
        <v>310</v>
      </c>
      <c r="M3" s="76" t="s">
        <v>309</v>
      </c>
      <c r="N3" s="76" t="s">
        <v>362</v>
      </c>
      <c r="O3" s="76" t="s">
        <v>363</v>
      </c>
    </row>
    <row r="4" spans="1:15">
      <c r="A4" s="76">
        <v>204005</v>
      </c>
      <c r="B4" s="76" t="s">
        <v>364</v>
      </c>
      <c r="D4" s="76">
        <v>0</v>
      </c>
      <c r="E4" s="76">
        <v>0</v>
      </c>
      <c r="F4" s="76">
        <v>0</v>
      </c>
      <c r="G4" s="76">
        <v>0</v>
      </c>
      <c r="H4" s="76">
        <v>0</v>
      </c>
      <c r="I4" s="76">
        <v>0</v>
      </c>
      <c r="J4" s="76">
        <v>0</v>
      </c>
      <c r="K4" s="76" t="s">
        <v>360</v>
      </c>
      <c r="L4" s="76" t="s">
        <v>308</v>
      </c>
      <c r="M4" s="76" t="s">
        <v>309</v>
      </c>
      <c r="N4" s="76" t="s">
        <v>362</v>
      </c>
      <c r="O4" s="76" t="s">
        <v>363</v>
      </c>
    </row>
    <row r="5" spans="1:15">
      <c r="A5" s="76">
        <v>204007</v>
      </c>
      <c r="B5" s="76" t="s">
        <v>365</v>
      </c>
      <c r="D5" s="76">
        <v>0</v>
      </c>
      <c r="E5" s="76">
        <v>0</v>
      </c>
      <c r="F5" s="76">
        <v>0</v>
      </c>
      <c r="G5" s="76">
        <v>0</v>
      </c>
      <c r="H5" s="76">
        <v>0</v>
      </c>
      <c r="I5" s="76">
        <v>0</v>
      </c>
      <c r="J5" s="76">
        <v>0</v>
      </c>
      <c r="K5" s="76" t="s">
        <v>360</v>
      </c>
      <c r="L5" s="76" t="s">
        <v>361</v>
      </c>
      <c r="M5" s="76" t="s">
        <v>309</v>
      </c>
      <c r="N5" s="76" t="s">
        <v>366</v>
      </c>
      <c r="O5" s="76" t="s">
        <v>363</v>
      </c>
    </row>
    <row r="6" spans="1:15">
      <c r="A6" s="76">
        <v>204008</v>
      </c>
      <c r="B6" s="76" t="s">
        <v>313</v>
      </c>
      <c r="D6" s="76">
        <v>0</v>
      </c>
      <c r="E6" s="76">
        <v>0</v>
      </c>
      <c r="F6" s="76">
        <v>0</v>
      </c>
      <c r="G6" s="76">
        <v>0</v>
      </c>
      <c r="H6" s="76">
        <v>0</v>
      </c>
      <c r="I6" s="76">
        <v>0</v>
      </c>
      <c r="J6" s="76">
        <v>0</v>
      </c>
      <c r="K6" s="76" t="s">
        <v>360</v>
      </c>
      <c r="L6" s="76" t="s">
        <v>310</v>
      </c>
      <c r="M6" s="76" t="s">
        <v>309</v>
      </c>
      <c r="N6" s="76" t="s">
        <v>366</v>
      </c>
      <c r="O6" s="76" t="s">
        <v>363</v>
      </c>
    </row>
    <row r="7" spans="1:15">
      <c r="A7" s="76">
        <v>204009</v>
      </c>
      <c r="B7" s="76" t="s">
        <v>312</v>
      </c>
      <c r="D7" s="76">
        <v>0</v>
      </c>
      <c r="E7" s="76">
        <v>0</v>
      </c>
      <c r="F7" s="76">
        <v>0</v>
      </c>
      <c r="G7" s="76">
        <v>0</v>
      </c>
      <c r="H7" s="76">
        <v>0</v>
      </c>
      <c r="I7" s="76">
        <v>0</v>
      </c>
      <c r="J7" s="76">
        <v>0</v>
      </c>
      <c r="K7" s="76" t="s">
        <v>360</v>
      </c>
      <c r="L7" s="76" t="s">
        <v>308</v>
      </c>
      <c r="M7" s="76" t="s">
        <v>309</v>
      </c>
      <c r="N7" s="76" t="s">
        <v>366</v>
      </c>
      <c r="O7" s="76" t="s">
        <v>363</v>
      </c>
    </row>
    <row r="8" spans="1:15">
      <c r="A8" s="76">
        <v>204011</v>
      </c>
      <c r="B8" s="76" t="s">
        <v>367</v>
      </c>
      <c r="D8" s="76">
        <v>0</v>
      </c>
      <c r="E8" s="76">
        <v>0</v>
      </c>
      <c r="F8" s="76">
        <v>0</v>
      </c>
      <c r="G8" s="76">
        <v>0</v>
      </c>
      <c r="H8" s="76">
        <v>0</v>
      </c>
      <c r="I8" s="76">
        <v>0</v>
      </c>
      <c r="J8" s="76">
        <v>0</v>
      </c>
      <c r="K8" s="76" t="s">
        <v>360</v>
      </c>
      <c r="L8" s="76" t="s">
        <v>361</v>
      </c>
      <c r="M8" s="76" t="s">
        <v>309</v>
      </c>
      <c r="N8" s="76" t="s">
        <v>368</v>
      </c>
      <c r="O8" s="76" t="s">
        <v>363</v>
      </c>
    </row>
    <row r="9" spans="1:15">
      <c r="A9" s="76">
        <v>204012</v>
      </c>
      <c r="B9" s="76" t="s">
        <v>315</v>
      </c>
      <c r="D9" s="76">
        <v>0</v>
      </c>
      <c r="E9" s="76">
        <v>0</v>
      </c>
      <c r="F9" s="76">
        <v>0</v>
      </c>
      <c r="G9" s="76">
        <v>0</v>
      </c>
      <c r="H9" s="76">
        <v>0</v>
      </c>
      <c r="I9" s="76">
        <v>0</v>
      </c>
      <c r="J9" s="76">
        <v>0</v>
      </c>
      <c r="K9" s="76" t="s">
        <v>360</v>
      </c>
      <c r="L9" s="76" t="s">
        <v>310</v>
      </c>
      <c r="M9" s="76" t="s">
        <v>309</v>
      </c>
      <c r="N9" s="76" t="s">
        <v>368</v>
      </c>
      <c r="O9" s="76" t="s">
        <v>363</v>
      </c>
    </row>
    <row r="10" spans="1:15">
      <c r="A10" s="76">
        <v>204013</v>
      </c>
      <c r="B10" s="76" t="s">
        <v>314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 t="s">
        <v>360</v>
      </c>
      <c r="L10" s="76" t="s">
        <v>308</v>
      </c>
      <c r="M10" s="76" t="s">
        <v>309</v>
      </c>
      <c r="N10" s="76" t="s">
        <v>368</v>
      </c>
      <c r="O10" s="76" t="s">
        <v>363</v>
      </c>
    </row>
    <row r="11" spans="1:15">
      <c r="A11" s="76">
        <v>204051</v>
      </c>
      <c r="B11" s="76" t="s">
        <v>369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 t="s">
        <v>360</v>
      </c>
      <c r="L11" s="76" t="s">
        <v>361</v>
      </c>
      <c r="M11" s="76" t="s">
        <v>316</v>
      </c>
      <c r="N11" s="76" t="s">
        <v>362</v>
      </c>
      <c r="O11" s="76" t="s">
        <v>363</v>
      </c>
    </row>
    <row r="12" spans="1:15">
      <c r="A12" s="76">
        <v>204052</v>
      </c>
      <c r="B12" s="76" t="s">
        <v>318</v>
      </c>
      <c r="D12" s="76">
        <v>0</v>
      </c>
      <c r="E12" s="76">
        <v>0</v>
      </c>
      <c r="F12" s="76">
        <v>0</v>
      </c>
      <c r="G12" s="76">
        <v>0</v>
      </c>
      <c r="H12" s="76">
        <v>0</v>
      </c>
      <c r="I12" s="76">
        <v>0</v>
      </c>
      <c r="J12" s="76">
        <v>0</v>
      </c>
      <c r="K12" s="76" t="s">
        <v>360</v>
      </c>
      <c r="L12" s="76" t="s">
        <v>310</v>
      </c>
      <c r="M12" s="76" t="s">
        <v>316</v>
      </c>
      <c r="N12" s="76" t="s">
        <v>362</v>
      </c>
      <c r="O12" s="76" t="s">
        <v>363</v>
      </c>
    </row>
    <row r="13" spans="1:15">
      <c r="A13" s="76">
        <v>204053</v>
      </c>
      <c r="B13" s="76" t="s">
        <v>317</v>
      </c>
      <c r="D13" s="76">
        <v>0</v>
      </c>
      <c r="E13" s="76">
        <v>0</v>
      </c>
      <c r="F13" s="76">
        <v>0</v>
      </c>
      <c r="G13" s="76">
        <v>0</v>
      </c>
      <c r="H13" s="76">
        <v>0</v>
      </c>
      <c r="I13" s="76">
        <v>0</v>
      </c>
      <c r="J13" s="76">
        <v>0</v>
      </c>
      <c r="K13" s="76" t="s">
        <v>360</v>
      </c>
      <c r="L13" s="76" t="s">
        <v>308</v>
      </c>
      <c r="M13" s="76" t="s">
        <v>316</v>
      </c>
      <c r="N13" s="76" t="s">
        <v>362</v>
      </c>
      <c r="O13" s="76" t="s">
        <v>363</v>
      </c>
    </row>
    <row r="14" spans="1:15">
      <c r="A14" s="76">
        <v>204055</v>
      </c>
      <c r="B14" s="76" t="s">
        <v>370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 t="s">
        <v>360</v>
      </c>
      <c r="L14" s="76" t="s">
        <v>361</v>
      </c>
      <c r="M14" s="76" t="s">
        <v>316</v>
      </c>
      <c r="N14" s="76" t="s">
        <v>366</v>
      </c>
      <c r="O14" s="76" t="s">
        <v>363</v>
      </c>
    </row>
    <row r="15" spans="1:15">
      <c r="A15" s="76">
        <v>204056</v>
      </c>
      <c r="B15" s="76" t="s">
        <v>320</v>
      </c>
      <c r="D15" s="76">
        <v>0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v>0</v>
      </c>
      <c r="K15" s="76" t="s">
        <v>360</v>
      </c>
      <c r="L15" s="76" t="s">
        <v>310</v>
      </c>
      <c r="M15" s="76" t="s">
        <v>316</v>
      </c>
      <c r="N15" s="76" t="s">
        <v>366</v>
      </c>
      <c r="O15" s="76" t="s">
        <v>363</v>
      </c>
    </row>
    <row r="16" spans="1:15">
      <c r="A16" s="76">
        <v>204057</v>
      </c>
      <c r="B16" s="76" t="s">
        <v>319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 t="s">
        <v>360</v>
      </c>
      <c r="L16" s="76" t="s">
        <v>308</v>
      </c>
      <c r="M16" s="76" t="s">
        <v>316</v>
      </c>
      <c r="N16" s="76" t="s">
        <v>366</v>
      </c>
      <c r="O16" s="76" t="s">
        <v>363</v>
      </c>
    </row>
    <row r="17" spans="1:15">
      <c r="A17" s="76">
        <v>204059</v>
      </c>
      <c r="B17" s="76" t="s">
        <v>371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 t="s">
        <v>360</v>
      </c>
      <c r="L17" s="76" t="s">
        <v>361</v>
      </c>
      <c r="M17" s="76" t="s">
        <v>316</v>
      </c>
      <c r="N17" s="76" t="s">
        <v>368</v>
      </c>
      <c r="O17" s="76" t="s">
        <v>363</v>
      </c>
    </row>
    <row r="18" spans="1:15">
      <c r="A18" s="76">
        <v>204060</v>
      </c>
      <c r="B18" s="76" t="s">
        <v>322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 t="s">
        <v>360</v>
      </c>
      <c r="L18" s="76" t="s">
        <v>310</v>
      </c>
      <c r="M18" s="76" t="s">
        <v>316</v>
      </c>
      <c r="N18" s="76" t="s">
        <v>368</v>
      </c>
      <c r="O18" s="76" t="s">
        <v>363</v>
      </c>
    </row>
    <row r="19" spans="1:15">
      <c r="A19" s="76">
        <v>204061</v>
      </c>
      <c r="B19" s="76" t="s">
        <v>321</v>
      </c>
      <c r="D19" s="76">
        <v>0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 t="s">
        <v>360</v>
      </c>
      <c r="L19" s="76" t="s">
        <v>308</v>
      </c>
      <c r="M19" s="76" t="s">
        <v>316</v>
      </c>
      <c r="N19" s="76" t="s">
        <v>368</v>
      </c>
      <c r="O19" s="76" t="s">
        <v>363</v>
      </c>
    </row>
    <row r="20" spans="1:15">
      <c r="A20" s="76">
        <v>204099</v>
      </c>
      <c r="B20" s="76" t="s">
        <v>372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 t="s">
        <v>360</v>
      </c>
      <c r="L20" s="76" t="s">
        <v>361</v>
      </c>
      <c r="M20" s="76" t="s">
        <v>323</v>
      </c>
      <c r="N20" s="76" t="s">
        <v>362</v>
      </c>
      <c r="O20" s="76" t="s">
        <v>363</v>
      </c>
    </row>
    <row r="21" spans="1:15">
      <c r="A21" s="76">
        <v>204100</v>
      </c>
      <c r="B21" s="76" t="s">
        <v>325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 t="s">
        <v>360</v>
      </c>
      <c r="L21" s="76" t="s">
        <v>310</v>
      </c>
      <c r="M21" s="76" t="s">
        <v>323</v>
      </c>
      <c r="N21" s="76" t="s">
        <v>362</v>
      </c>
      <c r="O21" s="76" t="s">
        <v>363</v>
      </c>
    </row>
    <row r="22" spans="1:15">
      <c r="A22" s="76">
        <v>204101</v>
      </c>
      <c r="B22" s="76" t="s">
        <v>324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 t="s">
        <v>360</v>
      </c>
      <c r="L22" s="76" t="s">
        <v>308</v>
      </c>
      <c r="M22" s="76" t="s">
        <v>323</v>
      </c>
      <c r="N22" s="76" t="s">
        <v>362</v>
      </c>
      <c r="O22" s="76" t="s">
        <v>363</v>
      </c>
    </row>
    <row r="23" spans="1:15">
      <c r="A23" s="76">
        <v>204103</v>
      </c>
      <c r="B23" s="76" t="s">
        <v>373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 t="s">
        <v>360</v>
      </c>
      <c r="L23" s="76" t="s">
        <v>361</v>
      </c>
      <c r="M23" s="76" t="s">
        <v>323</v>
      </c>
      <c r="N23" s="76" t="s">
        <v>366</v>
      </c>
      <c r="O23" s="76" t="s">
        <v>363</v>
      </c>
    </row>
    <row r="24" spans="1:15">
      <c r="A24" s="76">
        <v>204104</v>
      </c>
      <c r="B24" s="76" t="s">
        <v>327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 t="s">
        <v>360</v>
      </c>
      <c r="L24" s="76" t="s">
        <v>310</v>
      </c>
      <c r="M24" s="76" t="s">
        <v>323</v>
      </c>
      <c r="N24" s="76" t="s">
        <v>366</v>
      </c>
      <c r="O24" s="76" t="s">
        <v>363</v>
      </c>
    </row>
    <row r="25" spans="1:15">
      <c r="A25" s="76">
        <v>204105</v>
      </c>
      <c r="B25" s="76" t="s">
        <v>326</v>
      </c>
      <c r="D25" s="76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 t="s">
        <v>360</v>
      </c>
      <c r="L25" s="76" t="s">
        <v>308</v>
      </c>
      <c r="M25" s="76" t="s">
        <v>323</v>
      </c>
      <c r="N25" s="76" t="s">
        <v>366</v>
      </c>
      <c r="O25" s="76" t="s">
        <v>363</v>
      </c>
    </row>
    <row r="26" spans="1:15">
      <c r="A26" s="76">
        <v>204107</v>
      </c>
      <c r="B26" s="76" t="s">
        <v>374</v>
      </c>
      <c r="D26" s="76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 t="s">
        <v>360</v>
      </c>
      <c r="L26" s="76" t="s">
        <v>361</v>
      </c>
      <c r="M26" s="76" t="s">
        <v>323</v>
      </c>
      <c r="N26" s="76" t="s">
        <v>368</v>
      </c>
      <c r="O26" s="76" t="s">
        <v>363</v>
      </c>
    </row>
    <row r="27" spans="1:15">
      <c r="A27" s="76">
        <v>204108</v>
      </c>
      <c r="B27" s="76" t="s">
        <v>329</v>
      </c>
      <c r="D27" s="76">
        <v>0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 t="s">
        <v>360</v>
      </c>
      <c r="L27" s="76" t="s">
        <v>310</v>
      </c>
      <c r="M27" s="76" t="s">
        <v>323</v>
      </c>
      <c r="N27" s="76" t="s">
        <v>368</v>
      </c>
      <c r="O27" s="76" t="s">
        <v>363</v>
      </c>
    </row>
    <row r="28" spans="1:15">
      <c r="A28" s="76">
        <v>204109</v>
      </c>
      <c r="B28" s="76" t="s">
        <v>328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 t="s">
        <v>360</v>
      </c>
      <c r="L28" s="76" t="s">
        <v>308</v>
      </c>
      <c r="M28" s="76" t="s">
        <v>323</v>
      </c>
      <c r="N28" s="76" t="s">
        <v>368</v>
      </c>
      <c r="O28" s="76" t="s">
        <v>363</v>
      </c>
    </row>
    <row r="29" spans="1:15">
      <c r="A29" s="76">
        <v>204147</v>
      </c>
      <c r="B29" s="76" t="s">
        <v>375</v>
      </c>
      <c r="D29" s="76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 t="s">
        <v>360</v>
      </c>
      <c r="L29" s="76" t="s">
        <v>361</v>
      </c>
      <c r="M29" s="76" t="s">
        <v>333</v>
      </c>
      <c r="N29" s="76" t="s">
        <v>362</v>
      </c>
      <c r="O29" s="76" t="s">
        <v>363</v>
      </c>
    </row>
    <row r="30" spans="1:15">
      <c r="A30" s="76">
        <v>204148</v>
      </c>
      <c r="B30" s="76" t="s">
        <v>335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 t="s">
        <v>360</v>
      </c>
      <c r="L30" s="76" t="s">
        <v>310</v>
      </c>
      <c r="M30" s="76" t="s">
        <v>333</v>
      </c>
      <c r="N30" s="76" t="s">
        <v>362</v>
      </c>
      <c r="O30" s="76" t="s">
        <v>363</v>
      </c>
    </row>
    <row r="31" spans="1:15">
      <c r="A31" s="76">
        <v>204149</v>
      </c>
      <c r="B31" s="76" t="s">
        <v>334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 t="s">
        <v>360</v>
      </c>
      <c r="L31" s="76" t="s">
        <v>308</v>
      </c>
      <c r="M31" s="76" t="s">
        <v>333</v>
      </c>
      <c r="N31" s="76" t="s">
        <v>362</v>
      </c>
      <c r="O31" s="76" t="s">
        <v>363</v>
      </c>
    </row>
    <row r="32" spans="1:15">
      <c r="A32" s="76">
        <v>204151</v>
      </c>
      <c r="B32" s="76" t="s">
        <v>376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 t="s">
        <v>360</v>
      </c>
      <c r="L32" s="76" t="s">
        <v>361</v>
      </c>
      <c r="M32" s="76" t="s">
        <v>333</v>
      </c>
      <c r="N32" s="76" t="s">
        <v>366</v>
      </c>
      <c r="O32" s="76" t="s">
        <v>363</v>
      </c>
    </row>
    <row r="33" spans="1:15">
      <c r="A33" s="76">
        <v>204152</v>
      </c>
      <c r="B33" s="76" t="s">
        <v>337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 t="s">
        <v>360</v>
      </c>
      <c r="L33" s="76" t="s">
        <v>310</v>
      </c>
      <c r="M33" s="76" t="s">
        <v>333</v>
      </c>
      <c r="N33" s="76" t="s">
        <v>366</v>
      </c>
      <c r="O33" s="76" t="s">
        <v>363</v>
      </c>
    </row>
    <row r="34" spans="1:15">
      <c r="A34" s="76">
        <v>204153</v>
      </c>
      <c r="B34" s="76" t="s">
        <v>336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 t="s">
        <v>360</v>
      </c>
      <c r="L34" s="76" t="s">
        <v>308</v>
      </c>
      <c r="M34" s="76" t="s">
        <v>333</v>
      </c>
      <c r="N34" s="76" t="s">
        <v>366</v>
      </c>
      <c r="O34" s="76" t="s">
        <v>363</v>
      </c>
    </row>
    <row r="35" spans="1:15">
      <c r="A35" s="76">
        <v>204155</v>
      </c>
      <c r="B35" s="76" t="s">
        <v>377</v>
      </c>
      <c r="D35" s="76">
        <v>0</v>
      </c>
      <c r="E35" s="76">
        <v>0</v>
      </c>
      <c r="F35" s="76">
        <v>0</v>
      </c>
      <c r="G35" s="76">
        <v>0</v>
      </c>
      <c r="H35" s="76">
        <v>0</v>
      </c>
      <c r="I35" s="76">
        <v>0</v>
      </c>
      <c r="J35" s="76">
        <v>0</v>
      </c>
      <c r="K35" s="76" t="s">
        <v>360</v>
      </c>
      <c r="L35" s="76" t="s">
        <v>361</v>
      </c>
      <c r="M35" s="76" t="s">
        <v>333</v>
      </c>
      <c r="N35" s="76" t="s">
        <v>368</v>
      </c>
      <c r="O35" s="76" t="s">
        <v>363</v>
      </c>
    </row>
    <row r="36" spans="1:15">
      <c r="A36" s="76">
        <v>204156</v>
      </c>
      <c r="B36" s="76" t="s">
        <v>339</v>
      </c>
      <c r="D36" s="76">
        <v>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 t="s">
        <v>360</v>
      </c>
      <c r="L36" s="76" t="s">
        <v>310</v>
      </c>
      <c r="M36" s="76" t="s">
        <v>333</v>
      </c>
      <c r="N36" s="76" t="s">
        <v>368</v>
      </c>
      <c r="O36" s="76" t="s">
        <v>363</v>
      </c>
    </row>
    <row r="37" spans="1:15">
      <c r="A37" s="76">
        <v>204157</v>
      </c>
      <c r="B37" s="76" t="s">
        <v>338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 t="s">
        <v>360</v>
      </c>
      <c r="L37" s="76" t="s">
        <v>308</v>
      </c>
      <c r="M37" s="76" t="s">
        <v>333</v>
      </c>
      <c r="N37" s="76" t="s">
        <v>368</v>
      </c>
      <c r="O37" s="76" t="s">
        <v>363</v>
      </c>
    </row>
    <row r="38" spans="1:15">
      <c r="A38" s="76">
        <v>204198</v>
      </c>
      <c r="B38" s="76" t="s">
        <v>330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 t="s">
        <v>360</v>
      </c>
      <c r="L38" s="76" t="s">
        <v>378</v>
      </c>
      <c r="M38" s="76" t="s">
        <v>379</v>
      </c>
      <c r="N38" s="76" t="s">
        <v>362</v>
      </c>
      <c r="O38" s="76" t="s">
        <v>363</v>
      </c>
    </row>
    <row r="39" spans="1:15">
      <c r="A39" s="76">
        <v>204202</v>
      </c>
      <c r="B39" s="76" t="s">
        <v>331</v>
      </c>
      <c r="D39" s="76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 t="s">
        <v>360</v>
      </c>
      <c r="L39" s="76" t="s">
        <v>378</v>
      </c>
      <c r="M39" s="76" t="s">
        <v>379</v>
      </c>
      <c r="N39" s="76" t="s">
        <v>366</v>
      </c>
      <c r="O39" s="76" t="s">
        <v>363</v>
      </c>
    </row>
    <row r="40" spans="1:15">
      <c r="A40" s="76">
        <v>204206</v>
      </c>
      <c r="B40" s="76" t="s">
        <v>332</v>
      </c>
      <c r="D40" s="76">
        <v>0</v>
      </c>
      <c r="E40" s="76">
        <v>0</v>
      </c>
      <c r="F40" s="76">
        <v>0</v>
      </c>
      <c r="G40" s="76">
        <v>0</v>
      </c>
      <c r="H40" s="76">
        <v>0</v>
      </c>
      <c r="I40" s="76">
        <v>0</v>
      </c>
      <c r="J40" s="76">
        <v>0</v>
      </c>
      <c r="K40" s="76" t="s">
        <v>360</v>
      </c>
      <c r="L40" s="76" t="s">
        <v>378</v>
      </c>
      <c r="M40" s="76" t="s">
        <v>379</v>
      </c>
      <c r="N40" s="76" t="s">
        <v>368</v>
      </c>
      <c r="O40" s="76" t="s">
        <v>363</v>
      </c>
    </row>
    <row r="41" spans="1:15">
      <c r="A41" s="76">
        <v>204246</v>
      </c>
      <c r="B41" s="76" t="s">
        <v>340</v>
      </c>
      <c r="D41" s="76">
        <v>0</v>
      </c>
      <c r="E41" s="76">
        <v>0</v>
      </c>
      <c r="F41" s="76">
        <v>0</v>
      </c>
      <c r="G41" s="76">
        <v>0</v>
      </c>
      <c r="H41" s="76">
        <v>0</v>
      </c>
      <c r="I41" s="76">
        <v>0</v>
      </c>
      <c r="J41" s="76">
        <v>0</v>
      </c>
      <c r="K41" s="76" t="s">
        <v>360</v>
      </c>
      <c r="L41" s="76" t="s">
        <v>378</v>
      </c>
      <c r="M41" s="76" t="s">
        <v>380</v>
      </c>
      <c r="N41" s="76" t="s">
        <v>362</v>
      </c>
      <c r="O41" s="76" t="s">
        <v>363</v>
      </c>
    </row>
    <row r="42" spans="1:15">
      <c r="A42" s="76">
        <v>204250</v>
      </c>
      <c r="B42" s="76" t="s">
        <v>341</v>
      </c>
      <c r="D42" s="76">
        <v>0</v>
      </c>
      <c r="E42" s="76">
        <v>0</v>
      </c>
      <c r="F42" s="76">
        <v>0</v>
      </c>
      <c r="G42" s="76">
        <v>0</v>
      </c>
      <c r="H42" s="76">
        <v>0</v>
      </c>
      <c r="I42" s="76">
        <v>0</v>
      </c>
      <c r="J42" s="76">
        <v>0</v>
      </c>
      <c r="K42" s="76" t="s">
        <v>360</v>
      </c>
      <c r="L42" s="76" t="s">
        <v>378</v>
      </c>
      <c r="M42" s="76" t="s">
        <v>380</v>
      </c>
      <c r="N42" s="76" t="s">
        <v>366</v>
      </c>
      <c r="O42" s="76" t="s">
        <v>363</v>
      </c>
    </row>
    <row r="43" spans="1:15">
      <c r="A43" s="76">
        <v>204254</v>
      </c>
      <c r="B43" s="76" t="s">
        <v>342</v>
      </c>
      <c r="D43" s="76">
        <v>0</v>
      </c>
      <c r="E43" s="76">
        <v>0</v>
      </c>
      <c r="F43" s="76">
        <v>0</v>
      </c>
      <c r="G43" s="76">
        <v>0</v>
      </c>
      <c r="H43" s="76">
        <v>0</v>
      </c>
      <c r="I43" s="76">
        <v>0</v>
      </c>
      <c r="J43" s="76">
        <v>0</v>
      </c>
      <c r="K43" s="76" t="s">
        <v>360</v>
      </c>
      <c r="L43" s="76" t="s">
        <v>378</v>
      </c>
      <c r="M43" s="76" t="s">
        <v>380</v>
      </c>
      <c r="N43" s="76" t="s">
        <v>368</v>
      </c>
      <c r="O43" s="76" t="s">
        <v>363</v>
      </c>
    </row>
  </sheetData>
  <autoFilter ref="A1:O4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A7A392F-F524-4A60-8A38-C11F214F628B}">
  <ds:schemaRefs/>
</ds:datastoreItem>
</file>

<file path=customXml/itemProps2.xml><?xml version="1.0" encoding="utf-8"?>
<ds:datastoreItem xmlns:ds="http://schemas.openxmlformats.org/officeDocument/2006/customXml" ds:itemID="{E0CA5442-C2DA-43F1-A162-45733585A7FC}">
  <ds:schemaRefs/>
</ds:datastoreItem>
</file>

<file path=customXml/itemProps3.xml><?xml version="1.0" encoding="utf-8"?>
<ds:datastoreItem xmlns:ds="http://schemas.openxmlformats.org/officeDocument/2006/customXml" ds:itemID="{02797C48-CC81-4B8D-8032-B370D450D1E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Result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cp:lastPrinted>2025-03-06T10:14:00Z</cp:lastPrinted>
  <dcterms:created xsi:type="dcterms:W3CDTF">2023-07-04T06:39:00Z</dcterms:created>
  <dcterms:modified xsi:type="dcterms:W3CDTF">2025-04-07T06:32:58Z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
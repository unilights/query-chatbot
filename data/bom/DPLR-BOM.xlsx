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60" windowWidth="15600" windowHeight="11100" tabRatio="597"/>
  </bookViews>
  <sheets>
    <sheet name="Stock Item" sheetId="23" r:id="rId1"/>
    <sheet name="Stock Item (Read Me)" sheetId="10" state="hidden" r:id="rId2"/>
    <sheet name="Backend data" sheetId="24" r:id="rId3"/>
    <sheet name="DPL08-SKU (Seprate N,M)" sheetId="25" r:id="rId4"/>
  </sheets>
  <definedNames>
    <definedName name="_xlnm._FilterDatabase" localSheetId="3" hidden="1">'DPL08-SKU (Seprate N,M)'!$P$1:$P$21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3" i="23" l="1"/>
  <c r="Q23" i="23"/>
  <c r="Q18" i="23" l="1"/>
  <c r="L18" i="23"/>
  <c r="M18" i="23" s="1"/>
  <c r="Q17" i="23"/>
  <c r="M17" i="23"/>
  <c r="Q16" i="23"/>
  <c r="M16" i="23"/>
  <c r="Q2" i="23"/>
  <c r="L2" i="23" s="1"/>
  <c r="M2" i="23" s="1"/>
  <c r="M20" i="23" l="1"/>
  <c r="M23" i="23" s="1"/>
  <c r="M22" i="23" l="1"/>
  <c r="S21" i="25" l="1"/>
  <c r="R21" i="25"/>
  <c r="Q21" i="25"/>
  <c r="P21" i="25"/>
  <c r="O21" i="25"/>
  <c r="S20" i="25"/>
  <c r="R20" i="25"/>
  <c r="Q20" i="25"/>
  <c r="P20" i="25"/>
  <c r="O20" i="25"/>
  <c r="S19" i="25"/>
  <c r="R19" i="25"/>
  <c r="Q19" i="25"/>
  <c r="P19" i="25"/>
  <c r="O19" i="25"/>
  <c r="S18" i="25"/>
  <c r="R18" i="25"/>
  <c r="Q18" i="25"/>
  <c r="P18" i="25"/>
  <c r="O18" i="25"/>
  <c r="S17" i="25"/>
  <c r="R17" i="25"/>
  <c r="Q17" i="25"/>
  <c r="P17" i="25"/>
  <c r="O17" i="25"/>
  <c r="S16" i="25"/>
  <c r="R16" i="25"/>
  <c r="Q16" i="25"/>
  <c r="P16" i="25"/>
  <c r="O16" i="25"/>
  <c r="S15" i="25"/>
  <c r="R15" i="25"/>
  <c r="Q15" i="25"/>
  <c r="P15" i="25"/>
  <c r="O15" i="25"/>
  <c r="S14" i="25"/>
  <c r="R14" i="25"/>
  <c r="Q14" i="25"/>
  <c r="P14" i="25"/>
  <c r="O14" i="25"/>
  <c r="S13" i="25"/>
  <c r="R13" i="25"/>
  <c r="Q13" i="25"/>
  <c r="P13" i="25"/>
  <c r="O13" i="25"/>
  <c r="S12" i="25"/>
  <c r="R12" i="25"/>
  <c r="Q12" i="25"/>
  <c r="P12" i="25"/>
  <c r="O12" i="25"/>
  <c r="S11" i="25"/>
  <c r="R11" i="25"/>
  <c r="Q11" i="25"/>
  <c r="P11" i="25"/>
  <c r="O11" i="25"/>
  <c r="S10" i="25"/>
  <c r="R10" i="25"/>
  <c r="Q10" i="25"/>
  <c r="P10" i="25"/>
  <c r="O10" i="25"/>
  <c r="S9" i="25"/>
  <c r="R9" i="25"/>
  <c r="Q9" i="25"/>
  <c r="P9" i="25"/>
  <c r="O9" i="25"/>
  <c r="S8" i="25"/>
  <c r="R8" i="25"/>
  <c r="Q8" i="25"/>
  <c r="P8" i="25"/>
  <c r="O8" i="25"/>
  <c r="S7" i="25"/>
  <c r="R7" i="25"/>
  <c r="Q7" i="25"/>
  <c r="P7" i="25"/>
  <c r="O7" i="25"/>
  <c r="S6" i="25"/>
  <c r="R6" i="25"/>
  <c r="Q6" i="25"/>
  <c r="P6" i="25"/>
  <c r="O6" i="25"/>
  <c r="S5" i="25"/>
  <c r="R5" i="25"/>
  <c r="Q5" i="25"/>
  <c r="P5" i="25"/>
  <c r="O5" i="25"/>
  <c r="S4" i="25"/>
  <c r="R4" i="25"/>
  <c r="Q4" i="25"/>
  <c r="P4" i="25"/>
  <c r="O4" i="25"/>
  <c r="S3" i="25"/>
  <c r="R3" i="25"/>
  <c r="Q3" i="25"/>
  <c r="P3" i="25"/>
  <c r="O3" i="25"/>
  <c r="S2" i="25"/>
  <c r="R2" i="25"/>
  <c r="Q2" i="25"/>
  <c r="P2" i="25"/>
  <c r="O2" i="25"/>
  <c r="C9" i="25" l="1"/>
  <c r="C19" i="25"/>
  <c r="C20" i="25"/>
  <c r="C16" i="25"/>
  <c r="C8" i="25"/>
  <c r="C15" i="25"/>
  <c r="C12" i="25"/>
  <c r="C18" i="25"/>
  <c r="C7" i="25"/>
  <c r="C5" i="25"/>
  <c r="C2" i="25"/>
  <c r="C6" i="25"/>
  <c r="C11" i="25"/>
  <c r="C13" i="25"/>
  <c r="C17" i="25"/>
  <c r="C4" i="25"/>
  <c r="C3" i="25"/>
  <c r="C14" i="25"/>
  <c r="C10" i="25"/>
  <c r="C21" i="25"/>
  <c r="H5" i="24" l="1"/>
  <c r="G3" i="24"/>
  <c r="H3" i="24" l="1"/>
  <c r="H4" i="24" s="1"/>
  <c r="F3" i="24"/>
  <c r="G4" i="24" s="1"/>
  <c r="A2" i="23" l="1"/>
  <c r="E3" i="24"/>
  <c r="D3" i="24"/>
  <c r="H8" i="24" l="1"/>
  <c r="I3" i="24"/>
  <c r="I7" i="24" s="1"/>
  <c r="H7" i="24" l="1"/>
  <c r="H6" i="24"/>
  <c r="F19" i="23" s="1"/>
  <c r="I6" i="24"/>
  <c r="I8" i="24"/>
  <c r="C3" i="24"/>
  <c r="D4" i="24" s="1"/>
  <c r="E7" i="24" l="1"/>
  <c r="E8" i="24"/>
  <c r="C8" i="24"/>
  <c r="C6" i="24"/>
  <c r="F2" i="23" s="1"/>
  <c r="F7" i="24"/>
  <c r="F8" i="24"/>
  <c r="C7" i="24"/>
  <c r="G6" i="24"/>
  <c r="F18" i="23" s="1"/>
  <c r="E6" i="24"/>
  <c r="F6" i="24"/>
  <c r="F4" i="23" s="1"/>
  <c r="D8" i="24" l="1"/>
  <c r="D6" i="24"/>
  <c r="F11" i="23" s="1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<sst xmlns="http://schemas.openxmlformats.org/spreadsheetml/2006/main" count="577" uniqueCount="305">
  <si>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</si>
  <si>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</si>
  <si>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</si>
  <si>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</si>
  <si>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</si>
  <si>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</si>
  <si>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</si>
  <si>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</si>
  <si>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</si>
  <si>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</si>
  <si>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</si>
  <si>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</si>
  <si>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</si>
  <si>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</si>
  <si>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</si>
  <si>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</si>
  <si>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</si>
  <si>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</si>
  <si>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</si>
  <si>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</si>
  <si>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</si>
  <si>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</si>
  <si>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</si>
  <si>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</si>
  <si>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</si>
  <si>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</si>
  <si>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</si>
  <si>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</si>
  <si>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</si>
  <si>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</si>
  <si>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</si>
  <si>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</si>
  <si>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</si>
  <si>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</si>
  <si>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</si>
  <si>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</si>
  <si>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</si>
  <si>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</si>
  <si>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</si>
  <si>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</si>
  <si>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</si>
  <si>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</si>
  <si>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</si>
  <si>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</si>
  <si>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</si>
  <si>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</si>
  <si>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</si>
  <si>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</si>
  <si>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</si>
  <si>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</si>
  <si>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</si>
  <si>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</si>
  <si>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</si>
  <si>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</si>
  <si>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</si>
  <si>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</si>
  <si>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</si>
  <si>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</si>
  <si>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</si>
  <si>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</si>
  <si>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</si>
  <si>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</si>
  <si>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</si>
  <si>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</si>
  <si>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</si>
  <si>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</si>
  <si>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</si>
  <si>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</si>
  <si>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</si>
  <si>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</si>
  <si>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</si>
  <si>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</si>
  <si>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</si>
  <si>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</si>
  <si>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</si>
  <si>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</si>
  <si>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</si>
  <si>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</si>
  <si>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</si>
  <si>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</si>
  <si>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</si>
  <si>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</si>
  <si>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</si>
  <si>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</si>
  <si>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</si>
  <si>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</si>
  <si>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</si>
  <si>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</si>
  <si>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</si>
  <si>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</si>
  <si>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</si>
  <si>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</si>
  <si>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</si>
  <si>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</si>
  <si>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</si>
  <si>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</si>
  <si>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</si>
  <si>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</si>
  <si>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</si>
  <si>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</si>
  <si>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</si>
  <si>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</si>
  <si>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</si>
  <si>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</si>
  <si>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</si>
  <si>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</si>
  <si>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</si>
  <si>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</si>
  <si>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</si>
  <si>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</si>
  <si>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</si>
  <si>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</si>
  <si>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</si>
  <si>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</si>
  <si>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</si>
  <si>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</si>
  <si>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</si>
  <si>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</si>
  <si>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</si>
  <si>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</si>
  <si>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</si>
  <si>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</si>
  <si>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</si>
  <si>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</si>
  <si>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</si>
  <si>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</si>
  <si>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</si>
  <si>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</si>
  <si>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</si>
  <si>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</si>
  <si>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</si>
  <si>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</si>
  <si>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</si>
  <si>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</si>
  <si>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</si>
  <si>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</si>
  <si>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</si>
  <si>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</si>
  <si>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</si>
  <si>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</si>
  <si>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</si>
  <si>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</si>
  <si>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</si>
  <si>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</si>
  <si>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</si>
  <si>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</si>
  <si>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</si>
  <si>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</si>
  <si>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</si>
  <si>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</si>
  <si>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</si>
  <si>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</si>
  <si>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</si>
  <si>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</si>
  <si>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</si>
  <si>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</si>
  <si>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</si>
  <si>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</si>
  <si>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</si>
  <si>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</si>
  <si>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</si>
  <si>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</si>
  <si>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</si>
  <si>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</si>
  <si>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</si>
  <si>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</si>
  <si>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</si>
  <si>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</si>
  <si>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</si>
  <si>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</si>
  <si>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</si>
  <si>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</si>
  <si>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</si>
  <si>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</si>
  <si>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</si>
  <si>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</si>
  <si>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</si>
  <si>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</si>
  <si>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</si>
  <si>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</si>
  <si>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</si>
  <si>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</si>
  <si>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</si>
  <si>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</si>
  <si>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</si>
  <si>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</si>
  <si>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</si>
  <si>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</si>
  <si>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</si>
  <si>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</si>
  <si>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</si>
  <si>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</si>
  <si>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</si>
  <si>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</si>
  <si>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</si>
  <si>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</si>
  <si>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</si>
  <si>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</si>
  <si>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</si>
  <si>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</si>
  <si>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</si>
  <si>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</si>
  <si>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</si>
  <si>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</si>
  <si>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BOM LED PCB</t>
  </si>
  <si>
    <t>COLOUR TEMPERATURE</t>
  </si>
  <si>
    <t>T</t>
  </si>
  <si>
    <t>M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</si>
  <si>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</si>
  <si>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</si>
  <si>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</si>
  <si>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</si>
  <si>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</si>
  <si>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</si>
  <si>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</si>
  <si>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</si>
  <si>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</si>
  <si>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</si>
  <si>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Fixture</t>
  </si>
  <si>
    <t>Beam Angle</t>
  </si>
  <si>
    <t>Driving System</t>
  </si>
  <si>
    <t>Color temp</t>
  </si>
  <si>
    <t>DPLR08N60-</t>
  </si>
  <si>
    <t>Trim</t>
  </si>
  <si>
    <t>Narrow - 15°</t>
  </si>
  <si>
    <t>Constant Current</t>
  </si>
  <si>
    <t>6000k</t>
  </si>
  <si>
    <t>DPLR08N50-</t>
  </si>
  <si>
    <t>5000k</t>
  </si>
  <si>
    <t>DPLR08N40-</t>
  </si>
  <si>
    <t>4000k</t>
  </si>
  <si>
    <t>DPLR08N30-</t>
  </si>
  <si>
    <t>3000k</t>
  </si>
  <si>
    <t>DPLR08N27-</t>
  </si>
  <si>
    <t>2700k</t>
  </si>
  <si>
    <t>DPLR08N60I</t>
  </si>
  <si>
    <t>DALI Dimming</t>
  </si>
  <si>
    <t>DPLR08N50I</t>
  </si>
  <si>
    <t>DPLR08N40I</t>
  </si>
  <si>
    <t>DPLR08N30I</t>
  </si>
  <si>
    <t>DPLR08N27I</t>
  </si>
  <si>
    <t>DPLR08M60-</t>
  </si>
  <si>
    <t>Medium - 32°</t>
  </si>
  <si>
    <t>DPLR08M50-</t>
  </si>
  <si>
    <t>DPLR08M40-</t>
  </si>
  <si>
    <t>DPLR08M30-</t>
  </si>
  <si>
    <t>DPLR08M27-</t>
  </si>
  <si>
    <t>DPLR08M60I</t>
  </si>
  <si>
    <t>DPLR08M50I</t>
  </si>
  <si>
    <t>DPLR08M40I</t>
  </si>
  <si>
    <t>DPLR08M30I</t>
  </si>
  <si>
    <t>DPLR08M27I</t>
  </si>
  <si>
    <t>Mechanical Store</t>
  </si>
  <si>
    <t>Anti Glare Trim-O-34.7 H-18.5 L-23.7mm DPL08W</t>
  </si>
  <si>
    <t>COB Holder-O-25 H-3.5 L-12mm</t>
  </si>
  <si>
    <t>Pipe-O-36.5 H-68.5 L-34.5mm DPL08W</t>
  </si>
  <si>
    <t>Connecting Rod-L-31.5 W-10.8 H-24.6mm DPL08W</t>
  </si>
  <si>
    <t>Rotating Mechanism-O-30.8  H-43 L-15mm DPL08W</t>
  </si>
  <si>
    <t>Inner locking swivel-O-38 H-21 L-23mm DPL08W</t>
  </si>
  <si>
    <t>Pull out rail-O-46.5 H-117 L-39mm DPL08W</t>
  </si>
  <si>
    <t>Locking Plate-27.5X2mm-PC</t>
  </si>
  <si>
    <t>2 Core Red &amp; Black Wire</t>
  </si>
  <si>
    <t>Electronics  store</t>
  </si>
  <si>
    <t>PBX - L=150, W=100, H=130mm.</t>
  </si>
  <si>
    <t>SBX</t>
  </si>
  <si>
    <t>R</t>
  </si>
  <si>
    <t>HS Trim Spot Light 114x81mm White (Yuanchi) DPLR8W</t>
  </si>
  <si>
    <t>HS Trimless Spot Light 114x81mm White (Yuanchi) DPLT8W</t>
  </si>
  <si>
    <t>Mounting Clip-L-41 H-28.5 T-0.2mm-SS DPL08W</t>
  </si>
  <si>
    <t>Mounting Bracket-L-57.8 H-20 T-1mm-MS DPL08W</t>
  </si>
  <si>
    <t>-</t>
  </si>
  <si>
    <t>-I</t>
  </si>
  <si>
    <t>M27</t>
  </si>
  <si>
    <t>M30</t>
  </si>
  <si>
    <t>M40</t>
  </si>
  <si>
    <t>M50</t>
  </si>
  <si>
    <t>M60</t>
  </si>
  <si>
    <t>N</t>
  </si>
  <si>
    <t>Lens-O-28.8 H-14.5 L-9.6mm 32°-PC DPL08W</t>
  </si>
  <si>
    <t>Lens-O-28.8 H-14.5 L-9.6mm 15°-PC DPL08W</t>
  </si>
  <si>
    <t>MOUNTING TRIM</t>
  </si>
  <si>
    <t>N27</t>
  </si>
  <si>
    <t>N30</t>
  </si>
  <si>
    <t>N40</t>
  </si>
  <si>
    <t>N50</t>
  </si>
  <si>
    <t>N60</t>
  </si>
  <si>
    <t>Down Light Series</t>
  </si>
  <si>
    <t>Screw M3x8 Pan Head Philips Star -SS</t>
  </si>
  <si>
    <t>Screw M3X4 Pan + Head S.S</t>
  </si>
  <si>
    <t>COB 12&amp;15W 3000K 12LED 36V 350mA 13.5x13.5mm CRI-90</t>
  </si>
  <si>
    <t>COB 12&amp;15W 4000K 12LED 36V 350mA 13.5x13.5mm CRI-90</t>
  </si>
  <si>
    <t>COB 12&amp;15W 5000K 12LED 36V 350mA 13.5x13.5mm CRI-90</t>
  </si>
  <si>
    <t>COB 12&amp;15W 6000K 12LED 36V 350mA 13.5x13.5mm CRI-90</t>
  </si>
  <si>
    <t>COB 12&amp;15W 2700K 12LED 36V 350mA 13.5x13.5mm CRI-95</t>
  </si>
  <si>
    <t>PS 8W 200MA 36V LPF (PCB MT43-8-12W-V2 LPF)</t>
  </si>
  <si>
    <t>Dali Driver SC-10W PE19DA4240  (AI-Dimming)-25-40V</t>
  </si>
  <si>
    <t>DPLR08N30</t>
  </si>
  <si>
    <t>Unit Price</t>
  </si>
  <si>
    <t>USD</t>
  </si>
  <si>
    <t>INS&amp;FRED</t>
  </si>
  <si>
    <t>BCD</t>
  </si>
  <si>
    <t>Total Cost</t>
  </si>
  <si>
    <t>DPLR08 Dali Single Color</t>
  </si>
  <si>
    <t>DPLR08-CC</t>
  </si>
  <si>
    <t>PS Rate Mention with Total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</si>
</sst>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 &quot;Rs.&quot;\ * #,##0.00_ ;_ &quot;Rs.&quot;\ * \-#,##0.00_ ;_ &quot;Rs.&quot;\ * &quot;-&quot;??_ ;_ @_ "/>
    <numFmt numFmtId="164" formatCode="&quot;$&quot;#,##0.0000"/>
    <numFmt numFmtId="165" formatCode="_ [$Rs.-4009]\ * #,##0.00_ ;_ [$Rs.-4009]\ * \-#,##0.00_ ;_ [$Rs.-4009]\ * &quot;-&quot;??_ ;_ @_ "/>
    <numFmt numFmtId="167" formatCode="_-[$$-409]* #,##0.000_ ;_-[$$-409]* \-#,##0.000\ ;_-[$$-409]* &quot;-&quot;??_ ;_-@_ "/>
    <numFmt numFmtId="168" formatCode="_-[$Rs-420]* #,##0.00_-;_-[$Rs-420]* #,##0.00\-;_-[$Rs-420]* &quot;-&quot;??_-;_-@_-"/>
    <numFmt numFmtId="169" formatCode="&quot;$&quot;#,##0.00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5">
    <xf numFmtId="0" fontId="0" fillId="0" borderId="0"/>
    <xf numFmtId="0" fontId="16" fillId="0" borderId="0" applyNumberFormat="0" applyFill="0" applyBorder="0" applyAlignment="0" applyProtection="0"/>
    <xf numFmtId="0" fontId="3" fillId="0" borderId="0"/>
    <xf numFmtId="0" fontId="21" fillId="0" borderId="0"/>
    <xf numFmtId="44" fontId="22" fillId="0" borderId="0" applyFont="0" applyFill="0" applyBorder="0" applyAlignment="0" applyProtection="0"/>
  </cellStyleXfs>
  <cellXfs count="126">
    <xf numFmtId="0" fontId="0" fillId="0" borderId="0" xfId="0"/>
    <xf numFmtId="0" fontId="6" fillId="0" borderId="0" xfId="0" applyFont="1"/>
    <xf numFmtId="0" fontId="7" fillId="2" borderId="0" xfId="0" applyFont="1" applyFill="1"/>
    <xf numFmtId="0" fontId="8" fillId="3" borderId="1" xfId="0" applyFont="1" applyFill="1" applyBorder="1" applyAlignment="1">
      <alignment horizontal="center" wrapText="1"/>
    </xf>
    <xf numFmtId="0" fontId="9" fillId="2" borderId="0" xfId="0" applyFont="1" applyFill="1"/>
    <xf numFmtId="0" fontId="0" fillId="2" borderId="0" xfId="0" applyFill="1"/>
    <xf numFmtId="0" fontId="8" fillId="4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wrapText="1"/>
    </xf>
    <xf numFmtId="0" fontId="10" fillId="2" borderId="4" xfId="0" applyFont="1" applyFill="1" applyBorder="1"/>
    <xf numFmtId="0" fontId="6" fillId="2" borderId="5" xfId="0" applyFont="1" applyFill="1" applyBorder="1"/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11" fillId="2" borderId="7" xfId="0" applyFont="1" applyFill="1" applyBorder="1" applyAlignment="1">
      <alignment horizontal="left" indent="2"/>
    </xf>
    <xf numFmtId="0" fontId="6" fillId="2" borderId="0" xfId="0" applyFont="1" applyFill="1" applyAlignment="1">
      <alignment horizontal="left" indent="2"/>
    </xf>
    <xf numFmtId="0" fontId="6" fillId="0" borderId="1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indent="2"/>
    </xf>
    <xf numFmtId="0" fontId="6" fillId="2" borderId="7" xfId="0" applyFont="1" applyFill="1" applyBorder="1" applyAlignment="1">
      <alignment horizontal="left" indent="2"/>
    </xf>
    <xf numFmtId="0" fontId="12" fillId="2" borderId="7" xfId="0" applyFont="1" applyFill="1" applyBorder="1" applyAlignment="1">
      <alignment horizontal="left" indent="2"/>
    </xf>
    <xf numFmtId="0" fontId="12" fillId="2" borderId="0" xfId="0" applyFont="1" applyFill="1" applyAlignment="1">
      <alignment horizontal="left" indent="2"/>
    </xf>
    <xf numFmtId="0" fontId="12" fillId="2" borderId="7" xfId="0" applyFont="1" applyFill="1" applyBorder="1" applyAlignment="1">
      <alignment horizontal="left" indent="3"/>
    </xf>
    <xf numFmtId="0" fontId="13" fillId="2" borderId="7" xfId="0" applyFont="1" applyFill="1" applyBorder="1" applyAlignment="1">
      <alignment horizontal="left" indent="3"/>
    </xf>
    <xf numFmtId="0" fontId="14" fillId="2" borderId="0" xfId="0" applyFont="1" applyFill="1" applyAlignment="1">
      <alignment horizontal="left" indent="3"/>
    </xf>
    <xf numFmtId="0" fontId="15" fillId="0" borderId="3" xfId="0" applyFont="1" applyBorder="1" applyAlignment="1">
      <alignment wrapText="1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11" fillId="2" borderId="0" xfId="0" applyFont="1" applyFill="1"/>
    <xf numFmtId="0" fontId="8" fillId="2" borderId="0" xfId="0" applyFont="1" applyFill="1"/>
    <xf numFmtId="0" fontId="8" fillId="4" borderId="2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indent="1"/>
    </xf>
    <xf numFmtId="0" fontId="14" fillId="2" borderId="0" xfId="0" applyFont="1" applyFill="1" applyAlignment="1">
      <alignment horizontal="left" indent="1"/>
    </xf>
    <xf numFmtId="0" fontId="6" fillId="0" borderId="3" xfId="0" applyFont="1" applyBorder="1" applyAlignment="1">
      <alignment wrapText="1"/>
    </xf>
    <xf numFmtId="0" fontId="10" fillId="2" borderId="5" xfId="0" applyFont="1" applyFill="1" applyBorder="1"/>
    <xf numFmtId="0" fontId="16" fillId="2" borderId="0" xfId="1" applyFill="1" applyBorder="1" applyAlignment="1"/>
    <xf numFmtId="0" fontId="16" fillId="2" borderId="0" xfId="1" applyFill="1" applyBorder="1"/>
    <xf numFmtId="0" fontId="10" fillId="2" borderId="10" xfId="0" applyFont="1" applyFill="1" applyBorder="1"/>
    <xf numFmtId="0" fontId="6" fillId="2" borderId="11" xfId="0" applyFont="1" applyFill="1" applyBorder="1" applyAlignment="1">
      <alignment horizontal="left" indent="2"/>
    </xf>
    <xf numFmtId="0" fontId="12" fillId="2" borderId="11" xfId="0" applyFont="1" applyFill="1" applyBorder="1" applyAlignment="1">
      <alignment horizontal="left" indent="2"/>
    </xf>
    <xf numFmtId="0" fontId="6" fillId="2" borderId="11" xfId="0" applyFont="1" applyFill="1" applyBorder="1"/>
    <xf numFmtId="0" fontId="6" fillId="2" borderId="12" xfId="0" applyFont="1" applyFill="1" applyBorder="1"/>
    <xf numFmtId="0" fontId="7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0" fillId="0" borderId="1" xfId="0" applyBorder="1"/>
    <xf numFmtId="0" fontId="19" fillId="6" borderId="1" xfId="0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9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3" fillId="0" borderId="1" xfId="0" applyFont="1" applyBorder="1"/>
    <xf numFmtId="0" fontId="3" fillId="7" borderId="1" xfId="0" applyFont="1" applyFill="1" applyBorder="1"/>
    <xf numFmtId="0" fontId="3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0" borderId="14" xfId="0" applyBorder="1"/>
    <xf numFmtId="0" fontId="0" fillId="6" borderId="1" xfId="0" applyFill="1" applyBorder="1"/>
    <xf numFmtId="0" fontId="20" fillId="0" borderId="0" xfId="0" applyFont="1"/>
    <xf numFmtId="0" fontId="0" fillId="0" borderId="6" xfId="0" applyBorder="1"/>
    <xf numFmtId="0" fontId="0" fillId="0" borderId="16" xfId="0" applyBorder="1"/>
    <xf numFmtId="0" fontId="0" fillId="2" borderId="1" xfId="0" applyFill="1" applyBorder="1"/>
    <xf numFmtId="0" fontId="0" fillId="10" borderId="1" xfId="0" applyFill="1" applyBorder="1"/>
    <xf numFmtId="0" fontId="0" fillId="0" borderId="1" xfId="0" applyBorder="1" applyAlignment="1">
      <alignment horizontal="left"/>
    </xf>
    <xf numFmtId="0" fontId="3" fillId="0" borderId="1" xfId="2" applyBorder="1"/>
    <xf numFmtId="0" fontId="3" fillId="0" borderId="14" xfId="2" applyBorder="1"/>
    <xf numFmtId="0" fontId="3" fillId="0" borderId="2" xfId="0" applyFont="1" applyBorder="1"/>
    <xf numFmtId="0" fontId="3" fillId="0" borderId="14" xfId="2" applyBorder="1" applyAlignment="1">
      <alignment horizontal="left"/>
    </xf>
    <xf numFmtId="49" fontId="3" fillId="0" borderId="14" xfId="2" applyNumberFormat="1" applyBorder="1"/>
    <xf numFmtId="0" fontId="3" fillId="10" borderId="1" xfId="0" applyFont="1" applyFill="1" applyBorder="1"/>
    <xf numFmtId="0" fontId="21" fillId="11" borderId="0" xfId="3" applyFill="1"/>
    <xf numFmtId="0" fontId="21" fillId="0" borderId="0" xfId="3"/>
    <xf numFmtId="0" fontId="21" fillId="0" borderId="1" xfId="3" applyBorder="1"/>
    <xf numFmtId="0" fontId="21" fillId="12" borderId="1" xfId="3" applyFill="1" applyBorder="1"/>
    <xf numFmtId="0" fontId="21" fillId="13" borderId="1" xfId="3" applyFill="1" applyBorder="1"/>
    <xf numFmtId="0" fontId="0" fillId="12" borderId="1" xfId="0" applyFill="1" applyBorder="1"/>
    <xf numFmtId="0" fontId="3" fillId="6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12" fillId="2" borderId="0" xfId="0" applyFont="1" applyFill="1" applyAlignment="1">
      <alignment horizontal="left" wrapText="1"/>
    </xf>
    <xf numFmtId="0" fontId="12" fillId="2" borderId="7" xfId="0" applyFont="1" applyFill="1" applyBorder="1" applyAlignment="1">
      <alignment horizontal="left" wrapText="1" indent="2"/>
    </xf>
    <xf numFmtId="0" fontId="12" fillId="2" borderId="0" xfId="0" applyFont="1" applyFill="1" applyAlignment="1">
      <alignment horizontal="left" wrapText="1" indent="2"/>
    </xf>
    <xf numFmtId="0" fontId="12" fillId="2" borderId="11" xfId="0" applyFont="1" applyFill="1" applyBorder="1" applyAlignment="1">
      <alignment horizontal="left" wrapText="1" indent="2"/>
    </xf>
    <xf numFmtId="0" fontId="19" fillId="0" borderId="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3" fillId="0" borderId="1" xfId="0" applyNumberFormat="1" applyFont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167" fontId="24" fillId="0" borderId="1" xfId="4" applyNumberFormat="1" applyFont="1" applyBorder="1" applyAlignment="1"/>
    <xf numFmtId="9" fontId="24" fillId="0" borderId="1" xfId="0" applyNumberFormat="1" applyFont="1" applyBorder="1" applyAlignment="1">
      <alignment horizontal="center"/>
    </xf>
    <xf numFmtId="0" fontId="24" fillId="0" borderId="1" xfId="0" applyFont="1" applyBorder="1"/>
    <xf numFmtId="164" fontId="25" fillId="0" borderId="1" xfId="0" applyNumberFormat="1" applyFont="1" applyBorder="1" applyAlignment="1">
      <alignment horizontal="center" vertical="center"/>
    </xf>
    <xf numFmtId="164" fontId="25" fillId="0" borderId="1" xfId="0" applyNumberFormat="1" applyFont="1" applyBorder="1" applyAlignment="1">
      <alignment horizontal="center" vertical="center"/>
    </xf>
    <xf numFmtId="0" fontId="0" fillId="0" borderId="2" xfId="0" applyBorder="1"/>
    <xf numFmtId="167" fontId="24" fillId="0" borderId="1" xfId="4" applyNumberFormat="1" applyFont="1" applyBorder="1" applyAlignment="1">
      <alignment horizontal="center" vertical="center"/>
    </xf>
    <xf numFmtId="9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5" fontId="26" fillId="6" borderId="17" xfId="0" applyNumberFormat="1" applyFont="1" applyFill="1" applyBorder="1"/>
    <xf numFmtId="165" fontId="24" fillId="0" borderId="1" xfId="4" applyNumberFormat="1" applyFont="1" applyBorder="1" applyAlignment="1">
      <alignment horizontal="center" vertical="center"/>
    </xf>
    <xf numFmtId="165" fontId="24" fillId="0" borderId="1" xfId="4" applyNumberFormat="1" applyFont="1" applyBorder="1"/>
    <xf numFmtId="0" fontId="9" fillId="14" borderId="2" xfId="0" applyFont="1" applyFill="1" applyBorder="1" applyAlignment="1">
      <alignment horizontal="right" vertical="center"/>
    </xf>
    <xf numFmtId="0" fontId="9" fillId="14" borderId="14" xfId="0" applyFont="1" applyFill="1" applyBorder="1" applyAlignment="1">
      <alignment horizontal="right" vertical="center"/>
    </xf>
    <xf numFmtId="168" fontId="9" fillId="0" borderId="1" xfId="0" applyNumberFormat="1" applyFont="1" applyBorder="1" applyAlignment="1">
      <alignment vertical="center"/>
    </xf>
    <xf numFmtId="169" fontId="25" fillId="0" borderId="0" xfId="0" applyNumberFormat="1" applyFont="1" applyBorder="1" applyAlignment="1">
      <alignment horizontal="center" vertical="center"/>
    </xf>
    <xf numFmtId="9" fontId="25" fillId="0" borderId="0" xfId="0" applyNumberFormat="1" applyFont="1" applyBorder="1" applyAlignment="1">
      <alignment horizontal="center" vertical="center"/>
    </xf>
    <xf numFmtId="164" fontId="25" fillId="0" borderId="0" xfId="0" applyNumberFormat="1" applyFont="1" applyBorder="1" applyAlignment="1">
      <alignment horizontal="center" vertical="center"/>
    </xf>
    <xf numFmtId="0" fontId="9" fillId="8" borderId="2" xfId="0" applyFont="1" applyFill="1" applyBorder="1" applyAlignment="1">
      <alignment horizontal="right" vertical="center"/>
    </xf>
    <xf numFmtId="0" fontId="9" fillId="8" borderId="14" xfId="0" applyFont="1" applyFill="1" applyBorder="1" applyAlignment="1">
      <alignment horizontal="right" vertical="center"/>
    </xf>
    <xf numFmtId="169" fontId="25" fillId="0" borderId="1" xfId="0" applyNumberFormat="1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24" fillId="0" borderId="0" xfId="0" applyFont="1"/>
    <xf numFmtId="0" fontId="1" fillId="6" borderId="1" xfId="0" applyFont="1" applyFill="1" applyBorder="1"/>
  </cellXfs>
  <cellStyles count="5">
    <cellStyle name="Currency" xfId="4" builtinId="4"/>
    <cellStyle name="Hyperlink 2" xfId="1"/>
    <cellStyle name="Normal" xfId="0" builtinId="0"/>
    <cellStyle name="Normal 2" xfId="2"/>
    <cellStyle name="Normal 2 2" xfId="3"/>
  </cellStyles>
  <dxfs count="6"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abSelected="1" topLeftCell="G2" zoomScale="96" zoomScaleNormal="96" workbookViewId="0">
      <selection activeCell="N16" sqref="N16"/>
    </sheetView>
  </sheetViews>
  <sheetFormatPr defaultColWidth="9" defaultRowHeight="15"/>
  <cols>
    <col min="1" max="1" width="34.7109375" customWidth="1"/>
    <col min="2" max="2" width="22.28515625" customWidth="1"/>
    <col min="3" max="3" width="8.28515625" customWidth="1"/>
    <col min="4" max="4" width="19.7109375" customWidth="1"/>
    <col min="5" max="5" width="20.42578125" customWidth="1"/>
    <col min="6" max="6" width="57" customWidth="1"/>
    <col min="7" max="7" width="28" customWidth="1"/>
    <col min="8" max="8" width="27.7109375" hidden="1" customWidth="1"/>
    <col min="9" max="9" width="31.85546875" hidden="1" customWidth="1"/>
    <col min="10" max="10" width="27.7109375" hidden="1" customWidth="1"/>
    <col min="11" max="11" width="27.7109375" customWidth="1"/>
    <col min="12" max="13" width="13.7109375" customWidth="1"/>
    <col min="14" max="14" width="12" customWidth="1"/>
    <col min="15" max="15" width="11.7109375" customWidth="1"/>
    <col min="17" max="17" width="10.140625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97" t="s">
        <v>297</v>
      </c>
      <c r="M1" s="97" t="s">
        <v>193</v>
      </c>
      <c r="N1" s="98" t="s">
        <v>298</v>
      </c>
      <c r="O1" s="99" t="s">
        <v>299</v>
      </c>
      <c r="P1" s="100" t="s">
        <v>300</v>
      </c>
      <c r="Q1" s="98" t="s">
        <v>301</v>
      </c>
    </row>
    <row r="2" spans="1:17">
      <c r="A2" s="49" t="str">
        <f>$D$2</f>
        <v>DPLR08N30</v>
      </c>
      <c r="B2" s="49" t="s">
        <v>286</v>
      </c>
      <c r="C2" s="49" t="s">
        <v>189</v>
      </c>
      <c r="D2" s="84" t="s">
        <v>296</v>
      </c>
      <c r="E2" s="49">
        <v>1</v>
      </c>
      <c r="F2" s="78" t="str">
        <f>'Backend data'!C6</f>
        <v>HS Trim Spot Light 114x81mm White (Yuanchi) DPLR8W</v>
      </c>
      <c r="G2" s="87">
        <v>1</v>
      </c>
      <c r="H2" s="49" t="s">
        <v>252</v>
      </c>
      <c r="I2" s="49" t="s">
        <v>9</v>
      </c>
      <c r="J2" s="49"/>
      <c r="K2" s="106"/>
      <c r="L2" s="111">
        <f>Q2*87</f>
        <v>528.52499999999998</v>
      </c>
      <c r="M2" s="111">
        <f>G2*L2</f>
        <v>528.52499999999998</v>
      </c>
      <c r="N2" s="107">
        <v>4.05</v>
      </c>
      <c r="O2" s="108">
        <v>0.5</v>
      </c>
      <c r="P2" s="109"/>
      <c r="Q2" s="105">
        <f>N2+(N2*(O2+P2))</f>
        <v>6.0749999999999993</v>
      </c>
    </row>
    <row r="3" spans="1:17">
      <c r="A3" s="49"/>
      <c r="B3" s="49"/>
      <c r="C3" s="49"/>
      <c r="D3" s="49"/>
      <c r="E3" s="49"/>
      <c r="F3" s="85" t="s">
        <v>253</v>
      </c>
      <c r="G3" s="87">
        <v>1</v>
      </c>
      <c r="H3" s="49" t="s">
        <v>252</v>
      </c>
      <c r="I3" s="49" t="s">
        <v>9</v>
      </c>
      <c r="J3" s="49"/>
      <c r="K3" s="106"/>
      <c r="L3" s="111"/>
      <c r="M3" s="111"/>
      <c r="N3" s="107"/>
      <c r="O3" s="108"/>
      <c r="P3" s="109"/>
      <c r="Q3" s="105"/>
    </row>
    <row r="4" spans="1:17">
      <c r="A4" s="49"/>
      <c r="B4" s="49"/>
      <c r="C4" s="49"/>
      <c r="D4" s="49"/>
      <c r="E4" s="49"/>
      <c r="F4" s="66" t="str">
        <f>'Backend data'!F6</f>
        <v>Lens-O-28.8 H-14.5 L-9.6mm 15°-PC DPL08W</v>
      </c>
      <c r="G4" s="87">
        <v>1</v>
      </c>
      <c r="H4" s="49" t="s">
        <v>252</v>
      </c>
      <c r="I4" s="49" t="s">
        <v>9</v>
      </c>
      <c r="J4" s="49"/>
      <c r="K4" s="106"/>
      <c r="L4" s="111"/>
      <c r="M4" s="111"/>
      <c r="N4" s="107"/>
      <c r="O4" s="108"/>
      <c r="P4" s="109"/>
      <c r="Q4" s="105"/>
    </row>
    <row r="5" spans="1:17">
      <c r="A5" s="49"/>
      <c r="B5" s="49"/>
      <c r="C5" s="49"/>
      <c r="D5" s="49"/>
      <c r="E5" s="49"/>
      <c r="F5" s="85" t="s">
        <v>254</v>
      </c>
      <c r="G5" s="87">
        <v>1</v>
      </c>
      <c r="H5" s="49" t="s">
        <v>252</v>
      </c>
      <c r="I5" s="49" t="s">
        <v>9</v>
      </c>
      <c r="J5" s="49"/>
      <c r="K5" s="106"/>
      <c r="L5" s="111"/>
      <c r="M5" s="111"/>
      <c r="N5" s="107"/>
      <c r="O5" s="108"/>
      <c r="P5" s="109"/>
      <c r="Q5" s="105"/>
    </row>
    <row r="6" spans="1:17">
      <c r="A6" s="49"/>
      <c r="B6" s="49"/>
      <c r="C6" s="49"/>
      <c r="D6" s="49"/>
      <c r="E6" s="49"/>
      <c r="F6" s="85" t="s">
        <v>255</v>
      </c>
      <c r="G6" s="87">
        <v>1</v>
      </c>
      <c r="H6" s="49" t="s">
        <v>252</v>
      </c>
      <c r="I6" s="49" t="s">
        <v>9</v>
      </c>
      <c r="J6" s="49"/>
      <c r="K6" s="106"/>
      <c r="L6" s="111"/>
      <c r="M6" s="111"/>
      <c r="N6" s="107"/>
      <c r="O6" s="108"/>
      <c r="P6" s="109"/>
      <c r="Q6" s="105"/>
    </row>
    <row r="7" spans="1:17">
      <c r="A7" s="49"/>
      <c r="B7" s="49"/>
      <c r="C7" s="49"/>
      <c r="D7" s="49"/>
      <c r="E7" s="49"/>
      <c r="F7" s="85" t="s">
        <v>256</v>
      </c>
      <c r="G7" s="87">
        <v>1</v>
      </c>
      <c r="H7" s="49" t="s">
        <v>252</v>
      </c>
      <c r="I7" s="49" t="s">
        <v>9</v>
      </c>
      <c r="J7" s="49"/>
      <c r="K7" s="106"/>
      <c r="L7" s="111"/>
      <c r="M7" s="111"/>
      <c r="N7" s="107"/>
      <c r="O7" s="108"/>
      <c r="P7" s="109"/>
      <c r="Q7" s="105"/>
    </row>
    <row r="8" spans="1:17">
      <c r="A8" s="49"/>
      <c r="B8" s="49"/>
      <c r="C8" s="49"/>
      <c r="D8" s="49"/>
      <c r="E8" s="49"/>
      <c r="F8" s="85" t="s">
        <v>257</v>
      </c>
      <c r="G8" s="87">
        <v>1</v>
      </c>
      <c r="H8" s="49" t="s">
        <v>252</v>
      </c>
      <c r="I8" s="49" t="s">
        <v>9</v>
      </c>
      <c r="J8" s="49"/>
      <c r="K8" s="106"/>
      <c r="L8" s="111"/>
      <c r="M8" s="111"/>
      <c r="N8" s="107"/>
      <c r="O8" s="108"/>
      <c r="P8" s="109"/>
      <c r="Q8" s="105"/>
    </row>
    <row r="9" spans="1:17">
      <c r="A9" s="49"/>
      <c r="B9" s="49"/>
      <c r="C9" s="49"/>
      <c r="D9" s="49"/>
      <c r="E9" s="49"/>
      <c r="F9" s="85" t="s">
        <v>258</v>
      </c>
      <c r="G9" s="87">
        <v>1</v>
      </c>
      <c r="H9" s="49" t="s">
        <v>252</v>
      </c>
      <c r="I9" s="49" t="s">
        <v>9</v>
      </c>
      <c r="J9" s="49"/>
      <c r="K9" s="106"/>
      <c r="L9" s="111"/>
      <c r="M9" s="111"/>
      <c r="N9" s="107"/>
      <c r="O9" s="108"/>
      <c r="P9" s="109"/>
      <c r="Q9" s="105"/>
    </row>
    <row r="10" spans="1:17">
      <c r="A10" s="49"/>
      <c r="B10" s="49"/>
      <c r="C10" s="49"/>
      <c r="D10" s="49"/>
      <c r="E10" s="49"/>
      <c r="F10" s="85" t="s">
        <v>259</v>
      </c>
      <c r="G10" s="87">
        <v>1</v>
      </c>
      <c r="H10" s="49" t="s">
        <v>252</v>
      </c>
      <c r="I10" s="49" t="s">
        <v>9</v>
      </c>
      <c r="J10" s="49"/>
      <c r="K10" s="106"/>
      <c r="L10" s="111"/>
      <c r="M10" s="111"/>
      <c r="N10" s="107"/>
      <c r="O10" s="108"/>
      <c r="P10" s="109"/>
      <c r="Q10" s="105"/>
    </row>
    <row r="11" spans="1:17">
      <c r="A11" s="49"/>
      <c r="B11" s="49"/>
      <c r="C11" s="49"/>
      <c r="D11" s="49"/>
      <c r="E11" s="49"/>
      <c r="F11" s="66" t="str">
        <f>'Backend data'!D6</f>
        <v>Mounting Clip-L-41 H-28.5 T-0.2mm-SS DPL08W</v>
      </c>
      <c r="G11" s="87">
        <v>2</v>
      </c>
      <c r="H11" s="49" t="s">
        <v>252</v>
      </c>
      <c r="I11" s="49" t="s">
        <v>9</v>
      </c>
      <c r="J11" s="49"/>
      <c r="K11" s="106"/>
      <c r="L11" s="111"/>
      <c r="M11" s="111"/>
      <c r="N11" s="107"/>
      <c r="O11" s="108"/>
      <c r="P11" s="109"/>
      <c r="Q11" s="105"/>
    </row>
    <row r="12" spans="1:17">
      <c r="A12" s="49"/>
      <c r="B12" s="49"/>
      <c r="C12" s="49"/>
      <c r="D12" s="49"/>
      <c r="E12" s="49"/>
      <c r="F12" s="66" t="s">
        <v>260</v>
      </c>
      <c r="G12" s="87">
        <v>1</v>
      </c>
      <c r="H12" s="49" t="s">
        <v>252</v>
      </c>
      <c r="I12" s="49" t="s">
        <v>9</v>
      </c>
      <c r="J12" s="49"/>
      <c r="K12" s="106"/>
      <c r="L12" s="111"/>
      <c r="M12" s="111"/>
      <c r="N12" s="107"/>
      <c r="O12" s="108"/>
      <c r="P12" s="109"/>
      <c r="Q12" s="105"/>
    </row>
    <row r="13" spans="1:17">
      <c r="A13" s="49"/>
      <c r="B13" s="49"/>
      <c r="C13" s="49"/>
      <c r="D13" s="49"/>
      <c r="E13" s="49"/>
      <c r="F13" s="66" t="s">
        <v>261</v>
      </c>
      <c r="G13" s="87">
        <v>1</v>
      </c>
      <c r="H13" s="49" t="s">
        <v>252</v>
      </c>
      <c r="I13" s="49" t="s">
        <v>9</v>
      </c>
      <c r="J13" s="49"/>
      <c r="K13" s="106"/>
      <c r="L13" s="111"/>
      <c r="M13" s="111"/>
      <c r="N13" s="107"/>
      <c r="O13" s="108"/>
      <c r="P13" s="109"/>
      <c r="Q13" s="105"/>
    </row>
    <row r="14" spans="1:17">
      <c r="A14" s="49"/>
      <c r="B14" s="49"/>
      <c r="C14" s="49"/>
      <c r="D14" s="49"/>
      <c r="E14" s="49"/>
      <c r="F14" s="66" t="s">
        <v>263</v>
      </c>
      <c r="G14" s="87">
        <v>1</v>
      </c>
      <c r="H14" s="49" t="s">
        <v>252</v>
      </c>
      <c r="I14" s="49" t="s">
        <v>9</v>
      </c>
      <c r="J14" s="49"/>
      <c r="K14" s="106"/>
      <c r="L14" s="111"/>
      <c r="M14" s="111"/>
      <c r="N14" s="107"/>
      <c r="O14" s="108"/>
      <c r="P14" s="109"/>
      <c r="Q14" s="105"/>
    </row>
    <row r="15" spans="1:17">
      <c r="A15" s="49"/>
      <c r="B15" s="49"/>
      <c r="C15" s="49"/>
      <c r="D15" s="49"/>
      <c r="E15" s="49"/>
      <c r="F15" s="125" t="s">
        <v>264</v>
      </c>
      <c r="G15" s="87">
        <v>0.08</v>
      </c>
      <c r="H15" s="49" t="s">
        <v>252</v>
      </c>
      <c r="I15" s="49" t="s">
        <v>9</v>
      </c>
      <c r="K15" s="49"/>
      <c r="L15" s="111"/>
      <c r="M15" s="111"/>
      <c r="N15" s="107"/>
      <c r="O15" s="108"/>
      <c r="P15" s="109"/>
      <c r="Q15" s="105"/>
    </row>
    <row r="16" spans="1:17">
      <c r="A16" s="49"/>
      <c r="B16" s="49"/>
      <c r="C16" s="49"/>
      <c r="D16" s="49"/>
      <c r="E16" s="49"/>
      <c r="F16" s="49" t="s">
        <v>287</v>
      </c>
      <c r="G16" s="87">
        <v>4</v>
      </c>
      <c r="H16" s="49" t="s">
        <v>252</v>
      </c>
      <c r="I16" s="49" t="s">
        <v>9</v>
      </c>
      <c r="J16" s="49"/>
      <c r="K16" s="49"/>
      <c r="L16" s="112">
        <v>0.6</v>
      </c>
      <c r="M16" s="112">
        <f t="shared" ref="M16:M19" si="0">G16*L16</f>
        <v>2.4</v>
      </c>
      <c r="N16" s="101">
        <v>0</v>
      </c>
      <c r="O16" s="102">
        <v>0.5</v>
      </c>
      <c r="P16" s="103"/>
      <c r="Q16" s="104">
        <f t="shared" ref="Q16:Q19" si="1">N16+(N16*(O16+P16))</f>
        <v>0</v>
      </c>
    </row>
    <row r="17" spans="1:18">
      <c r="A17" s="49"/>
      <c r="B17" s="49"/>
      <c r="C17" s="49"/>
      <c r="D17" s="49"/>
      <c r="E17" s="49"/>
      <c r="F17" s="49" t="s">
        <v>288</v>
      </c>
      <c r="G17" s="87">
        <v>2</v>
      </c>
      <c r="H17" s="49" t="s">
        <v>252</v>
      </c>
      <c r="I17" s="49" t="s">
        <v>9</v>
      </c>
      <c r="J17" s="49"/>
      <c r="K17" s="49"/>
      <c r="L17" s="112">
        <v>0.57999999999999996</v>
      </c>
      <c r="M17" s="112">
        <f t="shared" si="0"/>
        <v>1.1599999999999999</v>
      </c>
      <c r="N17" s="101">
        <v>0</v>
      </c>
      <c r="O17" s="102">
        <v>0.5</v>
      </c>
      <c r="P17" s="103"/>
      <c r="Q17" s="104">
        <f t="shared" si="1"/>
        <v>0</v>
      </c>
    </row>
    <row r="18" spans="1:18">
      <c r="A18" s="49"/>
      <c r="B18" s="49"/>
      <c r="C18" s="49"/>
      <c r="D18" s="49"/>
      <c r="E18" s="49"/>
      <c r="F18" s="71" t="str">
        <f>'Backend data'!G6</f>
        <v>COB 12&amp;15W 3000K 12LED 36V 350mA 13.5x13.5mm CRI-90</v>
      </c>
      <c r="G18" s="87">
        <v>1</v>
      </c>
      <c r="H18" s="49" t="s">
        <v>262</v>
      </c>
      <c r="I18" s="49" t="s">
        <v>9</v>
      </c>
      <c r="J18" s="49"/>
      <c r="K18" s="49"/>
      <c r="L18" s="112">
        <f t="shared" ref="L16:L19" si="2">Q18*87</f>
        <v>41.76</v>
      </c>
      <c r="M18" s="112">
        <f t="shared" si="0"/>
        <v>41.76</v>
      </c>
      <c r="N18" s="101">
        <v>0.32</v>
      </c>
      <c r="O18" s="102">
        <v>0.5</v>
      </c>
      <c r="P18" s="103"/>
      <c r="Q18" s="104">
        <f t="shared" si="1"/>
        <v>0.48</v>
      </c>
    </row>
    <row r="19" spans="1:18">
      <c r="A19" s="49"/>
      <c r="B19" s="49"/>
      <c r="C19" s="49"/>
      <c r="D19" s="49"/>
      <c r="E19" s="49"/>
      <c r="F19" s="78" t="str">
        <f>'Backend data'!H6</f>
        <v>PS 8W 200MA 36V LPF (PCB MT43-8-12W-V2 LPF)</v>
      </c>
      <c r="G19" s="87">
        <v>1</v>
      </c>
      <c r="H19" s="49" t="s">
        <v>252</v>
      </c>
      <c r="I19" s="49" t="s">
        <v>9</v>
      </c>
      <c r="J19" s="49"/>
      <c r="K19" s="49"/>
      <c r="L19" s="112"/>
      <c r="M19" s="112"/>
      <c r="N19" s="124" t="s">
        <v>304</v>
      </c>
    </row>
    <row r="20" spans="1:18" ht="23.25" customHeight="1" thickBot="1">
      <c r="M20" s="110">
        <f>SUM(M2:M19)</f>
        <v>573.84499999999991</v>
      </c>
    </row>
    <row r="21" spans="1:18" ht="15.75" thickTop="1"/>
    <row r="22" spans="1:18" ht="21.75" customHeight="1">
      <c r="K22" s="113" t="s">
        <v>303</v>
      </c>
      <c r="L22" s="114"/>
      <c r="M22" s="115">
        <f>M20+42</f>
        <v>615.84499999999991</v>
      </c>
      <c r="N22" s="116"/>
      <c r="O22" s="117"/>
      <c r="P22" s="117"/>
      <c r="Q22" s="118"/>
    </row>
    <row r="23" spans="1:18" ht="21.75" customHeight="1">
      <c r="K23" s="119" t="s">
        <v>302</v>
      </c>
      <c r="L23" s="120"/>
      <c r="M23" s="115">
        <f>((M20)+(Q23*87))</f>
        <v>1231.5650000000001</v>
      </c>
      <c r="N23" s="121">
        <v>5.04</v>
      </c>
      <c r="O23" s="122">
        <v>0.5</v>
      </c>
      <c r="P23" s="122"/>
      <c r="Q23" s="104">
        <f>N23+(N23*(O23+P23))</f>
        <v>7.5600000000000005</v>
      </c>
      <c r="R23">
        <f>Q23*87</f>
        <v>657.72</v>
      </c>
    </row>
  </sheetData>
  <mergeCells count="8">
    <mergeCell ref="Q2:Q15"/>
    <mergeCell ref="K22:L22"/>
    <mergeCell ref="K23:L23"/>
    <mergeCell ref="L2:L15"/>
    <mergeCell ref="M2:M15"/>
    <mergeCell ref="N2:N15"/>
    <mergeCell ref="O2:O15"/>
    <mergeCell ref="P2:P15"/>
  </mergeCells>
  <conditionalFormatting sqref="F1 F23:F1048576">
    <cfRule type="containsText" dxfId="4" priority="11" operator="containsText" text="PS-">
      <formula>NOT(ISERROR(SEARCH("PS-",F1)))</formula>
    </cfRule>
    <cfRule type="containsText" dxfId="3" priority="14" operator="containsText" text="COB-">
      <formula>NOT(ISERROR(SEARCH("COB-",F1)))</formula>
    </cfRule>
    <cfRule type="containsText" dxfId="2" priority="16" operator="containsText" text="TRIM">
      <formula>NOT(ISERROR(SEARCH("TRIM",F1)))</formula>
    </cfRule>
  </conditionalFormatting>
  <conditionalFormatting sqref="F1:G1 F23:G1048576 G16:G19 G2:G10">
    <cfRule type="containsText" dxfId="1" priority="10" operator="containsText" text="REFLECTOR">
      <formula>NOT(ISERROR(SEARCH("REFLECTOR",F1)))</formula>
    </cfRule>
  </conditionalFormatting>
  <conditionalFormatting sqref="G14">
    <cfRule type="containsText" dxfId="5" priority="2" operator="containsText" text="REFLECTOR">
      <formula>NOT(ISERROR(SEARCH("REFLECTOR",G14)))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F23:G1048576 G16:G19 F1:G1 G2:G10 G14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'DPL08-SKU (Seprate N,M)'!$C$2:$C$21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89" t="s">
        <v>20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</row>
    <row r="6" spans="1:17" ht="12.6" customHeight="1">
      <c r="A6" s="16" t="s">
        <v>21</v>
      </c>
      <c r="B6" s="12" t="s">
        <v>15</v>
      </c>
      <c r="C6" s="13"/>
      <c r="E6" s="89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1"/>
    </row>
    <row r="7" spans="1:17" ht="12.6" customHeight="1">
      <c r="A7" s="16" t="s">
        <v>22</v>
      </c>
      <c r="B7" s="12" t="s">
        <v>15</v>
      </c>
      <c r="C7" s="13"/>
      <c r="E7" s="89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</row>
    <row r="8" spans="1:17" ht="12.6" customHeight="1">
      <c r="A8" s="16" t="s">
        <v>23</v>
      </c>
      <c r="B8" s="12" t="s">
        <v>15</v>
      </c>
      <c r="C8" s="13"/>
      <c r="E8" s="89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1"/>
    </row>
    <row r="9" spans="1:17" ht="12.95" customHeight="1">
      <c r="A9" s="16" t="s">
        <v>24</v>
      </c>
      <c r="B9" s="12" t="s">
        <v>15</v>
      </c>
      <c r="C9" s="13"/>
      <c r="E9" s="89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1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</row>
    <row r="20" spans="1:17" ht="25.5">
      <c r="A20" s="16" t="s">
        <v>40</v>
      </c>
      <c r="B20" s="12" t="s">
        <v>15</v>
      </c>
      <c r="C20" s="13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</row>
    <row r="21" spans="1:17">
      <c r="A21" s="16" t="s">
        <v>41</v>
      </c>
      <c r="B21" s="12" t="s">
        <v>15</v>
      </c>
      <c r="C21" s="13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</row>
    <row r="22" spans="1:17">
      <c r="A22" s="6" t="s">
        <v>42</v>
      </c>
      <c r="B22" s="30"/>
      <c r="C22" s="31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X13" workbookViewId="0">
      <selection activeCell="AB24" sqref="AB24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10.85546875" customWidth="1"/>
    <col min="5" max="5" width="10.42578125" bestFit="1" customWidth="1"/>
    <col min="6" max="6" width="11.85546875" bestFit="1" customWidth="1"/>
    <col min="7" max="7" width="29.5703125" customWidth="1"/>
    <col min="8" max="8" width="46" style="51" customWidth="1"/>
    <col min="9" max="9" width="12.7109375" customWidth="1"/>
    <col min="11" max="11" width="2.7109375" customWidth="1"/>
    <col min="13" max="13" width="55.42578125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49.42578125" style="51" bestFit="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194</v>
      </c>
      <c r="D2" s="61" t="s">
        <v>202</v>
      </c>
      <c r="E2" s="55" t="s">
        <v>195</v>
      </c>
      <c r="F2" s="55" t="s">
        <v>196</v>
      </c>
      <c r="G2" s="55" t="s">
        <v>198</v>
      </c>
      <c r="H2" s="54" t="s">
        <v>197</v>
      </c>
      <c r="I2" s="62" t="s">
        <v>203</v>
      </c>
    </row>
    <row r="3" spans="2:9">
      <c r="C3" s="63" t="str">
        <f>MID('Stock Item'!$D$2,4,1)</f>
        <v>R</v>
      </c>
      <c r="D3" s="52" t="str">
        <f>MID('Stock Item'!$D$2,6,2)</f>
        <v>8N</v>
      </c>
      <c r="E3" s="63" t="str">
        <f>MID('Stock Item'!$D$2,3,1)</f>
        <v>L</v>
      </c>
      <c r="F3" s="63" t="str">
        <f>MID('Stock Item'!$D$2,7,1)</f>
        <v>N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P</v>
      </c>
    </row>
    <row r="4" spans="2:9">
      <c r="D4" s="64" t="str">
        <f>CONCATENATE(C3)</f>
        <v>R</v>
      </c>
      <c r="G4" s="64" t="str">
        <f>CONCATENATE($F$3,$G$3)</f>
        <v>N30</v>
      </c>
      <c r="H4" s="51" t="str">
        <f>CONCATENATE("-",H3)</f>
        <v>-</v>
      </c>
    </row>
    <row r="5" spans="2:9">
      <c r="H5" s="51" t="str">
        <f>CONCATENATE('Stock Item'!D2)</f>
        <v>DPLR08N30</v>
      </c>
    </row>
    <row r="6" spans="2:9">
      <c r="B6" s="54" t="s">
        <v>199</v>
      </c>
      <c r="C6" s="58" t="str">
        <f>VLOOKUP($C$3,$B$23:$E$72,2,0)</f>
        <v>HS Trim Spot Light 114x81mm White (Yuanchi) DPLR8W</v>
      </c>
      <c r="D6" s="57" t="str">
        <f>VLOOKUP($D$4,G23:$J$100,2,0)</f>
        <v>Mounting Clip-L-41 H-28.5 T-0.2mm-SS DPL08W</v>
      </c>
      <c r="E6" s="57" t="e">
        <f>VLOOKUP($E$3,$L$23:$O$72,2,0)</f>
        <v>#N/A</v>
      </c>
      <c r="F6" s="57" t="str">
        <f>VLOOKUP($F$3,$Q$23:$T$72,2,0)</f>
        <v>Lens-O-28.8 H-14.5 L-9.6mm 15°-PC DPL08W</v>
      </c>
      <c r="G6" s="57" t="str">
        <f>VLOOKUP($G$4,$V$23:$Y$72,2,0)</f>
        <v>COB 12&amp;15W 3000K 12LED 36V 350mA 13.5x13.5mm CRI-90</v>
      </c>
      <c r="H6" s="56" t="str">
        <f>VLOOKUP($H$4,$AA$23:$AD$72,2,0)</f>
        <v>PS 8W 200MA 36V LPF (PCB MT43-8-12W-V2 LPF)</v>
      </c>
      <c r="I6" s="56" t="e">
        <f>VLOOKUP($I$3,AF23:$AI$100,2,0)</f>
        <v>#N/A</v>
      </c>
    </row>
    <row r="7" spans="2:9" ht="30">
      <c r="B7" s="54" t="s">
        <v>200</v>
      </c>
      <c r="C7" s="58">
        <f>VLOOKUP($C$3,$B$23:$E$72,4,0)</f>
        <v>0</v>
      </c>
      <c r="D7" s="57">
        <f>VLOOKUP($D$4,G23:$J$100,4,0)</f>
        <v>0</v>
      </c>
      <c r="E7" s="57" t="e">
        <f>VLOOKUP($E$3,$L$23:$O$72,4,0)</f>
        <v>#N/A</v>
      </c>
      <c r="F7" s="57">
        <f>VLOOKUP($F$3,$Q$23:$T$72,4,0)</f>
        <v>0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201</v>
      </c>
      <c r="C8" s="58">
        <f>VLOOKUP($C$3,$B$23:$E$72,3,0)</f>
        <v>0</v>
      </c>
      <c r="D8" s="57">
        <f>VLOOKUP($D$4,G23:$J$100,3,0)</f>
        <v>0</v>
      </c>
      <c r="E8" s="57" t="e">
        <f>VLOOKUP($E$3,$L$23:$O$72,3,0)</f>
        <v>#N/A</v>
      </c>
      <c r="F8" s="57">
        <f>VLOOKUP($F$3,$Q$23:$T$72,3,0)</f>
        <v>0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7" t="s">
        <v>204</v>
      </c>
    </row>
    <row r="19" spans="2:35" ht="13.9" customHeight="1"/>
    <row r="21" spans="2:35">
      <c r="B21" s="95" t="s">
        <v>194</v>
      </c>
      <c r="C21" s="96"/>
      <c r="D21" s="96"/>
      <c r="E21" s="96"/>
      <c r="G21" s="95" t="s">
        <v>280</v>
      </c>
      <c r="H21" s="96"/>
      <c r="I21" s="96"/>
      <c r="J21" s="96"/>
      <c r="L21" s="95" t="s">
        <v>195</v>
      </c>
      <c r="M21" s="96"/>
      <c r="N21" s="96"/>
      <c r="O21" s="96"/>
      <c r="Q21" s="95" t="s">
        <v>196</v>
      </c>
      <c r="R21" s="96"/>
      <c r="S21" s="96"/>
      <c r="T21" s="96"/>
      <c r="V21" s="95" t="s">
        <v>205</v>
      </c>
      <c r="W21" s="96"/>
      <c r="X21" s="96"/>
      <c r="Y21" s="96"/>
      <c r="AA21" s="92" t="s">
        <v>197</v>
      </c>
      <c r="AB21" s="93"/>
      <c r="AC21" s="93"/>
      <c r="AD21" s="94"/>
      <c r="AF21" s="92" t="s">
        <v>203</v>
      </c>
      <c r="AG21" s="93"/>
      <c r="AH21" s="93"/>
      <c r="AI21" s="94"/>
    </row>
    <row r="22" spans="2:35">
      <c r="B22" s="50" t="s">
        <v>190</v>
      </c>
      <c r="C22" s="53" t="s">
        <v>191</v>
      </c>
      <c r="D22" s="50" t="s">
        <v>192</v>
      </c>
      <c r="E22" s="50" t="s">
        <v>193</v>
      </c>
      <c r="G22" s="50" t="s">
        <v>190</v>
      </c>
      <c r="H22" s="53" t="s">
        <v>191</v>
      </c>
      <c r="I22" s="50" t="s">
        <v>192</v>
      </c>
      <c r="J22" s="50" t="s">
        <v>193</v>
      </c>
      <c r="L22" s="50" t="s">
        <v>190</v>
      </c>
      <c r="M22" s="53" t="s">
        <v>191</v>
      </c>
      <c r="N22" s="50" t="s">
        <v>192</v>
      </c>
      <c r="O22" s="50" t="s">
        <v>193</v>
      </c>
      <c r="Q22" s="50" t="s">
        <v>190</v>
      </c>
      <c r="R22" s="53" t="s">
        <v>191</v>
      </c>
      <c r="S22" s="50" t="s">
        <v>192</v>
      </c>
      <c r="T22" s="50" t="s">
        <v>193</v>
      </c>
      <c r="V22" s="50" t="s">
        <v>190</v>
      </c>
      <c r="W22" s="50" t="s">
        <v>191</v>
      </c>
      <c r="X22" s="50" t="s">
        <v>192</v>
      </c>
      <c r="Y22" s="50" t="s">
        <v>193</v>
      </c>
      <c r="AA22" s="50" t="s">
        <v>190</v>
      </c>
      <c r="AB22" s="53" t="s">
        <v>191</v>
      </c>
      <c r="AC22" s="50" t="s">
        <v>192</v>
      </c>
      <c r="AD22" s="50" t="s">
        <v>193</v>
      </c>
      <c r="AF22" s="50" t="s">
        <v>190</v>
      </c>
      <c r="AG22" s="50" t="s">
        <v>191</v>
      </c>
      <c r="AH22" s="50" t="s">
        <v>192</v>
      </c>
      <c r="AI22" s="50" t="s">
        <v>193</v>
      </c>
    </row>
    <row r="23" spans="2:35">
      <c r="B23" s="73" t="s">
        <v>265</v>
      </c>
      <c r="C23" s="86" t="s">
        <v>266</v>
      </c>
      <c r="D23" s="70"/>
      <c r="E23" s="70"/>
      <c r="G23" s="74" t="s">
        <v>265</v>
      </c>
      <c r="H23" s="73" t="s">
        <v>268</v>
      </c>
      <c r="L23" s="69"/>
      <c r="M23" s="68"/>
      <c r="Q23" s="74" t="s">
        <v>207</v>
      </c>
      <c r="R23" s="75" t="s">
        <v>278</v>
      </c>
      <c r="V23" s="76" t="s">
        <v>272</v>
      </c>
      <c r="W23" s="73" t="s">
        <v>293</v>
      </c>
      <c r="X23" s="49"/>
      <c r="AA23" s="74" t="s">
        <v>270</v>
      </c>
      <c r="AB23" s="123" t="s">
        <v>294</v>
      </c>
      <c r="AF23" s="60"/>
      <c r="AG23" s="60"/>
    </row>
    <row r="24" spans="2:35">
      <c r="B24" s="73" t="s">
        <v>206</v>
      </c>
      <c r="C24" s="86" t="s">
        <v>267</v>
      </c>
      <c r="D24" s="70"/>
      <c r="E24" s="70"/>
      <c r="G24" s="74" t="s">
        <v>206</v>
      </c>
      <c r="H24" s="60" t="s">
        <v>269</v>
      </c>
      <c r="L24" s="65"/>
      <c r="M24" s="49"/>
      <c r="Q24" s="74" t="s">
        <v>277</v>
      </c>
      <c r="R24" s="75" t="s">
        <v>279</v>
      </c>
      <c r="V24" s="76" t="s">
        <v>273</v>
      </c>
      <c r="W24" s="49" t="s">
        <v>289</v>
      </c>
      <c r="X24" s="49"/>
      <c r="AA24" s="77" t="s">
        <v>271</v>
      </c>
      <c r="AB24" s="123" t="s">
        <v>295</v>
      </c>
      <c r="AF24" s="60"/>
      <c r="AG24" s="60"/>
    </row>
    <row r="25" spans="2:35">
      <c r="B25" s="49"/>
      <c r="C25" s="49"/>
      <c r="D25" s="70"/>
      <c r="E25" s="70"/>
      <c r="L25" s="65"/>
      <c r="M25" s="66"/>
      <c r="V25" s="76" t="s">
        <v>274</v>
      </c>
      <c r="W25" s="49" t="s">
        <v>290</v>
      </c>
      <c r="X25" s="49"/>
      <c r="AA25" s="49"/>
      <c r="AB25" s="49"/>
      <c r="AF25" s="49"/>
      <c r="AG25" s="60"/>
    </row>
    <row r="26" spans="2:35">
      <c r="L26" s="65"/>
      <c r="M26" s="49"/>
      <c r="V26" s="76" t="s">
        <v>275</v>
      </c>
      <c r="W26" s="49" t="s">
        <v>291</v>
      </c>
      <c r="X26" s="49"/>
      <c r="AA26" s="49"/>
      <c r="AB26" s="49"/>
      <c r="AF26" s="49"/>
      <c r="AG26" s="60"/>
    </row>
    <row r="27" spans="2:35">
      <c r="H27"/>
      <c r="V27" s="76" t="s">
        <v>276</v>
      </c>
      <c r="W27" s="49" t="s">
        <v>292</v>
      </c>
      <c r="X27" s="49"/>
      <c r="AA27" s="49"/>
      <c r="AB27" s="49"/>
    </row>
    <row r="28" spans="2:35">
      <c r="V28" s="49"/>
      <c r="W28" s="49"/>
      <c r="X28" s="49"/>
      <c r="AA28" s="49"/>
      <c r="AB28" s="49"/>
    </row>
    <row r="29" spans="2:35">
      <c r="V29" s="49"/>
      <c r="W29" s="49"/>
      <c r="X29" s="49"/>
    </row>
    <row r="30" spans="2:35">
      <c r="X30" s="49"/>
      <c r="AB30"/>
    </row>
    <row r="31" spans="2:35">
      <c r="V31" s="76" t="s">
        <v>281</v>
      </c>
      <c r="W31" s="73" t="s">
        <v>293</v>
      </c>
      <c r="AB31"/>
    </row>
    <row r="32" spans="2:35">
      <c r="V32" s="76" t="s">
        <v>282</v>
      </c>
      <c r="W32" s="49" t="s">
        <v>289</v>
      </c>
      <c r="AB32"/>
    </row>
    <row r="33" spans="22:28">
      <c r="V33" s="76" t="s">
        <v>283</v>
      </c>
      <c r="W33" s="49" t="s">
        <v>290</v>
      </c>
      <c r="AB33"/>
    </row>
    <row r="34" spans="22:28">
      <c r="V34" s="76" t="s">
        <v>284</v>
      </c>
      <c r="W34" s="49" t="s">
        <v>291</v>
      </c>
      <c r="AB34"/>
    </row>
    <row r="35" spans="22:28">
      <c r="V35" s="76" t="s">
        <v>285</v>
      </c>
      <c r="W35" s="49" t="s">
        <v>292</v>
      </c>
      <c r="AB35"/>
    </row>
    <row r="36" spans="22:28">
      <c r="V36" s="72"/>
      <c r="W36" s="49"/>
      <c r="AB36"/>
    </row>
    <row r="37" spans="22:28">
      <c r="V37" s="76"/>
      <c r="W37" s="73"/>
      <c r="AB37"/>
    </row>
    <row r="38" spans="22:28">
      <c r="V38" s="76"/>
      <c r="W38" s="73"/>
      <c r="AB38"/>
    </row>
    <row r="39" spans="22:28">
      <c r="V39" s="76"/>
      <c r="W39" s="73"/>
      <c r="AB39"/>
    </row>
    <row r="40" spans="22:28">
      <c r="V40" s="76"/>
      <c r="W40" s="73"/>
      <c r="AB40"/>
    </row>
    <row r="41" spans="22:28">
      <c r="V41" s="76"/>
      <c r="W41" s="73"/>
      <c r="AB41"/>
    </row>
    <row r="42" spans="22:28">
      <c r="V42" s="49"/>
      <c r="W42" s="49"/>
      <c r="AB42"/>
    </row>
    <row r="43" spans="22:28">
      <c r="V43" s="49"/>
      <c r="W43" s="49"/>
      <c r="AB43"/>
    </row>
    <row r="44" spans="22:28">
      <c r="AB44"/>
    </row>
    <row r="45" spans="22:28">
      <c r="V45" s="76"/>
      <c r="W45" s="73"/>
      <c r="AB45"/>
    </row>
    <row r="46" spans="22:28">
      <c r="V46" s="76"/>
      <c r="W46" s="73"/>
      <c r="AB46"/>
    </row>
    <row r="47" spans="22:28">
      <c r="V47" s="76"/>
      <c r="W47" s="73"/>
      <c r="AB47"/>
    </row>
    <row r="48" spans="22:28">
      <c r="V48" s="76"/>
      <c r="W48" s="73"/>
      <c r="AB48"/>
    </row>
    <row r="49" spans="22:28">
      <c r="V49" s="76"/>
      <c r="W49" s="73"/>
      <c r="AB49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21"/>
  <sheetViews>
    <sheetView topLeftCell="B1" zoomScale="75" zoomScaleNormal="75" workbookViewId="0">
      <selection activeCell="O39" sqref="O39:P39"/>
    </sheetView>
  </sheetViews>
  <sheetFormatPr defaultRowHeight="15"/>
  <cols>
    <col min="1" max="1" width="9.140625" style="80"/>
    <col min="2" max="2" width="12.28515625" style="80" bestFit="1" customWidth="1"/>
    <col min="3" max="3" width="13.7109375" style="80" bestFit="1" customWidth="1"/>
    <col min="4" max="4" width="9.7109375" style="80" bestFit="1" customWidth="1"/>
    <col min="5" max="5" width="11" style="80" bestFit="1" customWidth="1"/>
    <col min="6" max="6" width="11.85546875" style="80" bestFit="1" customWidth="1"/>
    <col min="7" max="7" width="7.42578125" style="80" bestFit="1" customWidth="1"/>
    <col min="8" max="8" width="6.42578125" style="80" bestFit="1" customWidth="1"/>
    <col min="9" max="9" width="9.28515625" style="80" customWidth="1"/>
    <col min="10" max="10" width="6.42578125" style="80" bestFit="1" customWidth="1"/>
    <col min="11" max="12" width="12.7109375" style="80" bestFit="1" customWidth="1"/>
    <col min="13" max="13" width="16.140625" style="80" bestFit="1" customWidth="1"/>
    <col min="14" max="14" width="10.85546875" style="80" bestFit="1" customWidth="1"/>
    <col min="15" max="16384" width="9.140625" style="80"/>
  </cols>
  <sheetData>
    <row r="1" spans="1:19" s="79" customFormat="1">
      <c r="A1" s="79" t="s">
        <v>208</v>
      </c>
      <c r="B1" s="79" t="s">
        <v>209</v>
      </c>
      <c r="C1" s="79" t="s">
        <v>210</v>
      </c>
      <c r="D1" s="79" t="s">
        <v>211</v>
      </c>
      <c r="E1" s="79" t="s">
        <v>212</v>
      </c>
      <c r="F1" s="79" t="s">
        <v>213</v>
      </c>
      <c r="G1" s="79" t="s">
        <v>214</v>
      </c>
      <c r="H1" s="79" t="s">
        <v>215</v>
      </c>
      <c r="I1" s="79" t="s">
        <v>216</v>
      </c>
      <c r="J1" s="79" t="s">
        <v>217</v>
      </c>
      <c r="K1" s="79" t="s">
        <v>218</v>
      </c>
      <c r="L1" s="79" t="s">
        <v>219</v>
      </c>
      <c r="M1" s="79" t="s">
        <v>220</v>
      </c>
      <c r="N1" s="79" t="s">
        <v>221</v>
      </c>
    </row>
    <row r="2" spans="1:19">
      <c r="A2" s="80">
        <v>97760</v>
      </c>
      <c r="B2" s="80" t="s">
        <v>222</v>
      </c>
      <c r="C2" s="81" t="str">
        <f t="shared" ref="C2:C11" si="0">_xlfn.CONCAT(O2,P2,Q2,R2,S2)</f>
        <v>DPLR08N60</v>
      </c>
      <c r="D2" s="80">
        <v>0</v>
      </c>
      <c r="E2" s="80">
        <v>0</v>
      </c>
      <c r="F2" s="80">
        <v>3379</v>
      </c>
      <c r="G2" s="80">
        <v>0</v>
      </c>
      <c r="H2" s="80">
        <v>0</v>
      </c>
      <c r="I2" s="80">
        <v>0</v>
      </c>
      <c r="J2" s="80">
        <v>0</v>
      </c>
      <c r="K2" s="80" t="s">
        <v>223</v>
      </c>
      <c r="L2" s="80" t="s">
        <v>224</v>
      </c>
      <c r="M2" s="80" t="s">
        <v>225</v>
      </c>
      <c r="N2" s="80" t="s">
        <v>226</v>
      </c>
      <c r="O2" s="81" t="str">
        <f t="shared" ref="O2:O11" si="1">MID(B2,1,3)</f>
        <v>DPL</v>
      </c>
      <c r="P2" s="81" t="str">
        <f t="shared" ref="P2:P11" si="2">MID(B2,4,1)</f>
        <v>R</v>
      </c>
      <c r="Q2" s="81" t="str">
        <f t="shared" ref="Q2:Q11" si="3">MID(B2,5,2)</f>
        <v>08</v>
      </c>
      <c r="R2" s="81" t="str">
        <f t="shared" ref="R2:R11" si="4">MID(B2,7,1)</f>
        <v>N</v>
      </c>
      <c r="S2" s="81" t="str">
        <f t="shared" ref="S2:S6" si="5">MID(B2,8,2)</f>
        <v>60</v>
      </c>
    </row>
    <row r="3" spans="1:19">
      <c r="A3" s="80">
        <v>97761</v>
      </c>
      <c r="B3" s="80" t="s">
        <v>227</v>
      </c>
      <c r="C3" s="81" t="str">
        <f t="shared" si="0"/>
        <v>DPLR08N50</v>
      </c>
      <c r="D3" s="80">
        <v>0</v>
      </c>
      <c r="E3" s="80">
        <v>0</v>
      </c>
      <c r="F3" s="80">
        <v>3379</v>
      </c>
      <c r="G3" s="80">
        <v>0</v>
      </c>
      <c r="H3" s="80">
        <v>0</v>
      </c>
      <c r="I3" s="80">
        <v>0</v>
      </c>
      <c r="J3" s="80">
        <v>0</v>
      </c>
      <c r="K3" s="80" t="s">
        <v>223</v>
      </c>
      <c r="L3" s="80" t="s">
        <v>224</v>
      </c>
      <c r="M3" s="80" t="s">
        <v>225</v>
      </c>
      <c r="N3" s="80" t="s">
        <v>228</v>
      </c>
      <c r="O3" s="81" t="str">
        <f t="shared" si="1"/>
        <v>DPL</v>
      </c>
      <c r="P3" s="81" t="str">
        <f t="shared" si="2"/>
        <v>R</v>
      </c>
      <c r="Q3" s="81" t="str">
        <f t="shared" si="3"/>
        <v>08</v>
      </c>
      <c r="R3" s="81" t="str">
        <f t="shared" si="4"/>
        <v>N</v>
      </c>
      <c r="S3" s="81" t="str">
        <f t="shared" si="5"/>
        <v>50</v>
      </c>
    </row>
    <row r="4" spans="1:19">
      <c r="A4" s="80">
        <v>97762</v>
      </c>
      <c r="B4" s="80" t="s">
        <v>229</v>
      </c>
      <c r="C4" s="81" t="str">
        <f t="shared" si="0"/>
        <v>DPLR08N40</v>
      </c>
      <c r="D4" s="80">
        <v>0</v>
      </c>
      <c r="E4" s="80">
        <v>0</v>
      </c>
      <c r="F4" s="80">
        <v>3379</v>
      </c>
      <c r="G4" s="80">
        <v>0</v>
      </c>
      <c r="H4" s="80">
        <v>0</v>
      </c>
      <c r="I4" s="80">
        <v>0</v>
      </c>
      <c r="J4" s="80">
        <v>0</v>
      </c>
      <c r="K4" s="80" t="s">
        <v>223</v>
      </c>
      <c r="L4" s="80" t="s">
        <v>224</v>
      </c>
      <c r="M4" s="80" t="s">
        <v>225</v>
      </c>
      <c r="N4" s="80" t="s">
        <v>230</v>
      </c>
      <c r="O4" s="81" t="str">
        <f t="shared" si="1"/>
        <v>DPL</v>
      </c>
      <c r="P4" s="81" t="str">
        <f t="shared" si="2"/>
        <v>R</v>
      </c>
      <c r="Q4" s="81" t="str">
        <f t="shared" si="3"/>
        <v>08</v>
      </c>
      <c r="R4" s="81" t="str">
        <f t="shared" si="4"/>
        <v>N</v>
      </c>
      <c r="S4" s="81" t="str">
        <f t="shared" si="5"/>
        <v>40</v>
      </c>
    </row>
    <row r="5" spans="1:19">
      <c r="A5" s="80">
        <v>97763</v>
      </c>
      <c r="B5" s="80" t="s">
        <v>231</v>
      </c>
      <c r="C5" s="81" t="str">
        <f t="shared" si="0"/>
        <v>DPLR08N30</v>
      </c>
      <c r="D5" s="80">
        <v>0</v>
      </c>
      <c r="E5" s="80">
        <v>0</v>
      </c>
      <c r="F5" s="80">
        <v>3379</v>
      </c>
      <c r="G5" s="80">
        <v>0</v>
      </c>
      <c r="H5" s="80">
        <v>0</v>
      </c>
      <c r="I5" s="80">
        <v>0</v>
      </c>
      <c r="J5" s="80">
        <v>0</v>
      </c>
      <c r="K5" s="80" t="s">
        <v>223</v>
      </c>
      <c r="L5" s="80" t="s">
        <v>224</v>
      </c>
      <c r="M5" s="80" t="s">
        <v>225</v>
      </c>
      <c r="N5" s="80" t="s">
        <v>232</v>
      </c>
      <c r="O5" s="81" t="str">
        <f t="shared" si="1"/>
        <v>DPL</v>
      </c>
      <c r="P5" s="81" t="str">
        <f t="shared" si="2"/>
        <v>R</v>
      </c>
      <c r="Q5" s="81" t="str">
        <f t="shared" si="3"/>
        <v>08</v>
      </c>
      <c r="R5" s="81" t="str">
        <f t="shared" si="4"/>
        <v>N</v>
      </c>
      <c r="S5" s="81" t="str">
        <f t="shared" si="5"/>
        <v>30</v>
      </c>
    </row>
    <row r="6" spans="1:19">
      <c r="A6" s="80">
        <v>97764</v>
      </c>
      <c r="B6" s="80" t="s">
        <v>233</v>
      </c>
      <c r="C6" s="81" t="str">
        <f t="shared" si="0"/>
        <v>DPLR08N27</v>
      </c>
      <c r="D6" s="80">
        <v>0</v>
      </c>
      <c r="E6" s="80">
        <v>0</v>
      </c>
      <c r="F6" s="80">
        <v>3379</v>
      </c>
      <c r="G6" s="80">
        <v>0</v>
      </c>
      <c r="H6" s="80">
        <v>0</v>
      </c>
      <c r="I6" s="80">
        <v>0</v>
      </c>
      <c r="J6" s="80">
        <v>0</v>
      </c>
      <c r="K6" s="80" t="s">
        <v>223</v>
      </c>
      <c r="L6" s="80" t="s">
        <v>224</v>
      </c>
      <c r="M6" s="80" t="s">
        <v>225</v>
      </c>
      <c r="N6" s="80" t="s">
        <v>234</v>
      </c>
      <c r="O6" s="81" t="str">
        <f t="shared" si="1"/>
        <v>DPL</v>
      </c>
      <c r="P6" s="81" t="str">
        <f t="shared" si="2"/>
        <v>R</v>
      </c>
      <c r="Q6" s="81" t="str">
        <f t="shared" si="3"/>
        <v>08</v>
      </c>
      <c r="R6" s="81" t="str">
        <f t="shared" si="4"/>
        <v>N</v>
      </c>
      <c r="S6" s="81" t="str">
        <f t="shared" si="5"/>
        <v>27</v>
      </c>
    </row>
    <row r="7" spans="1:19">
      <c r="A7" s="80">
        <v>97800</v>
      </c>
      <c r="B7" s="80" t="s">
        <v>235</v>
      </c>
      <c r="C7" s="81" t="str">
        <f t="shared" si="0"/>
        <v>DPLR08N60I</v>
      </c>
      <c r="D7" s="80">
        <v>0</v>
      </c>
      <c r="E7" s="80">
        <v>0</v>
      </c>
      <c r="F7" s="80">
        <v>6089</v>
      </c>
      <c r="G7" s="80">
        <v>0</v>
      </c>
      <c r="H7" s="80">
        <v>0</v>
      </c>
      <c r="I7" s="80">
        <v>0</v>
      </c>
      <c r="J7" s="80">
        <v>0</v>
      </c>
      <c r="K7" s="80" t="s">
        <v>223</v>
      </c>
      <c r="L7" s="80" t="s">
        <v>224</v>
      </c>
      <c r="M7" s="80" t="s">
        <v>236</v>
      </c>
      <c r="N7" s="80" t="s">
        <v>226</v>
      </c>
      <c r="O7" s="81" t="str">
        <f t="shared" si="1"/>
        <v>DPL</v>
      </c>
      <c r="P7" s="81" t="str">
        <f t="shared" si="2"/>
        <v>R</v>
      </c>
      <c r="Q7" s="81" t="str">
        <f t="shared" si="3"/>
        <v>08</v>
      </c>
      <c r="R7" s="81" t="str">
        <f t="shared" si="4"/>
        <v>N</v>
      </c>
      <c r="S7" s="81" t="str">
        <f t="shared" ref="S7:S11" si="6">MID(B7,8,3)</f>
        <v>60I</v>
      </c>
    </row>
    <row r="8" spans="1:19">
      <c r="A8" s="80">
        <v>97801</v>
      </c>
      <c r="B8" s="80" t="s">
        <v>237</v>
      </c>
      <c r="C8" s="81" t="str">
        <f t="shared" si="0"/>
        <v>DPLR08N50I</v>
      </c>
      <c r="D8" s="80">
        <v>0</v>
      </c>
      <c r="E8" s="80">
        <v>0</v>
      </c>
      <c r="F8" s="80">
        <v>6089</v>
      </c>
      <c r="G8" s="80">
        <v>0</v>
      </c>
      <c r="H8" s="80">
        <v>0</v>
      </c>
      <c r="I8" s="80">
        <v>0</v>
      </c>
      <c r="J8" s="80">
        <v>0</v>
      </c>
      <c r="K8" s="80" t="s">
        <v>223</v>
      </c>
      <c r="L8" s="80" t="s">
        <v>224</v>
      </c>
      <c r="M8" s="80" t="s">
        <v>236</v>
      </c>
      <c r="N8" s="80" t="s">
        <v>228</v>
      </c>
      <c r="O8" s="81" t="str">
        <f t="shared" si="1"/>
        <v>DPL</v>
      </c>
      <c r="P8" s="81" t="str">
        <f t="shared" si="2"/>
        <v>R</v>
      </c>
      <c r="Q8" s="81" t="str">
        <f t="shared" si="3"/>
        <v>08</v>
      </c>
      <c r="R8" s="81" t="str">
        <f t="shared" si="4"/>
        <v>N</v>
      </c>
      <c r="S8" s="81" t="str">
        <f t="shared" si="6"/>
        <v>50I</v>
      </c>
    </row>
    <row r="9" spans="1:19">
      <c r="A9" s="80">
        <v>97802</v>
      </c>
      <c r="B9" s="80" t="s">
        <v>238</v>
      </c>
      <c r="C9" s="81" t="str">
        <f t="shared" si="0"/>
        <v>DPLR08N40I</v>
      </c>
      <c r="D9" s="80">
        <v>0</v>
      </c>
      <c r="E9" s="80">
        <v>0</v>
      </c>
      <c r="F9" s="80">
        <v>6089</v>
      </c>
      <c r="G9" s="80">
        <v>0</v>
      </c>
      <c r="H9" s="80">
        <v>0</v>
      </c>
      <c r="I9" s="80">
        <v>0</v>
      </c>
      <c r="J9" s="80">
        <v>0</v>
      </c>
      <c r="K9" s="80" t="s">
        <v>223</v>
      </c>
      <c r="L9" s="80" t="s">
        <v>224</v>
      </c>
      <c r="M9" s="80" t="s">
        <v>236</v>
      </c>
      <c r="N9" s="80" t="s">
        <v>230</v>
      </c>
      <c r="O9" s="81" t="str">
        <f t="shared" si="1"/>
        <v>DPL</v>
      </c>
      <c r="P9" s="81" t="str">
        <f t="shared" si="2"/>
        <v>R</v>
      </c>
      <c r="Q9" s="81" t="str">
        <f t="shared" si="3"/>
        <v>08</v>
      </c>
      <c r="R9" s="81" t="str">
        <f t="shared" si="4"/>
        <v>N</v>
      </c>
      <c r="S9" s="81" t="str">
        <f t="shared" si="6"/>
        <v>40I</v>
      </c>
    </row>
    <row r="10" spans="1:19">
      <c r="A10" s="80">
        <v>97803</v>
      </c>
      <c r="B10" s="80" t="s">
        <v>239</v>
      </c>
      <c r="C10" s="81" t="str">
        <f t="shared" si="0"/>
        <v>DPLR08N30I</v>
      </c>
      <c r="D10" s="80">
        <v>0</v>
      </c>
      <c r="E10" s="80">
        <v>0</v>
      </c>
      <c r="F10" s="80">
        <v>6089</v>
      </c>
      <c r="G10" s="80">
        <v>0</v>
      </c>
      <c r="H10" s="80">
        <v>0</v>
      </c>
      <c r="I10" s="80">
        <v>0</v>
      </c>
      <c r="J10" s="80">
        <v>0</v>
      </c>
      <c r="K10" s="80" t="s">
        <v>223</v>
      </c>
      <c r="L10" s="80" t="s">
        <v>224</v>
      </c>
      <c r="M10" s="80" t="s">
        <v>236</v>
      </c>
      <c r="N10" s="80" t="s">
        <v>232</v>
      </c>
      <c r="O10" s="81" t="str">
        <f t="shared" si="1"/>
        <v>DPL</v>
      </c>
      <c r="P10" s="81" t="str">
        <f t="shared" si="2"/>
        <v>R</v>
      </c>
      <c r="Q10" s="81" t="str">
        <f t="shared" si="3"/>
        <v>08</v>
      </c>
      <c r="R10" s="81" t="str">
        <f t="shared" si="4"/>
        <v>N</v>
      </c>
      <c r="S10" s="81" t="str">
        <f t="shared" si="6"/>
        <v>30I</v>
      </c>
    </row>
    <row r="11" spans="1:19">
      <c r="A11" s="80">
        <v>97804</v>
      </c>
      <c r="B11" s="80" t="s">
        <v>240</v>
      </c>
      <c r="C11" s="81" t="str">
        <f t="shared" si="0"/>
        <v>DPLR08N27I</v>
      </c>
      <c r="D11" s="80">
        <v>0</v>
      </c>
      <c r="E11" s="80">
        <v>0</v>
      </c>
      <c r="F11" s="80">
        <v>6089</v>
      </c>
      <c r="G11" s="80">
        <v>0</v>
      </c>
      <c r="H11" s="80">
        <v>0</v>
      </c>
      <c r="I11" s="80">
        <v>0</v>
      </c>
      <c r="J11" s="80">
        <v>0</v>
      </c>
      <c r="K11" s="80" t="s">
        <v>223</v>
      </c>
      <c r="L11" s="80" t="s">
        <v>224</v>
      </c>
      <c r="M11" s="80" t="s">
        <v>236</v>
      </c>
      <c r="N11" s="80" t="s">
        <v>234</v>
      </c>
      <c r="O11" s="81" t="str">
        <f t="shared" si="1"/>
        <v>DPL</v>
      </c>
      <c r="P11" s="81" t="str">
        <f t="shared" si="2"/>
        <v>R</v>
      </c>
      <c r="Q11" s="81" t="str">
        <f t="shared" si="3"/>
        <v>08</v>
      </c>
      <c r="R11" s="81" t="str">
        <f t="shared" si="4"/>
        <v>N</v>
      </c>
      <c r="S11" s="81" t="str">
        <f t="shared" si="6"/>
        <v>27I</v>
      </c>
    </row>
    <row r="12" spans="1:19">
      <c r="A12" s="80">
        <v>97765</v>
      </c>
      <c r="B12" s="80" t="s">
        <v>241</v>
      </c>
      <c r="C12" s="82" t="str">
        <f>_xlfn.CONCAT(O12,P12,Q12,R12,S12)</f>
        <v>DPLR08M60</v>
      </c>
      <c r="D12" s="80">
        <v>0</v>
      </c>
      <c r="E12" s="80">
        <v>0</v>
      </c>
      <c r="F12" s="80">
        <v>3379</v>
      </c>
      <c r="G12" s="80">
        <v>0</v>
      </c>
      <c r="H12" s="80">
        <v>0</v>
      </c>
      <c r="I12" s="80">
        <v>0</v>
      </c>
      <c r="J12" s="80">
        <v>0</v>
      </c>
      <c r="K12" s="80" t="s">
        <v>223</v>
      </c>
      <c r="L12" s="80" t="s">
        <v>242</v>
      </c>
      <c r="M12" s="80" t="s">
        <v>225</v>
      </c>
      <c r="N12" s="80" t="s">
        <v>226</v>
      </c>
      <c r="O12" s="83" t="str">
        <f>MID(B12,1,3)</f>
        <v>DPL</v>
      </c>
      <c r="P12" s="83" t="str">
        <f>MID(B12,4,1)</f>
        <v>R</v>
      </c>
      <c r="Q12" s="83" t="str">
        <f>MID(B12,5,2)</f>
        <v>08</v>
      </c>
      <c r="R12" s="83" t="str">
        <f>MID(B12,7,1)</f>
        <v>M</v>
      </c>
      <c r="S12" s="83" t="str">
        <f>MID(B12,8,2)</f>
        <v>60</v>
      </c>
    </row>
    <row r="13" spans="1:19">
      <c r="A13" s="80">
        <v>97766</v>
      </c>
      <c r="B13" s="80" t="s">
        <v>243</v>
      </c>
      <c r="C13" s="82" t="str">
        <f t="shared" ref="C13:C16" si="7">_xlfn.CONCAT(O13,P13,Q13,R13,S13)</f>
        <v>DPLR08M50</v>
      </c>
      <c r="D13" s="80">
        <v>0</v>
      </c>
      <c r="E13" s="80">
        <v>0</v>
      </c>
      <c r="F13" s="80">
        <v>3379</v>
      </c>
      <c r="G13" s="80">
        <v>0</v>
      </c>
      <c r="H13" s="80">
        <v>0</v>
      </c>
      <c r="I13" s="80">
        <v>0</v>
      </c>
      <c r="J13" s="80">
        <v>0</v>
      </c>
      <c r="K13" s="80" t="s">
        <v>223</v>
      </c>
      <c r="L13" s="80" t="s">
        <v>242</v>
      </c>
      <c r="M13" s="80" t="s">
        <v>225</v>
      </c>
      <c r="N13" s="80" t="s">
        <v>228</v>
      </c>
      <c r="O13" s="83" t="str">
        <f t="shared" ref="O13:O16" si="8">MID(B13,1,3)</f>
        <v>DPL</v>
      </c>
      <c r="P13" s="83" t="str">
        <f t="shared" ref="P13:P16" si="9">MID(B13,4,1)</f>
        <v>R</v>
      </c>
      <c r="Q13" s="83" t="str">
        <f t="shared" ref="Q13:Q16" si="10">MID(B13,5,2)</f>
        <v>08</v>
      </c>
      <c r="R13" s="83" t="str">
        <f t="shared" ref="R13:R16" si="11">MID(B13,7,1)</f>
        <v>M</v>
      </c>
      <c r="S13" s="83" t="str">
        <f t="shared" ref="S13:S16" si="12">MID(B13,8,2)</f>
        <v>50</v>
      </c>
    </row>
    <row r="14" spans="1:19">
      <c r="A14" s="80">
        <v>97767</v>
      </c>
      <c r="B14" s="80" t="s">
        <v>244</v>
      </c>
      <c r="C14" s="82" t="str">
        <f t="shared" si="7"/>
        <v>DPLR08M40</v>
      </c>
      <c r="D14" s="80">
        <v>0</v>
      </c>
      <c r="E14" s="80">
        <v>0</v>
      </c>
      <c r="F14" s="80">
        <v>3379</v>
      </c>
      <c r="G14" s="80">
        <v>0</v>
      </c>
      <c r="H14" s="80">
        <v>0</v>
      </c>
      <c r="I14" s="80">
        <v>0</v>
      </c>
      <c r="J14" s="80">
        <v>0</v>
      </c>
      <c r="K14" s="80" t="s">
        <v>223</v>
      </c>
      <c r="L14" s="80" t="s">
        <v>242</v>
      </c>
      <c r="M14" s="80" t="s">
        <v>225</v>
      </c>
      <c r="N14" s="80" t="s">
        <v>230</v>
      </c>
      <c r="O14" s="83" t="str">
        <f t="shared" si="8"/>
        <v>DPL</v>
      </c>
      <c r="P14" s="83" t="str">
        <f t="shared" si="9"/>
        <v>R</v>
      </c>
      <c r="Q14" s="83" t="str">
        <f t="shared" si="10"/>
        <v>08</v>
      </c>
      <c r="R14" s="83" t="str">
        <f t="shared" si="11"/>
        <v>M</v>
      </c>
      <c r="S14" s="83" t="str">
        <f t="shared" si="12"/>
        <v>40</v>
      </c>
    </row>
    <row r="15" spans="1:19">
      <c r="A15" s="80">
        <v>97768</v>
      </c>
      <c r="B15" s="80" t="s">
        <v>245</v>
      </c>
      <c r="C15" s="82" t="str">
        <f t="shared" si="7"/>
        <v>DPLR08M30</v>
      </c>
      <c r="D15" s="80">
        <v>0</v>
      </c>
      <c r="E15" s="80">
        <v>0</v>
      </c>
      <c r="F15" s="80">
        <v>3379</v>
      </c>
      <c r="G15" s="80">
        <v>0</v>
      </c>
      <c r="H15" s="80">
        <v>0</v>
      </c>
      <c r="I15" s="80">
        <v>0</v>
      </c>
      <c r="J15" s="80">
        <v>0</v>
      </c>
      <c r="K15" s="80" t="s">
        <v>223</v>
      </c>
      <c r="L15" s="80" t="s">
        <v>242</v>
      </c>
      <c r="M15" s="80" t="s">
        <v>225</v>
      </c>
      <c r="N15" s="80" t="s">
        <v>232</v>
      </c>
      <c r="O15" s="83" t="str">
        <f t="shared" si="8"/>
        <v>DPL</v>
      </c>
      <c r="P15" s="83" t="str">
        <f t="shared" si="9"/>
        <v>R</v>
      </c>
      <c r="Q15" s="83" t="str">
        <f t="shared" si="10"/>
        <v>08</v>
      </c>
      <c r="R15" s="83" t="str">
        <f t="shared" si="11"/>
        <v>M</v>
      </c>
      <c r="S15" s="83" t="str">
        <f t="shared" si="12"/>
        <v>30</v>
      </c>
    </row>
    <row r="16" spans="1:19">
      <c r="A16" s="80">
        <v>97769</v>
      </c>
      <c r="B16" s="80" t="s">
        <v>246</v>
      </c>
      <c r="C16" s="82" t="str">
        <f t="shared" si="7"/>
        <v>DPLR08M27</v>
      </c>
      <c r="D16" s="80">
        <v>0</v>
      </c>
      <c r="E16" s="80">
        <v>0</v>
      </c>
      <c r="F16" s="80">
        <v>3379</v>
      </c>
      <c r="G16" s="80">
        <v>0</v>
      </c>
      <c r="H16" s="80">
        <v>0</v>
      </c>
      <c r="I16" s="80">
        <v>0</v>
      </c>
      <c r="J16" s="80">
        <v>0</v>
      </c>
      <c r="K16" s="80" t="s">
        <v>223</v>
      </c>
      <c r="L16" s="80" t="s">
        <v>242</v>
      </c>
      <c r="M16" s="80" t="s">
        <v>225</v>
      </c>
      <c r="N16" s="80" t="s">
        <v>234</v>
      </c>
      <c r="O16" s="83" t="str">
        <f t="shared" si="8"/>
        <v>DPL</v>
      </c>
      <c r="P16" s="83" t="str">
        <f t="shared" si="9"/>
        <v>R</v>
      </c>
      <c r="Q16" s="83" t="str">
        <f t="shared" si="10"/>
        <v>08</v>
      </c>
      <c r="R16" s="83" t="str">
        <f t="shared" si="11"/>
        <v>M</v>
      </c>
      <c r="S16" s="83" t="str">
        <f t="shared" si="12"/>
        <v>27</v>
      </c>
    </row>
    <row r="17" spans="1:19">
      <c r="A17" s="80">
        <v>97805</v>
      </c>
      <c r="B17" s="80" t="s">
        <v>247</v>
      </c>
      <c r="C17" s="82" t="str">
        <f t="shared" ref="C17:C21" si="13">_xlfn.CONCAT(O17,P17,Q17,R17,S17)</f>
        <v>DPLR08M60I</v>
      </c>
      <c r="D17" s="80">
        <v>0</v>
      </c>
      <c r="E17" s="80">
        <v>0</v>
      </c>
      <c r="F17" s="80">
        <v>6089</v>
      </c>
      <c r="G17" s="80">
        <v>0</v>
      </c>
      <c r="H17" s="80">
        <v>0</v>
      </c>
      <c r="I17" s="80">
        <v>0</v>
      </c>
      <c r="J17" s="80">
        <v>0</v>
      </c>
      <c r="K17" s="80" t="s">
        <v>223</v>
      </c>
      <c r="L17" s="80" t="s">
        <v>242</v>
      </c>
      <c r="M17" s="80" t="s">
        <v>236</v>
      </c>
      <c r="N17" s="80" t="s">
        <v>226</v>
      </c>
      <c r="O17" s="83" t="str">
        <f t="shared" ref="O17:O21" si="14">MID(B17,1,3)</f>
        <v>DPL</v>
      </c>
      <c r="P17" s="83" t="str">
        <f t="shared" ref="P17:P21" si="15">MID(B17,4,1)</f>
        <v>R</v>
      </c>
      <c r="Q17" s="83" t="str">
        <f t="shared" ref="Q17:Q21" si="16">MID(B17,5,2)</f>
        <v>08</v>
      </c>
      <c r="R17" s="83" t="str">
        <f t="shared" ref="R17:R21" si="17">MID(B17,7,1)</f>
        <v>M</v>
      </c>
      <c r="S17" s="83" t="str">
        <f t="shared" ref="S17:S21" si="18">MID(B17,8,3)</f>
        <v>60I</v>
      </c>
    </row>
    <row r="18" spans="1:19">
      <c r="A18" s="80">
        <v>97806</v>
      </c>
      <c r="B18" s="80" t="s">
        <v>248</v>
      </c>
      <c r="C18" s="82" t="str">
        <f t="shared" si="13"/>
        <v>DPLR08M50I</v>
      </c>
      <c r="D18" s="80">
        <v>0</v>
      </c>
      <c r="E18" s="80">
        <v>0</v>
      </c>
      <c r="F18" s="80">
        <v>6089</v>
      </c>
      <c r="G18" s="80">
        <v>0</v>
      </c>
      <c r="H18" s="80">
        <v>0</v>
      </c>
      <c r="I18" s="80">
        <v>0</v>
      </c>
      <c r="J18" s="80">
        <v>0</v>
      </c>
      <c r="K18" s="80" t="s">
        <v>223</v>
      </c>
      <c r="L18" s="80" t="s">
        <v>242</v>
      </c>
      <c r="M18" s="80" t="s">
        <v>236</v>
      </c>
      <c r="N18" s="80" t="s">
        <v>228</v>
      </c>
      <c r="O18" s="83" t="str">
        <f t="shared" si="14"/>
        <v>DPL</v>
      </c>
      <c r="P18" s="83" t="str">
        <f t="shared" si="15"/>
        <v>R</v>
      </c>
      <c r="Q18" s="83" t="str">
        <f t="shared" si="16"/>
        <v>08</v>
      </c>
      <c r="R18" s="83" t="str">
        <f t="shared" si="17"/>
        <v>M</v>
      </c>
      <c r="S18" s="83" t="str">
        <f t="shared" si="18"/>
        <v>50I</v>
      </c>
    </row>
    <row r="19" spans="1:19">
      <c r="A19" s="80">
        <v>97807</v>
      </c>
      <c r="B19" s="80" t="s">
        <v>249</v>
      </c>
      <c r="C19" s="82" t="str">
        <f t="shared" si="13"/>
        <v>DPLR08M40I</v>
      </c>
      <c r="D19" s="80">
        <v>0</v>
      </c>
      <c r="E19" s="80">
        <v>0</v>
      </c>
      <c r="F19" s="80">
        <v>6089</v>
      </c>
      <c r="G19" s="80">
        <v>0</v>
      </c>
      <c r="H19" s="80">
        <v>0</v>
      </c>
      <c r="I19" s="80">
        <v>0</v>
      </c>
      <c r="J19" s="80">
        <v>0</v>
      </c>
      <c r="K19" s="80" t="s">
        <v>223</v>
      </c>
      <c r="L19" s="80" t="s">
        <v>242</v>
      </c>
      <c r="M19" s="80" t="s">
        <v>236</v>
      </c>
      <c r="N19" s="80" t="s">
        <v>230</v>
      </c>
      <c r="O19" s="83" t="str">
        <f t="shared" si="14"/>
        <v>DPL</v>
      </c>
      <c r="P19" s="83" t="str">
        <f t="shared" si="15"/>
        <v>R</v>
      </c>
      <c r="Q19" s="83" t="str">
        <f t="shared" si="16"/>
        <v>08</v>
      </c>
      <c r="R19" s="83" t="str">
        <f t="shared" si="17"/>
        <v>M</v>
      </c>
      <c r="S19" s="83" t="str">
        <f t="shared" si="18"/>
        <v>40I</v>
      </c>
    </row>
    <row r="20" spans="1:19">
      <c r="A20" s="80">
        <v>97808</v>
      </c>
      <c r="B20" s="80" t="s">
        <v>250</v>
      </c>
      <c r="C20" s="82" t="str">
        <f t="shared" si="13"/>
        <v>DPLR08M30I</v>
      </c>
      <c r="D20" s="80">
        <v>0</v>
      </c>
      <c r="E20" s="80">
        <v>0</v>
      </c>
      <c r="F20" s="80">
        <v>6089</v>
      </c>
      <c r="G20" s="80">
        <v>0</v>
      </c>
      <c r="H20" s="80">
        <v>0</v>
      </c>
      <c r="I20" s="80">
        <v>0</v>
      </c>
      <c r="J20" s="80">
        <v>0</v>
      </c>
      <c r="K20" s="80" t="s">
        <v>223</v>
      </c>
      <c r="L20" s="80" t="s">
        <v>242</v>
      </c>
      <c r="M20" s="80" t="s">
        <v>236</v>
      </c>
      <c r="N20" s="80" t="s">
        <v>232</v>
      </c>
      <c r="O20" s="83" t="str">
        <f t="shared" si="14"/>
        <v>DPL</v>
      </c>
      <c r="P20" s="83" t="str">
        <f t="shared" si="15"/>
        <v>R</v>
      </c>
      <c r="Q20" s="83" t="str">
        <f t="shared" si="16"/>
        <v>08</v>
      </c>
      <c r="R20" s="83" t="str">
        <f t="shared" si="17"/>
        <v>M</v>
      </c>
      <c r="S20" s="83" t="str">
        <f t="shared" si="18"/>
        <v>30I</v>
      </c>
    </row>
    <row r="21" spans="1:19">
      <c r="A21" s="80">
        <v>97809</v>
      </c>
      <c r="B21" s="80" t="s">
        <v>251</v>
      </c>
      <c r="C21" s="82" t="str">
        <f t="shared" si="13"/>
        <v>DPLR08M27I</v>
      </c>
      <c r="D21" s="80">
        <v>0</v>
      </c>
      <c r="E21" s="80">
        <v>0</v>
      </c>
      <c r="F21" s="80">
        <v>6089</v>
      </c>
      <c r="G21" s="80">
        <v>0</v>
      </c>
      <c r="H21" s="80">
        <v>0</v>
      </c>
      <c r="I21" s="80">
        <v>0</v>
      </c>
      <c r="J21" s="80">
        <v>0</v>
      </c>
      <c r="K21" s="80" t="s">
        <v>223</v>
      </c>
      <c r="L21" s="80" t="s">
        <v>242</v>
      </c>
      <c r="M21" s="80" t="s">
        <v>236</v>
      </c>
      <c r="N21" s="80" t="s">
        <v>234</v>
      </c>
      <c r="O21" s="83" t="str">
        <f t="shared" si="14"/>
        <v>DPL</v>
      </c>
      <c r="P21" s="83" t="str">
        <f t="shared" si="15"/>
        <v>R</v>
      </c>
      <c r="Q21" s="83" t="str">
        <f t="shared" si="16"/>
        <v>08</v>
      </c>
      <c r="R21" s="83" t="str">
        <f t="shared" si="17"/>
        <v>M</v>
      </c>
      <c r="S21" s="83" t="str">
        <f t="shared" si="18"/>
        <v>27I</v>
      </c>
    </row>
  </sheetData>
  <autoFilter ref="P1:P2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A7A392F-F524-4A60-8A38-C11F214F628B}">
  <ds:schemaRefs/>
</ds:datastoreItem>
</file>

<file path=customXml/itemProps3.xml><?xml version="1.0" encoding="utf-8"?>
<ds:datastoreItem xmlns:ds="http://schemas.openxmlformats.org/officeDocument/2006/customXml" ds:itemID="{E0CA5442-C2DA-43F1-A162-45733585A7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DPL08-SKU (Seprate N,M)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2025-03-29T03:47:13Z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
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0" windowWidth="15600" windowHeight="11040" tabRatio="597"/>
  </bookViews>
  <sheets>
    <sheet name="Stock Item" sheetId="23" r:id="rId1"/>
    <sheet name="Stock Item (Read Me)" sheetId="10" state="hidden" r:id="rId2"/>
    <sheet name="Backend data" sheetId="24" r:id="rId3"/>
    <sheet name="Result" sheetId="25" r:id="rId4"/>
  </sheets>
  <definedNames>
    <definedName name="_xlnm._FilterDatabase" localSheetId="3" hidden="1">Result!$A$1:$M$13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6" i="23" l="1"/>
  <c r="L6" i="23"/>
  <c r="M5" i="23"/>
  <c r="L5" i="23"/>
  <c r="L2" i="23" l="1"/>
  <c r="L7" i="23" l="1"/>
  <c r="Q21" i="23" l="1"/>
  <c r="R21" i="23" s="1"/>
  <c r="Q17" i="23"/>
  <c r="L17" i="23"/>
  <c r="M17" i="23" s="1"/>
  <c r="M16" i="23"/>
  <c r="Q12" i="23"/>
  <c r="L12" i="23" s="1"/>
  <c r="M12" i="23" s="1"/>
  <c r="M11" i="23"/>
  <c r="M10" i="23"/>
  <c r="M9" i="23"/>
  <c r="M8" i="23"/>
  <c r="M7" i="23"/>
  <c r="Q3" i="23"/>
  <c r="L3" i="23" s="1"/>
  <c r="M3" i="23" s="1"/>
  <c r="M2" i="23"/>
  <c r="M18" i="23" l="1"/>
  <c r="M20" i="23" s="1"/>
  <c r="M21" i="23" l="1"/>
  <c r="F3" i="24"/>
  <c r="E3" i="24" l="1"/>
  <c r="H5" i="24" l="1"/>
  <c r="D16" i="23" s="1"/>
  <c r="G3" i="24"/>
  <c r="G4" i="24" s="1"/>
  <c r="F13" i="23" l="1"/>
  <c r="A16" i="23"/>
  <c r="H3" i="24"/>
  <c r="H4" i="24" s="1"/>
  <c r="A2" i="23" l="1"/>
  <c r="D3" i="24"/>
  <c r="H8" i="24" l="1"/>
  <c r="I3" i="24"/>
  <c r="I7" i="24" s="1"/>
  <c r="H7" i="24" l="1"/>
  <c r="H6" i="24"/>
  <c r="F14" i="23" s="1"/>
  <c r="I6" i="24"/>
  <c r="I8" i="24"/>
  <c r="C3" i="24"/>
  <c r="D4" i="24" s="1"/>
  <c r="E7" i="24" l="1"/>
  <c r="E8" i="24"/>
  <c r="C8" i="24"/>
  <c r="C6" i="24"/>
  <c r="F7" i="24"/>
  <c r="F8" i="24"/>
  <c r="C7" i="24"/>
  <c r="G6" i="24"/>
  <c r="F16" i="23" s="1"/>
  <c r="E6" i="24"/>
  <c r="F6" i="24"/>
  <c r="D8" i="24" l="1"/>
  <c r="D6" i="24"/>
  <c r="D7" i="24"/>
  <c r="G8" i="24"/>
  <c r="G7" i="24"/>
</calcChain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sz val="9"/>
            <rFont val="Tahoma"/>
            <family val="2"/>
          </rPr>
          <t>This section lists all the fields in TallyPrime related to Stock Item Master</t>
        </r>
      </text>
    </comment>
    <comment ref="B1" authorId="0">
      <text>
        <r>
          <rPr>
            <sz val="9"/>
            <rFont val="Tahoma"/>
            <family val="2"/>
          </rPr>
          <t>This section displays fields relevant to different countries.</t>
        </r>
      </text>
    </comment>
    <comment ref="C1" authorId="0">
      <text>
        <r>
          <rPr>
            <sz val="9"/>
            <rFont val="Tahoma"/>
            <family val="2"/>
          </rPr>
          <t>In this section, you'll find strings that are applicable to specific fields. Users can conveniently copy these strings for use in their data.</t>
        </r>
      </text>
    </comment>
    <comment ref="A3" authorId="0">
      <text>
        <r>
          <rPr>
            <sz val="9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<sst xmlns="http://schemas.openxmlformats.org/spreadsheetml/2006/main" count="527" uniqueCount="294">
  <si>
    <t>Name</t>
  </si>
  <si>
    <t>Name of BOM</t>
  </si>
  <si>
    <t>Unit of manufacture</t>
  </si>
  <si>
    <t>BOM Component - Item Name</t>
  </si>
  <si>
    <t>BOM Component - Quantity</t>
  </si>
  <si>
    <t>BOM Component - Godown</t>
  </si>
  <si>
    <t>BOM Component - Type of Item</t>
  </si>
  <si>
    <t>BOM Component - Rate (%)</t>
  </si>
  <si>
    <t>BOM Component - Location</t>
  </si>
  <si>
    <t>Component</t>
  </si>
  <si>
    <t>List of Fields</t>
  </si>
  <si>
    <t>Applicable Countries</t>
  </si>
  <si>
    <t>Applicable Values</t>
  </si>
  <si>
    <t>General Details</t>
  </si>
  <si>
    <t> </t>
  </si>
  <si>
    <t>All</t>
  </si>
  <si>
    <t>Read the following, before you start using the sample file:</t>
  </si>
  <si>
    <t>Group Name</t>
  </si>
  <si>
    <t>Stock Item worksheet:</t>
  </si>
  <si>
    <t>B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</si>
  <si>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masters.	</t>
  </si>
  <si>
    <t>Part No.</t>
  </si>
  <si>
    <t>Alias - Part No.</t>
  </si>
  <si>
    <t>Description</t>
  </si>
  <si>
    <t>Notes</t>
  </si>
  <si>
    <t>Category</t>
  </si>
  <si>
    <t>Units</t>
  </si>
  <si>
    <t>Stock Item (Read Me)</t>
  </si>
  <si>
    <t>Conversion</t>
  </si>
  <si>
    <t xml:space="preserve"> - The Read Me worksheet is only for your reference. It lists all the fields, with related details, applicable for Stock Item.</t>
  </si>
  <si>
    <t>Denominator</t>
  </si>
  <si>
    <t>Alternate Units</t>
  </si>
  <si>
    <t xml:space="preserve">For more information on using Sample Excel File for importing data, refer to </t>
  </si>
  <si>
    <t>TallyHelp</t>
  </si>
  <si>
    <t>GST Applicability</t>
  </si>
  <si>
    <t>Applicable, Not Applicable</t>
  </si>
  <si>
    <t>Opening Balance - Quantity</t>
  </si>
  <si>
    <t>Opening Balance - Rate</t>
  </si>
  <si>
    <t>Opening Balance - Rate Per</t>
  </si>
  <si>
    <t>Opening Balance - Value</t>
  </si>
  <si>
    <t>Language for Name (Except English)</t>
  </si>
  <si>
    <t>Is TCS Applicable</t>
  </si>
  <si>
    <t xml:space="preserve">Item Allocations Details </t>
  </si>
  <si>
    <t>Item Allocations - Godown</t>
  </si>
  <si>
    <t>(When Accounting Terminology is set to "India/SAARC")</t>
  </si>
  <si>
    <t>Item Allocations - Batch</t>
  </si>
  <si>
    <t>Item Allocations - Quantity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</si>
  <si>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</si>
  <si>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</si>
  <si>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</si>
  <si>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</si>
  <si>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</si>
  <si>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Location</t>
  </si>
  <si>
    <t>(When Accounting Terminology is set to "International")</t>
  </si>
  <si>
    <t>Additional Details</t>
  </si>
  <si>
    <t>Maintain in Batches</t>
  </si>
  <si>
    <t>Track date of manufacturing</t>
  </si>
  <si>
    <t>Use expiry dates</t>
  </si>
  <si>
    <t>Enable Cost Tracking</t>
  </si>
  <si>
    <t>Costing Method</t>
  </si>
  <si>
    <t>At Zero Cost, Avg. Cost, FIFO, FIFO Perpetual, Last Purchase Cost, LIFO Annual, LIFO Perpetual, Monthly Avg. Cost, Std. Cost</t>
  </si>
  <si>
    <t>Market Valuation Method</t>
  </si>
  <si>
    <t>At Zero Price, Avg. Price, Last Sale Price, Std. Price</t>
  </si>
  <si>
    <t>Behaviour</t>
  </si>
  <si>
    <t>Ignore difference due to physical counting</t>
  </si>
  <si>
    <t>Ignore negative balances</t>
  </si>
  <si>
    <t>Use expired batches during voucher entry</t>
  </si>
  <si>
    <t>Treat all sales as new manufacture</t>
  </si>
  <si>
    <t>Treat all purchases as consumed</t>
  </si>
  <si>
    <t>Treat all rejections inward as scrap</t>
  </si>
  <si>
    <t>BOM Details</t>
  </si>
  <si>
    <t>By-Product, Component, Co-Product, Scrap</t>
  </si>
  <si>
    <t>Default Accounting Allocation (Purchase)</t>
  </si>
  <si>
    <t>Accounting Allocation (Purchase) - Ledger Name</t>
  </si>
  <si>
    <t>Accounting Allocation (Purchase) - Percentage</t>
  </si>
  <si>
    <t>Accounting Allocation (Purchase) - Rounding Method</t>
  </si>
  <si>
    <t>Accounting Allocation (Purchase) - Rounding Limit</t>
  </si>
  <si>
    <t>Tax classification Purchase - GST</t>
  </si>
  <si>
    <t>India</t>
  </si>
  <si>
    <t>Tax classification Purchase - TDS</t>
  </si>
  <si>
    <t>Tax classification Purchase - VAT</t>
  </si>
  <si>
    <t>Kenya, Bangladesh, Boswana, Indonesia, Philippines, Ghana, Bahrain,  UAE, KSA, Oman</t>
  </si>
  <si>
    <t>Adjust Allocation Difference - Purchase</t>
  </si>
  <si>
    <t>Default Accounting Allocation( Sales)</t>
  </si>
  <si>
    <t>Accounting Allocation (Sales) - Ledger Name</t>
  </si>
  <si>
    <t>Accounting Allocation (Sales) - Percentage</t>
  </si>
  <si>
    <t>Accounting Allocation (Sales) - Rounding Method</t>
  </si>
  <si>
    <t>Accounting Allocation (Sales) - Rounding Limit</t>
  </si>
  <si>
    <t>Tax classification Sales - GST</t>
  </si>
  <si>
    <t>Tax classification Sales - TCS</t>
  </si>
  <si>
    <t>Tax classification Sales - VAT</t>
  </si>
  <si>
    <t>Adjust Allocation Difference - Sales</t>
  </si>
  <si>
    <t>HSN/SAC &amp; Related Details</t>
  </si>
  <si>
    <t>HSN/SAC - Applicable From</t>
  </si>
  <si>
    <t>HSN/SAC Details</t>
  </si>
  <si>
    <t>As per Company/Group, Specify Details Here, Use GST Classification, Specify in Voucher</t>
  </si>
  <si>
    <t>HSN - Classification</t>
  </si>
  <si>
    <t>HSN/SAC</t>
  </si>
  <si>
    <t>HSN Description</t>
  </si>
  <si>
    <t>GST Rate &amp; Related Details</t>
  </si>
  <si>
    <t>GST Rate - Applicable From</t>
  </si>
  <si>
    <t>GST Rate Details</t>
  </si>
  <si>
    <t>As per Company/Group, Specify Details Here, Use GST Classification, Specify in Voucher, Specify Slab-Based Rates</t>
  </si>
  <si>
    <t>GST - Classification</t>
  </si>
  <si>
    <t>GST - Taxability Type</t>
  </si>
  <si>
    <t>Exempt, Nill Rated, Non-GST, Taxable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</si>
  <si>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</si>
  <si>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</si>
  <si>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</si>
  <si>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</si>
  <si>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</si>
  <si>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</si>
  <si>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</si>
  <si>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</si>
  <si>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Slab-wise Item Rate - Up To</t>
  </si>
  <si>
    <t>Consider MRP while calculating Slab-based tax rate</t>
  </si>
  <si>
    <t>Include GST expenses/incomes to calculate slab-based tax rate</t>
  </si>
  <si>
    <t>Type of Supply</t>
  </si>
  <si>
    <t>Capital Goods, Goods, Services</t>
  </si>
  <si>
    <t>MRP Details</t>
  </si>
  <si>
    <t>Allow MRP modification in voucher</t>
  </si>
  <si>
    <t>MRP - Applicable From</t>
  </si>
  <si>
    <t>MRP - State Name</t>
  </si>
  <si>
    <t>MRP Rate</t>
  </si>
  <si>
    <t>MRP Rate per</t>
  </si>
  <si>
    <t>Other Tax Details</t>
  </si>
  <si>
    <t>Is inclusive of duties and taxes</t>
  </si>
  <si>
    <t>Rate of Duty</t>
  </si>
  <si>
    <t>Price List</t>
  </si>
  <si>
    <t>Price Level</t>
  </si>
  <si>
    <t>Price List - Date</t>
  </si>
  <si>
    <t>Item Quantities - From</t>
  </si>
  <si>
    <t>Item Quantities - Less than</t>
  </si>
  <si>
    <t>Price List Rate</t>
  </si>
  <si>
    <t>Price List Discount</t>
  </si>
  <si>
    <t>Standard Cost</t>
  </si>
  <si>
    <t>Standard Cost - Applicable From</t>
  </si>
  <si>
    <t>Standard Cost - Rate</t>
  </si>
  <si>
    <t>Standard Cost - Rate per</t>
  </si>
  <si>
    <t>Standard Selling Price</t>
  </si>
  <si>
    <t>Standard Selling Price - Applicable From</t>
  </si>
  <si>
    <t>Standard Selling Price - Rate</t>
  </si>
  <si>
    <t>Standard Selling Price - Rate per</t>
  </si>
  <si>
    <t>Statutory details</t>
  </si>
  <si>
    <t>Is Excise Applicable</t>
  </si>
  <si>
    <t>UAE, KSA, Oman</t>
  </si>
  <si>
    <t>Rate of VAT</t>
  </si>
  <si>
    <t>UK</t>
  </si>
  <si>
    <t>TCS - Nature of Goods Details</t>
  </si>
  <si>
    <t>TCS - Applicable From</t>
  </si>
  <si>
    <t>TCS - Nature of Goods</t>
  </si>
  <si>
    <t>TDS - Nature of Payment Details</t>
  </si>
  <si>
    <t>TDS - Nature of Payment</t>
  </si>
  <si>
    <t>TDS - Applicable From </t>
  </si>
  <si>
    <t>VAT Rate Details</t>
  </si>
  <si>
    <t>VAT - Applicable From</t>
  </si>
  <si>
    <t>Bahrain, Bangladesh, Botswana, Indonesia, Philippines, Ghana, Kenya, UAE, KSA, Oman</t>
  </si>
  <si>
    <t>VAT - Taxability</t>
  </si>
  <si>
    <t>VAT - Rate</t>
  </si>
  <si>
    <t>VAT - Classification</t>
  </si>
  <si>
    <t>Bangladesh, Botswana, Indonesia, Philippines, Ghana, Kenya</t>
  </si>
  <si>
    <t>VAT - Nature of Goods</t>
  </si>
  <si>
    <t>Bangladesh, Philippines</t>
  </si>
  <si>
    <t>VAT - Supplementary Duty</t>
  </si>
  <si>
    <t>Bangladesh</t>
  </si>
  <si>
    <t>VAT - Type of Goods</t>
  </si>
  <si>
    <t>Botswana, Kenya</t>
  </si>
  <si>
    <t>VAT - NHIL</t>
  </si>
  <si>
    <t>Ghana</t>
  </si>
  <si>
    <t>VAT - Commodity Name</t>
  </si>
  <si>
    <t>Kenya</t>
  </si>
  <si>
    <t>VAT - Commodity Code</t>
  </si>
  <si>
    <t>VAT - Category</t>
  </si>
  <si>
    <t>Reporting UOM</t>
  </si>
  <si>
    <t>Reporting UOM - Applicable From</t>
  </si>
  <si>
    <t>Reporting UOM - Name</t>
  </si>
  <si>
    <t>Reorder Details</t>
  </si>
  <si>
    <t>Reorder Level - Quantity</t>
  </si>
  <si>
    <t>Reorder Level - Period</t>
  </si>
  <si>
    <t>Reorder Level - Period Length</t>
  </si>
  <si>
    <t>Reorder Level - Criteria</t>
  </si>
  <si>
    <t>Reorder Level - Rounding Method</t>
  </si>
  <si>
    <t>Reorder Level - Rounding Limit</t>
  </si>
  <si>
    <t>Minimum Order - Quantity</t>
  </si>
  <si>
    <t>Minimum Order - Period</t>
  </si>
  <si>
    <t>Minimum Order - Period Length</t>
  </si>
  <si>
    <t>Minimum Order - Criteria</t>
  </si>
  <si>
    <t>Minimum Order - Rounding Method</t>
  </si>
  <si>
    <t>Minimum Order - Rounding Limit</t>
  </si>
  <si>
    <t>Nos.</t>
  </si>
  <si>
    <t>Code</t>
  </si>
  <si>
    <t>Item Name</t>
  </si>
  <si>
    <t xml:space="preserve">Quantity </t>
  </si>
  <si>
    <t>Cost</t>
  </si>
  <si>
    <t>TRIM</t>
  </si>
  <si>
    <t>REFLECTOR</t>
  </si>
  <si>
    <t>BEAM ANGLE</t>
  </si>
  <si>
    <t>DRIVING SYSTEM</t>
  </si>
  <si>
    <t>COLOR TEMP</t>
  </si>
  <si>
    <t>Formulae</t>
  </si>
  <si>
    <t>Formulae for COST</t>
  </si>
  <si>
    <t>Formulae for Quantity</t>
  </si>
  <si>
    <t>HOUSING/HS</t>
  </si>
  <si>
    <t>EXTRA</t>
  </si>
  <si>
    <t>BOM LED PCB</t>
  </si>
  <si>
    <t>COLOUR TEMPERATURE</t>
  </si>
  <si>
    <t>Down light Series</t>
  </si>
  <si>
    <t>M</t>
  </si>
  <si>
    <t>Mechanical Store</t>
  </si>
  <si>
    <t>R</t>
  </si>
  <si>
    <t>MOUNTING TRIM</t>
  </si>
  <si>
    <t>Electronics Store</t>
  </si>
  <si>
    <t>50-</t>
  </si>
  <si>
    <t>30-</t>
  </si>
  <si>
    <t>40-</t>
  </si>
  <si>
    <t>60-</t>
  </si>
  <si>
    <t>T</t>
  </si>
  <si>
    <t>End-cap L - 56  W-50  T-1.5mm</t>
  </si>
  <si>
    <t xml:space="preserve">Wire  3 Core 0.75Sq L-1500mm </t>
  </si>
  <si>
    <t>description</t>
  </si>
  <si>
    <t>Screw  M3X6 Self CSK PH-SS</t>
  </si>
  <si>
    <t>Suspension Kit - 1.5Mtr</t>
  </si>
  <si>
    <t>-</t>
  </si>
  <si>
    <t>I-</t>
  </si>
  <si>
    <t>BT-</t>
  </si>
  <si>
    <t>PS  25W 72V 320mA BT</t>
  </si>
  <si>
    <t>Diff.  L-1200mm,T-1mm</t>
  </si>
  <si>
    <t>Allum  Profile L -1200   W-50  H-56  T-1mm.Weight-0.900kg</t>
  </si>
  <si>
    <t>SKU Id</t>
  </si>
  <si>
    <t>SKU Code</t>
  </si>
  <si>
    <t>Product Name</t>
  </si>
  <si>
    <t>Cost Price</t>
  </si>
  <si>
    <t>Retail Price</t>
  </si>
  <si>
    <t>Selling Price</t>
  </si>
  <si>
    <t>Weight</t>
  </si>
  <si>
    <t>Width</t>
  </si>
  <si>
    <t>Height</t>
  </si>
  <si>
    <t>Depth</t>
  </si>
  <si>
    <t>Input power (Watts)</t>
  </si>
  <si>
    <t>Color Temp</t>
  </si>
  <si>
    <t>Driving System</t>
  </si>
  <si>
    <t/>
  </si>
  <si>
    <t>25 Watts / 1180mm</t>
  </si>
  <si>
    <t>6000K</t>
  </si>
  <si>
    <t>Constant Current</t>
  </si>
  <si>
    <t>5000K</t>
  </si>
  <si>
    <t>4000K</t>
  </si>
  <si>
    <t>3000K</t>
  </si>
  <si>
    <t>H50562560I</t>
  </si>
  <si>
    <t>Dali Dimming</t>
  </si>
  <si>
    <t>H50562550I</t>
  </si>
  <si>
    <t>H50562540I</t>
  </si>
  <si>
    <t>H50562530I</t>
  </si>
  <si>
    <t>H50562560BT</t>
  </si>
  <si>
    <t>Bluetooth Dimming</t>
  </si>
  <si>
    <t>H50562550BT</t>
  </si>
  <si>
    <t>H50562540BT</t>
  </si>
  <si>
    <t>H50562530BT</t>
  </si>
  <si>
    <t>H50562560</t>
  </si>
  <si>
    <t>H50562550</t>
  </si>
  <si>
    <t>H50562540</t>
  </si>
  <si>
    <t>H50562530</t>
  </si>
  <si>
    <t>Blue Tape  L-3.6 Mtr</t>
  </si>
  <si>
    <t>4mtr</t>
  </si>
  <si>
    <t xml:space="preserve">Conn. 4pin Ass.wire </t>
  </si>
  <si>
    <t>Grommet - 5X11mm</t>
  </si>
  <si>
    <t xml:space="preserve">Sleeve  M4mm Black </t>
  </si>
  <si>
    <t>Wire Single Core 0.5Sq mm  L-120mm Red &amp; Black</t>
  </si>
  <si>
    <t>Down Light Series</t>
  </si>
  <si>
    <t>Alluminum Profile HLP5056 12ft [White]</t>
  </si>
  <si>
    <t>Diff. 50mm for Profile 5056</t>
  </si>
  <si>
    <t>Allum End Cap 5056 - White</t>
  </si>
  <si>
    <t>DOUBLE SIDE TAPE 8MM BLUE</t>
  </si>
  <si>
    <t>Connecter White Terminal 5Amp</t>
  </si>
  <si>
    <t>Suspension 1.5 Mtr</t>
  </si>
  <si>
    <t>SH. Sleeve Black 3mm</t>
  </si>
  <si>
    <t>Screw M3x6.5mm Self Csk Head Ss</t>
  </si>
  <si>
    <t>Gromment (White)</t>
  </si>
  <si>
    <t>PS 24W 300mA 72V Maxic(PCB LT-MX-20W-V2)</t>
  </si>
  <si>
    <t>Dali Driver SC 30-45W PE19DA4240(AI-DIMMING)9-42V</t>
  </si>
  <si>
    <t>LED 2835-60mA-6000K (PW)</t>
  </si>
  <si>
    <t>LED 2835-60mA-5000K (PW)</t>
  </si>
  <si>
    <t>LED 2835-60mA-4000K (NW)</t>
  </si>
  <si>
    <t>LED 2835-60mA-3000K (WW)</t>
  </si>
  <si>
    <t>Flexible PCB for HLP-Profile (FPC-2) LYW-1Mtr</t>
  </si>
  <si>
    <t>Unit Price</t>
  </si>
  <si>
    <t>USD</t>
  </si>
  <si>
    <t>INS&amp;FRED</t>
  </si>
  <si>
    <t>BCD</t>
  </si>
  <si>
    <t>Total Cost</t>
  </si>
  <si>
    <t>H5056-25W-CC</t>
  </si>
  <si>
    <t>H5056-25W Dali Single Color</t>
  </si>
  <si>
    <t>PS Rate Mention with Total Amt</t>
  </si>
  <si>
    <t>24W Rate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</si>
</sst>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00"/>
    <numFmt numFmtId="165" formatCode="_ [$Rs.-4009]\ * #,##0.00_ ;_ [$Rs.-4009]\ * \-#,##0.00_ ;_ [$Rs.-4009]\ * &quot;-&quot;??_ ;_ @_ "/>
    <numFmt numFmtId="166" formatCode="_-[$$-409]* #,##0.000_ ;_-[$$-409]* \-#,##0.000\ ;_-[$$-409]* &quot;-&quot;??_ ;_-@_ "/>
    <numFmt numFmtId="167" formatCode="_-[$Rs-420]* #,##0.00_-;_-[$Rs-420]* #,##0.00\-;_-[$Rs-420]* &quot;-&quot;??_-;_-@_-"/>
    <numFmt numFmtId="168" formatCode="&quot;$&quot;#,##0.000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172B4D"/>
      <name val="Arial"/>
      <family val="2"/>
    </font>
    <font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facad-Regular"/>
    </font>
    <font>
      <sz val="11"/>
      <name val="Calibri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FEC53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/>
      <right style="thin">
        <color rgb="FF00B0F0"/>
      </right>
      <top/>
      <bottom/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double">
        <color indexed="64"/>
      </bottom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2" fillId="0" borderId="0"/>
    <xf numFmtId="0" fontId="20" fillId="0" borderId="0"/>
    <xf numFmtId="0" fontId="22" fillId="0" borderId="0"/>
  </cellStyleXfs>
  <cellXfs count="122">
    <xf numFmtId="0" fontId="0" fillId="0" borderId="0" xfId="0"/>
    <xf numFmtId="0" fontId="5" fillId="0" borderId="0" xfId="0" applyFont="1"/>
    <xf numFmtId="0" fontId="6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8" fillId="2" borderId="0" xfId="0" applyFont="1" applyFill="1"/>
    <xf numFmtId="0" fontId="0" fillId="2" borderId="0" xfId="0" applyFill="1"/>
    <xf numFmtId="0" fontId="7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wrapText="1"/>
    </xf>
    <xf numFmtId="0" fontId="9" fillId="2" borderId="4" xfId="0" applyFont="1" applyFill="1" applyBorder="1"/>
    <xf numFmtId="0" fontId="5" fillId="2" borderId="5" xfId="0" applyFont="1" applyFill="1" applyBorder="1"/>
    <xf numFmtId="0" fontId="7" fillId="0" borderId="6" xfId="0" applyFont="1" applyBorder="1" applyAlignment="1">
      <alignment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/>
    <xf numFmtId="0" fontId="10" fillId="2" borderId="7" xfId="0" applyFont="1" applyFill="1" applyBorder="1" applyAlignment="1">
      <alignment horizontal="left" indent="2"/>
    </xf>
    <xf numFmtId="0" fontId="5" fillId="2" borderId="0" xfId="0" applyFont="1" applyFill="1" applyAlignment="1">
      <alignment horizontal="left" indent="2"/>
    </xf>
    <xf numFmtId="0" fontId="5" fillId="0" borderId="1" xfId="0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indent="2"/>
    </xf>
    <xf numFmtId="0" fontId="5" fillId="2" borderId="7" xfId="0" applyFont="1" applyFill="1" applyBorder="1" applyAlignment="1">
      <alignment horizontal="left" indent="2"/>
    </xf>
    <xf numFmtId="0" fontId="11" fillId="2" borderId="7" xfId="0" applyFont="1" applyFill="1" applyBorder="1" applyAlignment="1">
      <alignment horizontal="left" indent="2"/>
    </xf>
    <xf numFmtId="0" fontId="11" fillId="2" borderId="0" xfId="0" applyFont="1" applyFill="1" applyAlignment="1">
      <alignment horizontal="left" indent="2"/>
    </xf>
    <xf numFmtId="0" fontId="11" fillId="2" borderId="7" xfId="0" applyFont="1" applyFill="1" applyBorder="1" applyAlignment="1">
      <alignment horizontal="left" indent="3"/>
    </xf>
    <xf numFmtId="0" fontId="12" fillId="2" borderId="7" xfId="0" applyFont="1" applyFill="1" applyBorder="1" applyAlignment="1">
      <alignment horizontal="left" indent="3"/>
    </xf>
    <xf numFmtId="0" fontId="13" fillId="2" borderId="0" xfId="0" applyFont="1" applyFill="1" applyAlignment="1">
      <alignment horizontal="left" indent="3"/>
    </xf>
    <xf numFmtId="0" fontId="14" fillId="0" borderId="3" xfId="0" applyFont="1" applyBorder="1" applyAlignment="1">
      <alignment wrapText="1"/>
    </xf>
    <xf numFmtId="0" fontId="5" fillId="2" borderId="7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10" fillId="2" borderId="0" xfId="0" applyFont="1" applyFill="1"/>
    <xf numFmtId="0" fontId="7" fillId="2" borderId="0" xfId="0" applyFont="1" applyFill="1"/>
    <xf numFmtId="0" fontId="7" fillId="4" borderId="2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wrapText="1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left" indent="1"/>
    </xf>
    <xf numFmtId="0" fontId="5" fillId="0" borderId="3" xfId="0" applyFont="1" applyBorder="1" applyAlignment="1">
      <alignment wrapText="1"/>
    </xf>
    <xf numFmtId="0" fontId="9" fillId="2" borderId="5" xfId="0" applyFont="1" applyFill="1" applyBorder="1"/>
    <xf numFmtId="0" fontId="15" fillId="2" borderId="0" xfId="1" applyFill="1" applyBorder="1" applyAlignment="1"/>
    <xf numFmtId="0" fontId="15" fillId="2" borderId="0" xfId="1" applyFill="1" applyBorder="1"/>
    <xf numFmtId="0" fontId="9" fillId="2" borderId="10" xfId="0" applyFont="1" applyFill="1" applyBorder="1"/>
    <xf numFmtId="0" fontId="5" fillId="2" borderId="11" xfId="0" applyFont="1" applyFill="1" applyBorder="1" applyAlignment="1">
      <alignment horizontal="left" indent="2"/>
    </xf>
    <xf numFmtId="0" fontId="11" fillId="2" borderId="11" xfId="0" applyFont="1" applyFill="1" applyBorder="1" applyAlignment="1">
      <alignment horizontal="left" indent="2"/>
    </xf>
    <xf numFmtId="0" fontId="5" fillId="2" borderId="11" xfId="0" applyFont="1" applyFill="1" applyBorder="1"/>
    <xf numFmtId="0" fontId="5" fillId="2" borderId="12" xfId="0" applyFont="1" applyFill="1" applyBorder="1"/>
    <xf numFmtId="0" fontId="6" fillId="0" borderId="2" xfId="0" applyFont="1" applyBorder="1" applyAlignment="1">
      <alignment horizontal="left" vertical="top" wrapText="1"/>
    </xf>
    <xf numFmtId="0" fontId="0" fillId="2" borderId="0" xfId="0" applyFill="1" applyAlignment="1">
      <alignment readingOrder="1"/>
    </xf>
    <xf numFmtId="0" fontId="0" fillId="0" borderId="0" xfId="0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/>
    <xf numFmtId="0" fontId="18" fillId="6" borderId="1" xfId="0" applyFont="1" applyFill="1" applyBorder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8" fillId="6" borderId="1" xfId="0" applyFont="1" applyFill="1" applyBorder="1" applyAlignment="1">
      <alignment wrapText="1"/>
    </xf>
    <xf numFmtId="0" fontId="4" fillId="7" borderId="1" xfId="0" applyFont="1" applyFill="1" applyBorder="1" applyAlignment="1">
      <alignment wrapText="1"/>
    </xf>
    <xf numFmtId="0" fontId="4" fillId="7" borderId="1" xfId="0" applyFont="1" applyFill="1" applyBorder="1"/>
    <xf numFmtId="0" fontId="0" fillId="8" borderId="1" xfId="0" applyFill="1" applyBorder="1" applyAlignment="1">
      <alignment wrapText="1"/>
    </xf>
    <xf numFmtId="0" fontId="0" fillId="8" borderId="1" xfId="0" applyFill="1" applyBorder="1"/>
    <xf numFmtId="0" fontId="0" fillId="8" borderId="14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2" fillId="0" borderId="1" xfId="0" applyFont="1" applyBorder="1"/>
    <xf numFmtId="0" fontId="2" fillId="7" borderId="1" xfId="0" applyFont="1" applyFill="1" applyBorder="1"/>
    <xf numFmtId="0" fontId="2" fillId="7" borderId="15" xfId="0" applyFont="1" applyFill="1" applyBorder="1"/>
    <xf numFmtId="0" fontId="0" fillId="9" borderId="0" xfId="0" applyFill="1" applyAlignment="1">
      <alignment wrapText="1"/>
    </xf>
    <xf numFmtId="0" fontId="0" fillId="9" borderId="0" xfId="0" applyFill="1"/>
    <xf numFmtId="0" fontId="19" fillId="0" borderId="0" xfId="0" applyFont="1"/>
    <xf numFmtId="0" fontId="0" fillId="2" borderId="1" xfId="0" applyFill="1" applyBorder="1"/>
    <xf numFmtId="0" fontId="2" fillId="0" borderId="1" xfId="2" applyBorder="1"/>
    <xf numFmtId="0" fontId="2" fillId="0" borderId="14" xfId="2" applyBorder="1"/>
    <xf numFmtId="0" fontId="2" fillId="0" borderId="2" xfId="0" applyFont="1" applyBorder="1"/>
    <xf numFmtId="0" fontId="2" fillId="10" borderId="1" xfId="0" applyFont="1" applyFill="1" applyBorder="1"/>
    <xf numFmtId="0" fontId="0" fillId="10" borderId="1" xfId="0" applyFill="1" applyBorder="1"/>
    <xf numFmtId="0" fontId="20" fillId="0" borderId="1" xfId="3" applyBorder="1"/>
    <xf numFmtId="0" fontId="0" fillId="9" borderId="1" xfId="0" applyFill="1" applyBorder="1"/>
    <xf numFmtId="0" fontId="21" fillId="10" borderId="0" xfId="0" applyFont="1" applyFill="1" applyAlignment="1">
      <alignment horizontal="left" vertical="center" wrapText="1"/>
    </xf>
    <xf numFmtId="0" fontId="22" fillId="0" borderId="0" xfId="4"/>
    <xf numFmtId="0" fontId="0" fillId="6" borderId="1" xfId="0" applyFill="1" applyBorder="1"/>
    <xf numFmtId="0" fontId="22" fillId="10" borderId="1" xfId="4" applyFill="1" applyBorder="1" applyAlignment="1">
      <alignment horizontal="left"/>
    </xf>
    <xf numFmtId="0" fontId="22" fillId="0" borderId="1" xfId="4" applyBorder="1" applyAlignment="1">
      <alignment horizontal="left"/>
    </xf>
    <xf numFmtId="0" fontId="0" fillId="0" borderId="2" xfId="0" applyBorder="1"/>
    <xf numFmtId="0" fontId="0" fillId="0" borderId="14" xfId="0" applyBorder="1"/>
    <xf numFmtId="0" fontId="2" fillId="0" borderId="14" xfId="0" applyFont="1" applyBorder="1"/>
    <xf numFmtId="0" fontId="23" fillId="0" borderId="1" xfId="0" applyNumberFormat="1" applyFont="1" applyBorder="1" applyAlignment="1">
      <alignment horizontal="center" vertical="center" wrapText="1"/>
    </xf>
    <xf numFmtId="16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64" fontId="23" fillId="0" borderId="0" xfId="0" applyNumberFormat="1" applyFont="1" applyBorder="1" applyAlignment="1">
      <alignment horizontal="center" vertical="center"/>
    </xf>
    <xf numFmtId="167" fontId="23" fillId="8" borderId="1" xfId="0" applyNumberFormat="1" applyFont="1" applyFill="1" applyBorder="1" applyAlignment="1">
      <alignment horizontal="center" vertical="center"/>
    </xf>
    <xf numFmtId="168" fontId="25" fillId="0" borderId="0" xfId="0" applyNumberFormat="1" applyFont="1" applyBorder="1" applyAlignment="1">
      <alignment horizontal="center" vertical="center"/>
    </xf>
    <xf numFmtId="9" fontId="25" fillId="0" borderId="0" xfId="0" applyNumberFormat="1" applyFont="1" applyBorder="1" applyAlignment="1">
      <alignment horizontal="center" vertical="center"/>
    </xf>
    <xf numFmtId="164" fontId="25" fillId="0" borderId="0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165" fontId="26" fillId="6" borderId="16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7" fontId="27" fillId="8" borderId="1" xfId="0" applyNumberFormat="1" applyFont="1" applyFill="1" applyBorder="1" applyAlignment="1">
      <alignment horizontal="center" vertical="center"/>
    </xf>
    <xf numFmtId="165" fontId="25" fillId="0" borderId="1" xfId="0" applyNumberFormat="1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9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" fillId="10" borderId="1" xfId="0" applyFont="1" applyFill="1" applyBorder="1"/>
    <xf numFmtId="0" fontId="28" fillId="0" borderId="1" xfId="0" applyFont="1" applyBorder="1"/>
    <xf numFmtId="165" fontId="25" fillId="0" borderId="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right" vertical="center"/>
    </xf>
    <xf numFmtId="0" fontId="8" fillId="8" borderId="14" xfId="0" applyFont="1" applyFill="1" applyBorder="1" applyAlignment="1">
      <alignment horizontal="right" vertical="center"/>
    </xf>
    <xf numFmtId="0" fontId="11" fillId="2" borderId="0" xfId="0" applyFont="1" applyFill="1" applyAlignment="1">
      <alignment horizontal="left" wrapText="1"/>
    </xf>
    <xf numFmtId="0" fontId="11" fillId="2" borderId="7" xfId="0" applyFont="1" applyFill="1" applyBorder="1" applyAlignment="1">
      <alignment horizontal="left" wrapText="1" indent="2"/>
    </xf>
    <xf numFmtId="0" fontId="11" fillId="2" borderId="0" xfId="0" applyFont="1" applyFill="1" applyAlignment="1">
      <alignment horizontal="left" wrapText="1" indent="2"/>
    </xf>
    <xf numFmtId="0" fontId="11" fillId="2" borderId="11" xfId="0" applyFont="1" applyFill="1" applyBorder="1" applyAlignment="1">
      <alignment horizontal="left" wrapText="1" indent="2"/>
    </xf>
    <xf numFmtId="0" fontId="18" fillId="0" borderId="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5" fontId="25" fillId="0" borderId="1" xfId="0" applyNumberFormat="1" applyFont="1" applyBorder="1" applyAlignment="1">
      <alignment vertical="center"/>
    </xf>
    <xf numFmtId="166" fontId="25" fillId="0" borderId="1" xfId="0" applyNumberFormat="1" applyFont="1" applyBorder="1" applyAlignment="1">
      <alignment vertical="center"/>
    </xf>
    <xf numFmtId="9" fontId="25" fillId="0" borderId="1" xfId="0" applyNumberFormat="1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165" fontId="25" fillId="11" borderId="1" xfId="0" applyNumberFormat="1" applyFont="1" applyFill="1" applyBorder="1" applyAlignment="1">
      <alignment vertical="center"/>
    </xf>
  </cellXfs>
  <cellStyles count="5">
    <cellStyle name="Hyperlink 2" xfId="1"/>
    <cellStyle name="Normal" xfId="0" builtinId="0"/>
    <cellStyle name="Normal 2" xfId="2"/>
    <cellStyle name="Normal 2 2" xfId="3"/>
    <cellStyle name="Normal 3" xfId="4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help.tallysolutions.com/tally-prime/data-exchange-tally-prime/import-data-in-tal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abSelected="1" topLeftCell="F1" zoomScale="96" zoomScaleNormal="96" workbookViewId="0">
      <selection activeCell="F4" sqref="A4:XFD4"/>
    </sheetView>
  </sheetViews>
  <sheetFormatPr defaultColWidth="9" defaultRowHeight="15"/>
  <cols>
    <col min="1" max="1" width="22.85546875" customWidth="1"/>
    <col min="2" max="2" width="17.28515625" customWidth="1"/>
    <col min="3" max="3" width="8.28515625" customWidth="1"/>
    <col min="4" max="4" width="32.28515625" customWidth="1"/>
    <col min="5" max="5" width="20.42578125" customWidth="1"/>
    <col min="6" max="6" width="53.140625" customWidth="1"/>
    <col min="7" max="7" width="28" customWidth="1"/>
    <col min="8" max="8" width="27.7109375" hidden="1" customWidth="1"/>
    <col min="9" max="9" width="20.85546875" hidden="1" customWidth="1"/>
    <col min="10" max="10" width="27.7109375" hidden="1" customWidth="1"/>
    <col min="11" max="11" width="27.5703125" bestFit="1" customWidth="1"/>
    <col min="12" max="13" width="14.7109375" customWidth="1"/>
    <col min="14" max="14" width="11.7109375" customWidth="1"/>
    <col min="15" max="17" width="12.140625" customWidth="1"/>
    <col min="18" max="18" width="9.42578125" customWidth="1"/>
    <col min="19" max="19" width="53" bestFit="1" customWidth="1"/>
    <col min="20" max="20" width="24.28515625" customWidth="1"/>
    <col min="21" max="21" width="18" customWidth="1"/>
    <col min="22" max="22" width="29" customWidth="1"/>
    <col min="23" max="23" width="28.28515625" customWidth="1"/>
  </cols>
  <sheetData>
    <row r="1" spans="1:19" s="47" customFormat="1">
      <c r="A1" s="48" t="s">
        <v>0</v>
      </c>
      <c r="B1" s="48" t="s">
        <v>17</v>
      </c>
      <c r="C1" s="48" t="s">
        <v>26</v>
      </c>
      <c r="D1" s="48" t="s">
        <v>1</v>
      </c>
      <c r="E1" s="48" t="s">
        <v>2</v>
      </c>
      <c r="F1" s="48" t="s">
        <v>3</v>
      </c>
      <c r="G1" s="48" t="s">
        <v>4</v>
      </c>
      <c r="H1" s="48" t="s">
        <v>5</v>
      </c>
      <c r="I1" s="48" t="s">
        <v>6</v>
      </c>
      <c r="J1" s="48" t="s">
        <v>7</v>
      </c>
      <c r="K1" s="48" t="s">
        <v>8</v>
      </c>
      <c r="L1" s="82" t="s">
        <v>285</v>
      </c>
      <c r="M1" s="82" t="s">
        <v>193</v>
      </c>
      <c r="N1" s="83" t="s">
        <v>286</v>
      </c>
      <c r="O1" s="84" t="s">
        <v>287</v>
      </c>
      <c r="P1" s="85" t="s">
        <v>288</v>
      </c>
      <c r="Q1" s="83" t="s">
        <v>289</v>
      </c>
      <c r="R1" s="86"/>
      <c r="S1" s="47" t="s">
        <v>219</v>
      </c>
    </row>
    <row r="2" spans="1:19">
      <c r="A2" s="49" t="str">
        <f>$D$2</f>
        <v>H50562530</v>
      </c>
      <c r="B2" s="49" t="s">
        <v>206</v>
      </c>
      <c r="C2" s="49" t="s">
        <v>189</v>
      </c>
      <c r="D2" s="74" t="s">
        <v>261</v>
      </c>
      <c r="E2" s="49">
        <v>1</v>
      </c>
      <c r="F2" s="103" t="s">
        <v>269</v>
      </c>
      <c r="G2" s="49">
        <v>0.33</v>
      </c>
      <c r="H2" s="49" t="s">
        <v>208</v>
      </c>
      <c r="I2" s="49" t="s">
        <v>9</v>
      </c>
      <c r="J2" s="49"/>
      <c r="K2" s="49"/>
      <c r="L2" s="97">
        <f>340*1.8</f>
        <v>612</v>
      </c>
      <c r="M2" s="105">
        <f>G2*L2</f>
        <v>201.96</v>
      </c>
      <c r="S2" s="71" t="s">
        <v>227</v>
      </c>
    </row>
    <row r="3" spans="1:19">
      <c r="A3" s="49"/>
      <c r="B3" s="49"/>
      <c r="C3" s="49"/>
      <c r="D3" s="49"/>
      <c r="E3" s="49"/>
      <c r="F3" s="49" t="s">
        <v>270</v>
      </c>
      <c r="G3" s="49">
        <v>0.33</v>
      </c>
      <c r="H3" s="49" t="s">
        <v>208</v>
      </c>
      <c r="I3" s="49" t="s">
        <v>9</v>
      </c>
      <c r="J3" s="49"/>
      <c r="K3" s="49"/>
      <c r="L3" s="117">
        <f t="shared" ref="L3:L17" si="0">Q3*87</f>
        <v>183.35249999999999</v>
      </c>
      <c r="M3" s="117">
        <f t="shared" ref="M3:M17" si="1">G3*L3</f>
        <v>60.506324999999997</v>
      </c>
      <c r="N3" s="118">
        <v>1.405</v>
      </c>
      <c r="O3" s="119">
        <v>0.5</v>
      </c>
      <c r="P3" s="120"/>
      <c r="Q3" s="120">
        <f t="shared" ref="Q3:Q17" si="2">N3+(N3*(O3+P3))</f>
        <v>2.1074999999999999</v>
      </c>
      <c r="S3" s="49" t="s">
        <v>226</v>
      </c>
    </row>
    <row r="4" spans="1:19">
      <c r="A4" s="49"/>
      <c r="B4" s="49"/>
      <c r="C4" s="49"/>
      <c r="D4" s="49"/>
      <c r="E4" s="49"/>
      <c r="F4" s="49" t="s">
        <v>271</v>
      </c>
      <c r="G4" s="49">
        <v>2</v>
      </c>
      <c r="H4" s="49" t="s">
        <v>208</v>
      </c>
      <c r="I4" s="49" t="s">
        <v>9</v>
      </c>
      <c r="J4" s="49"/>
      <c r="K4" s="49"/>
      <c r="L4" s="121"/>
      <c r="M4" s="121"/>
      <c r="S4" s="49" t="s">
        <v>217</v>
      </c>
    </row>
    <row r="5" spans="1:19">
      <c r="A5" s="49"/>
      <c r="B5" s="49"/>
      <c r="C5" s="49"/>
      <c r="D5" s="49"/>
      <c r="E5" s="91"/>
      <c r="F5" s="76" t="s">
        <v>267</v>
      </c>
      <c r="G5" s="49">
        <v>2</v>
      </c>
      <c r="H5" s="49" t="s">
        <v>208</v>
      </c>
      <c r="I5" s="49" t="s">
        <v>9</v>
      </c>
      <c r="J5" s="49"/>
      <c r="K5" s="49"/>
      <c r="L5" s="117">
        <f>2/1000*120</f>
        <v>0.24</v>
      </c>
      <c r="M5" s="105">
        <f t="shared" ref="M5:M6" si="3">G5*L5</f>
        <v>0.48</v>
      </c>
      <c r="S5" s="49" t="s">
        <v>267</v>
      </c>
    </row>
    <row r="6" spans="1:19" ht="16.5" customHeight="1">
      <c r="A6" s="49"/>
      <c r="B6" s="49"/>
      <c r="C6" s="49"/>
      <c r="D6" s="49"/>
      <c r="E6" s="49"/>
      <c r="F6" s="76" t="s">
        <v>218</v>
      </c>
      <c r="G6" s="49">
        <v>1</v>
      </c>
      <c r="H6" s="49" t="s">
        <v>208</v>
      </c>
      <c r="I6" s="49" t="s">
        <v>9</v>
      </c>
      <c r="J6" s="49"/>
      <c r="K6" s="49"/>
      <c r="L6" s="117">
        <f>27.78/1000*1.5</f>
        <v>4.1670000000000006E-2</v>
      </c>
      <c r="M6" s="105">
        <f t="shared" si="3"/>
        <v>4.1670000000000006E-2</v>
      </c>
      <c r="S6" s="49" t="s">
        <v>218</v>
      </c>
    </row>
    <row r="7" spans="1:19">
      <c r="A7" s="49"/>
      <c r="B7" s="49"/>
      <c r="C7" s="49"/>
      <c r="D7" s="49"/>
      <c r="E7" s="49"/>
      <c r="F7" s="49" t="s">
        <v>272</v>
      </c>
      <c r="G7" s="49">
        <v>3.6</v>
      </c>
      <c r="H7" s="49" t="s">
        <v>208</v>
      </c>
      <c r="I7" s="49" t="s">
        <v>9</v>
      </c>
      <c r="J7" s="49"/>
      <c r="K7" s="49"/>
      <c r="L7" s="97">
        <f>82/20</f>
        <v>4.0999999999999996</v>
      </c>
      <c r="M7" s="97">
        <f t="shared" si="1"/>
        <v>14.76</v>
      </c>
      <c r="S7" s="49" t="s">
        <v>262</v>
      </c>
    </row>
    <row r="8" spans="1:19">
      <c r="A8" s="49"/>
      <c r="B8" s="49"/>
      <c r="C8" s="49"/>
      <c r="D8" s="49"/>
      <c r="E8" s="49"/>
      <c r="F8" s="49" t="s">
        <v>273</v>
      </c>
      <c r="G8" s="49">
        <v>0.2</v>
      </c>
      <c r="H8" s="49" t="s">
        <v>208</v>
      </c>
      <c r="I8" s="49" t="s">
        <v>9</v>
      </c>
      <c r="J8" s="49"/>
      <c r="K8" s="49"/>
      <c r="L8" s="97">
        <v>21</v>
      </c>
      <c r="M8" s="97">
        <f t="shared" si="1"/>
        <v>4.2</v>
      </c>
      <c r="S8" s="49" t="s">
        <v>264</v>
      </c>
    </row>
    <row r="9" spans="1:19">
      <c r="A9" s="49"/>
      <c r="B9" s="49"/>
      <c r="C9" s="49"/>
      <c r="D9" s="49"/>
      <c r="E9" s="49"/>
      <c r="F9" s="49" t="s">
        <v>274</v>
      </c>
      <c r="G9" s="49">
        <v>2</v>
      </c>
      <c r="H9" s="49" t="s">
        <v>208</v>
      </c>
      <c r="I9" s="49" t="s">
        <v>9</v>
      </c>
      <c r="J9" s="49"/>
      <c r="K9" s="49"/>
      <c r="L9" s="97">
        <v>30.5</v>
      </c>
      <c r="M9" s="97">
        <f t="shared" si="1"/>
        <v>61</v>
      </c>
      <c r="S9" s="49" t="s">
        <v>221</v>
      </c>
    </row>
    <row r="10" spans="1:19">
      <c r="A10" s="49"/>
      <c r="B10" s="49"/>
      <c r="C10" s="49"/>
      <c r="D10" s="49"/>
      <c r="E10" s="49"/>
      <c r="F10" s="60" t="s">
        <v>275</v>
      </c>
      <c r="G10" s="60">
        <v>0.12</v>
      </c>
      <c r="H10" s="49" t="s">
        <v>208</v>
      </c>
      <c r="I10" s="49" t="s">
        <v>9</v>
      </c>
      <c r="J10" s="49"/>
      <c r="K10" s="49"/>
      <c r="L10" s="97">
        <v>3.5</v>
      </c>
      <c r="M10" s="97">
        <f t="shared" si="1"/>
        <v>0.42</v>
      </c>
      <c r="S10" s="60" t="s">
        <v>266</v>
      </c>
    </row>
    <row r="11" spans="1:19">
      <c r="A11" s="49"/>
      <c r="B11" s="49"/>
      <c r="C11" s="49"/>
      <c r="D11" s="49"/>
      <c r="E11" s="49"/>
      <c r="F11" s="49" t="s">
        <v>276</v>
      </c>
      <c r="G11" s="49">
        <v>8</v>
      </c>
      <c r="H11" s="49" t="s">
        <v>208</v>
      </c>
      <c r="I11" s="79" t="s">
        <v>9</v>
      </c>
      <c r="J11" s="49"/>
      <c r="K11" s="49"/>
      <c r="L11" s="97">
        <v>0.15</v>
      </c>
      <c r="M11" s="97">
        <f t="shared" si="1"/>
        <v>1.2</v>
      </c>
      <c r="S11" s="80" t="s">
        <v>220</v>
      </c>
    </row>
    <row r="12" spans="1:19">
      <c r="A12" s="49"/>
      <c r="B12" s="49"/>
      <c r="C12" s="49"/>
      <c r="D12" s="49"/>
      <c r="E12" s="49"/>
      <c r="F12" s="60" t="s">
        <v>277</v>
      </c>
      <c r="G12" s="49">
        <v>1</v>
      </c>
      <c r="H12" s="49" t="s">
        <v>208</v>
      </c>
      <c r="I12" s="79" t="s">
        <v>9</v>
      </c>
      <c r="J12" s="49"/>
      <c r="K12" s="49"/>
      <c r="L12" s="97">
        <f t="shared" si="0"/>
        <v>9.2654999999999994</v>
      </c>
      <c r="M12" s="97">
        <f t="shared" si="1"/>
        <v>9.2654999999999994</v>
      </c>
      <c r="N12" s="98">
        <v>7.0999999999999994E-2</v>
      </c>
      <c r="O12" s="99">
        <v>0.5</v>
      </c>
      <c r="P12" s="100"/>
      <c r="Q12" s="100">
        <f t="shared" si="2"/>
        <v>0.10649999999999998</v>
      </c>
      <c r="S12" s="81" t="s">
        <v>265</v>
      </c>
    </row>
    <row r="13" spans="1:19">
      <c r="A13" s="49"/>
      <c r="B13" s="49"/>
      <c r="C13" s="49"/>
      <c r="D13" s="49"/>
      <c r="E13" s="49"/>
      <c r="F13" s="71" t="str">
        <f>D16</f>
        <v>H50562530 BOM LED PCB</v>
      </c>
      <c r="G13" s="49">
        <v>1</v>
      </c>
      <c r="H13" s="49" t="s">
        <v>208</v>
      </c>
      <c r="I13" s="79" t="s">
        <v>9</v>
      </c>
      <c r="J13" s="49"/>
      <c r="K13" s="49"/>
      <c r="L13" s="97"/>
      <c r="M13" s="97"/>
    </row>
    <row r="14" spans="1:19">
      <c r="A14" s="49"/>
      <c r="B14" s="49"/>
      <c r="C14" s="49"/>
      <c r="D14" s="49"/>
      <c r="E14" s="49"/>
      <c r="F14" s="71" t="str">
        <f>'Backend data'!H6</f>
        <v>PS 24W 300mA 72V Maxic(PCB LT-MX-20W-V2)</v>
      </c>
      <c r="G14" s="71">
        <v>1</v>
      </c>
      <c r="H14" s="49" t="s">
        <v>208</v>
      </c>
      <c r="I14" s="79" t="s">
        <v>9</v>
      </c>
      <c r="J14" s="49"/>
      <c r="K14" s="49"/>
      <c r="L14" s="104"/>
      <c r="M14" s="104"/>
      <c r="N14" s="93" t="s">
        <v>292</v>
      </c>
      <c r="O14" s="101"/>
      <c r="P14" s="102"/>
      <c r="Q14" s="102"/>
      <c r="R14" s="92"/>
    </row>
    <row r="15" spans="1:19">
      <c r="J15" s="49"/>
      <c r="K15" s="49"/>
      <c r="L15" s="97"/>
      <c r="M15" s="97"/>
    </row>
    <row r="16" spans="1:19">
      <c r="A16" s="71" t="str">
        <f>D16</f>
        <v>H50562530 BOM LED PCB</v>
      </c>
      <c r="B16" s="71" t="s">
        <v>268</v>
      </c>
      <c r="C16" s="71" t="s">
        <v>189</v>
      </c>
      <c r="D16" s="71" t="str">
        <f>CONCATENATE('Backend data'!$H$5, " ",'Backend data'!H10)</f>
        <v>H50562530 BOM LED PCB</v>
      </c>
      <c r="E16" s="71"/>
      <c r="F16" s="71" t="str">
        <f>'Backend data'!G6</f>
        <v>LED 2835-60mA-3000K (WW)</v>
      </c>
      <c r="G16" s="71">
        <v>360</v>
      </c>
      <c r="H16" s="49" t="s">
        <v>211</v>
      </c>
      <c r="I16" s="79" t="s">
        <v>9</v>
      </c>
      <c r="J16" s="49"/>
      <c r="K16" s="49"/>
      <c r="L16" s="97">
        <v>0.09</v>
      </c>
      <c r="M16" s="97">
        <f t="shared" si="1"/>
        <v>32.4</v>
      </c>
    </row>
    <row r="17" spans="1:19">
      <c r="A17" s="49"/>
      <c r="B17" s="49"/>
      <c r="C17" s="49"/>
      <c r="D17" s="49"/>
      <c r="E17" s="49"/>
      <c r="F17" s="73" t="s">
        <v>284</v>
      </c>
      <c r="G17" s="73">
        <v>3.6</v>
      </c>
      <c r="H17" s="49" t="s">
        <v>211</v>
      </c>
      <c r="I17" s="79" t="s">
        <v>9</v>
      </c>
      <c r="J17" s="49"/>
      <c r="K17" s="49"/>
      <c r="L17" s="97">
        <f t="shared" si="0"/>
        <v>20.357999999999997</v>
      </c>
      <c r="M17" s="97">
        <f t="shared" si="1"/>
        <v>73.288799999999995</v>
      </c>
      <c r="N17" s="98">
        <v>0.156</v>
      </c>
      <c r="O17" s="99">
        <v>0.5</v>
      </c>
      <c r="P17" s="100"/>
      <c r="Q17" s="100">
        <f t="shared" si="2"/>
        <v>0.23399999999999999</v>
      </c>
      <c r="S17" t="s">
        <v>263</v>
      </c>
    </row>
    <row r="18" spans="1:19" ht="21" customHeight="1" thickBot="1">
      <c r="M18" s="94">
        <f>SUM(M2:M17)</f>
        <v>459.52229499999993</v>
      </c>
      <c r="N18" s="95"/>
      <c r="O18" s="95"/>
      <c r="P18" s="95"/>
      <c r="Q18" s="95"/>
    </row>
    <row r="19" spans="1:19" ht="15.75" thickTop="1">
      <c r="M19" s="95"/>
      <c r="N19" s="95"/>
      <c r="O19" s="95"/>
      <c r="P19" s="95"/>
      <c r="Q19" s="95"/>
    </row>
    <row r="20" spans="1:19" ht="23.25" customHeight="1">
      <c r="K20" s="106" t="s">
        <v>290</v>
      </c>
      <c r="L20" s="107"/>
      <c r="M20" s="87">
        <f>M18+190</f>
        <v>649.52229499999999</v>
      </c>
      <c r="N20" s="93" t="s">
        <v>293</v>
      </c>
      <c r="O20" s="95"/>
      <c r="P20" s="95"/>
      <c r="Q20" s="95"/>
    </row>
    <row r="21" spans="1:19" ht="23.25" customHeight="1">
      <c r="K21" s="106" t="s">
        <v>291</v>
      </c>
      <c r="L21" s="107"/>
      <c r="M21" s="96">
        <f>((M18)+(Q21*87))</f>
        <v>1536.147295</v>
      </c>
      <c r="N21" s="88">
        <v>8.25</v>
      </c>
      <c r="O21" s="89">
        <v>0.5</v>
      </c>
      <c r="P21" s="89"/>
      <c r="Q21" s="90">
        <f>N21+(N21*(O21+P21))</f>
        <v>12.375</v>
      </c>
      <c r="R21" s="95">
        <f>Q21*87</f>
        <v>1076.625</v>
      </c>
    </row>
    <row r="22" spans="1:19">
      <c r="M22" s="95"/>
      <c r="N22" s="95"/>
      <c r="O22" s="95"/>
      <c r="P22" s="95"/>
      <c r="Q22" s="95"/>
    </row>
  </sheetData>
  <mergeCells count="2">
    <mergeCell ref="K20:L20"/>
    <mergeCell ref="K21:L21"/>
  </mergeCells>
  <conditionalFormatting sqref="F1 F22:F1048576">
    <cfRule type="containsText" dxfId="6" priority="29" operator="containsText" text="PS-">
      <formula>NOT(ISERROR(SEARCH("PS-",F1)))</formula>
    </cfRule>
    <cfRule type="containsText" dxfId="5" priority="32" operator="containsText" text="COB-">
      <formula>NOT(ISERROR(SEARCH("COB-",F1)))</formula>
    </cfRule>
    <cfRule type="containsText" dxfId="4" priority="34" operator="containsText" text="TRIM">
      <formula>NOT(ISERROR(SEARCH("TRIM",F1)))</formula>
    </cfRule>
  </conditionalFormatting>
  <conditionalFormatting sqref="F1:G1 F22:G1048576">
    <cfRule type="containsText" dxfId="3" priority="28" operator="containsText" text="REFLECTOR">
      <formula>NOT(ISERROR(SEARCH("REFLECTOR",F1)))</formula>
    </cfRule>
  </conditionalFormatting>
  <pageMargins left="0.69930555555555995" right="0.69930555555555995" top="0.75" bottom="0.75" header="0.3" footer="0.3"/>
  <pageSetup orientation="portrait" verticalDpi="0" r:id="rId1"/>
  <ignoredErrors>
    <ignoredError sqref="L7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" id="{083CFDB7-B029-45DB-A028-8E8ABB73F9A6}">
            <xm:f>$F:$F='Backend data'!$C$2:$H$2</xm:f>
            <x14:dxf>
              <fill>
                <patternFill>
                  <bgColor theme="7" tint="0.59996337778862885"/>
                </patternFill>
              </fill>
            </x14:dxf>
          </x14:cfRule>
          <xm:sqref>F22:G1048576 F1:G1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Result!$B$2:$B$13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68"/>
  <sheetViews>
    <sheetView workbookViewId="0">
      <pane ySplit="1" topLeftCell="A2" activePane="bottomLeft" state="frozen"/>
      <selection pane="bottomLeft" activeCell="B6" sqref="B6"/>
    </sheetView>
  </sheetViews>
  <sheetFormatPr defaultColWidth="8.7109375" defaultRowHeight="12.75"/>
  <cols>
    <col min="1" max="1" width="30.140625" style="1" customWidth="1"/>
    <col min="2" max="3" width="23.42578125" style="1" customWidth="1"/>
    <col min="4" max="4" width="5.85546875" style="2" customWidth="1"/>
    <col min="5" max="11" width="8.7109375" style="2"/>
    <col min="12" max="12" width="6.140625" style="2" customWidth="1"/>
    <col min="13" max="18" width="8.7109375" style="2"/>
    <col min="19" max="16384" width="8.7109375" style="1"/>
  </cols>
  <sheetData>
    <row r="1" spans="1:17" ht="15">
      <c r="A1" s="3" t="s">
        <v>10</v>
      </c>
      <c r="B1" s="3" t="s">
        <v>11</v>
      </c>
      <c r="C1" s="3" t="s">
        <v>12</v>
      </c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>
      <c r="A2" s="6" t="s">
        <v>13</v>
      </c>
      <c r="B2" s="7"/>
      <c r="C2" s="8" t="s">
        <v>14</v>
      </c>
      <c r="E2" s="9"/>
      <c r="F2" s="10"/>
      <c r="G2" s="10"/>
      <c r="H2" s="10"/>
      <c r="I2" s="10"/>
      <c r="J2" s="10"/>
      <c r="K2" s="10"/>
      <c r="L2" s="10"/>
      <c r="M2" s="10"/>
      <c r="N2" s="10"/>
      <c r="O2" s="37"/>
      <c r="P2" s="37"/>
      <c r="Q2" s="40"/>
    </row>
    <row r="3" spans="1:17">
      <c r="A3" s="11" t="s">
        <v>0</v>
      </c>
      <c r="B3" s="12" t="s">
        <v>15</v>
      </c>
      <c r="C3" s="13"/>
      <c r="E3" s="14" t="s">
        <v>16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41"/>
    </row>
    <row r="4" spans="1:17">
      <c r="A4" s="16" t="s">
        <v>17</v>
      </c>
      <c r="B4" s="12" t="s">
        <v>15</v>
      </c>
      <c r="C4" s="13"/>
      <c r="E4" s="17" t="s">
        <v>18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41"/>
    </row>
    <row r="5" spans="1:17" ht="12.6" customHeight="1">
      <c r="A5" s="16" t="s">
        <v>19</v>
      </c>
      <c r="B5" s="12" t="s">
        <v>15</v>
      </c>
      <c r="C5" s="13"/>
      <c r="E5" s="109" t="s">
        <v>20</v>
      </c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1"/>
    </row>
    <row r="6" spans="1:17" ht="12.6" customHeight="1">
      <c r="A6" s="16" t="s">
        <v>21</v>
      </c>
      <c r="B6" s="12" t="s">
        <v>15</v>
      </c>
      <c r="C6" s="13"/>
      <c r="E6" s="109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1"/>
    </row>
    <row r="7" spans="1:17" ht="12.6" customHeight="1">
      <c r="A7" s="16" t="s">
        <v>22</v>
      </c>
      <c r="B7" s="12" t="s">
        <v>15</v>
      </c>
      <c r="C7" s="13"/>
      <c r="E7" s="109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1:17" ht="12.6" customHeight="1">
      <c r="A8" s="16" t="s">
        <v>23</v>
      </c>
      <c r="B8" s="12" t="s">
        <v>15</v>
      </c>
      <c r="C8" s="13"/>
      <c r="E8" s="109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1"/>
    </row>
    <row r="9" spans="1:17" ht="12.95" customHeight="1">
      <c r="A9" s="16" t="s">
        <v>24</v>
      </c>
      <c r="B9" s="12" t="s">
        <v>15</v>
      </c>
      <c r="C9" s="13"/>
      <c r="E9" s="109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1"/>
    </row>
    <row r="10" spans="1:17">
      <c r="A10" s="16" t="s">
        <v>25</v>
      </c>
      <c r="B10" s="12" t="s">
        <v>15</v>
      </c>
      <c r="C10" s="13"/>
      <c r="E10" s="18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41"/>
    </row>
    <row r="11" spans="1:17">
      <c r="A11" s="16" t="s">
        <v>26</v>
      </c>
      <c r="B11" s="12" t="s">
        <v>15</v>
      </c>
      <c r="C11" s="13"/>
      <c r="E11" s="17" t="s">
        <v>27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41"/>
    </row>
    <row r="12" spans="1:17">
      <c r="A12" s="16" t="s">
        <v>28</v>
      </c>
      <c r="B12" s="12" t="s">
        <v>15</v>
      </c>
      <c r="C12" s="13"/>
      <c r="E12" s="19" t="s">
        <v>29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42"/>
    </row>
    <row r="13" spans="1:17">
      <c r="A13" s="16" t="s">
        <v>30</v>
      </c>
      <c r="B13" s="12" t="s">
        <v>15</v>
      </c>
      <c r="C13" s="13"/>
      <c r="E13" s="21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41"/>
    </row>
    <row r="14" spans="1:17" ht="15">
      <c r="A14" s="16" t="s">
        <v>31</v>
      </c>
      <c r="B14" s="12" t="s">
        <v>15</v>
      </c>
      <c r="C14" s="13"/>
      <c r="E14" s="22" t="s">
        <v>32</v>
      </c>
      <c r="F14" s="23"/>
      <c r="G14" s="23"/>
      <c r="H14" s="23"/>
      <c r="I14" s="23"/>
      <c r="J14" s="23"/>
      <c r="K14" s="23"/>
      <c r="L14" s="23"/>
      <c r="M14" s="38" t="s">
        <v>33</v>
      </c>
      <c r="N14" s="15"/>
      <c r="O14" s="15"/>
      <c r="P14" s="15"/>
      <c r="Q14" s="41"/>
    </row>
    <row r="15" spans="1:17" ht="15">
      <c r="A15" s="16" t="s">
        <v>34</v>
      </c>
      <c r="B15" s="12" t="s">
        <v>15</v>
      </c>
      <c r="C15" s="24" t="s">
        <v>35</v>
      </c>
      <c r="E15" s="2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3"/>
    </row>
    <row r="16" spans="1:17">
      <c r="A16" s="16" t="s">
        <v>36</v>
      </c>
      <c r="B16" s="12" t="s">
        <v>15</v>
      </c>
      <c r="C16" s="13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44"/>
    </row>
    <row r="17" spans="1:17" ht="15">
      <c r="A17" s="16" t="s">
        <v>37</v>
      </c>
      <c r="B17" s="12" t="s">
        <v>15</v>
      </c>
      <c r="C17" s="13"/>
      <c r="E17" s="2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15">
      <c r="A18" s="16" t="s">
        <v>38</v>
      </c>
      <c r="B18" s="12" t="s">
        <v>15</v>
      </c>
      <c r="C18" s="13"/>
      <c r="E18" s="29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>
      <c r="A19" s="16" t="s">
        <v>39</v>
      </c>
      <c r="B19" s="12" t="s">
        <v>15</v>
      </c>
      <c r="C19" s="13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</row>
    <row r="20" spans="1:17" ht="25.5">
      <c r="A20" s="16" t="s">
        <v>40</v>
      </c>
      <c r="B20" s="12" t="s">
        <v>15</v>
      </c>
      <c r="C20" s="13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</row>
    <row r="21" spans="1:17">
      <c r="A21" s="16" t="s">
        <v>41</v>
      </c>
      <c r="B21" s="12" t="s">
        <v>15</v>
      </c>
      <c r="C21" s="13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</row>
    <row r="22" spans="1:17">
      <c r="A22" s="6" t="s">
        <v>42</v>
      </c>
      <c r="B22" s="30"/>
      <c r="C22" s="31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</row>
    <row r="23" spans="1:17" ht="38.25">
      <c r="A23" s="16" t="s">
        <v>43</v>
      </c>
      <c r="B23" s="12" t="s">
        <v>44</v>
      </c>
      <c r="C23" s="1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</row>
    <row r="24" spans="1:17" ht="15">
      <c r="A24" s="16" t="s">
        <v>45</v>
      </c>
      <c r="B24" s="12" t="s">
        <v>15</v>
      </c>
      <c r="C24" s="13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15">
      <c r="A25" s="16" t="s">
        <v>46</v>
      </c>
      <c r="B25" s="12" t="s">
        <v>15</v>
      </c>
      <c r="C25" s="13"/>
      <c r="E25" s="29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>
      <c r="A26" s="16" t="s">
        <v>47</v>
      </c>
      <c r="B26" s="12" t="s">
        <v>15</v>
      </c>
      <c r="C26" s="1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</row>
    <row r="27" spans="1:17" ht="15">
      <c r="A27" s="16" t="s">
        <v>48</v>
      </c>
      <c r="B27" s="12" t="s">
        <v>15</v>
      </c>
      <c r="C27" s="13"/>
      <c r="E27" s="3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15">
      <c r="A28" s="16" t="s">
        <v>49</v>
      </c>
      <c r="B28" s="12" t="s">
        <v>15</v>
      </c>
      <c r="C28" s="13"/>
      <c r="E28" s="35"/>
      <c r="F28" s="35"/>
      <c r="G28" s="35"/>
      <c r="H28" s="35"/>
      <c r="I28" s="35"/>
      <c r="J28" s="35"/>
      <c r="K28" s="35"/>
      <c r="L28" s="35"/>
      <c r="M28" s="39"/>
      <c r="N28" s="5"/>
      <c r="O28" s="5"/>
      <c r="P28" s="5"/>
      <c r="Q28" s="5"/>
    </row>
    <row r="29" spans="1:17" ht="15">
      <c r="A29" s="16" t="s">
        <v>50</v>
      </c>
      <c r="B29" s="12" t="s">
        <v>15</v>
      </c>
      <c r="C29" s="1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15">
      <c r="A30" s="16" t="s">
        <v>51</v>
      </c>
      <c r="B30" s="12" t="s">
        <v>15</v>
      </c>
      <c r="C30" s="1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38.25">
      <c r="A31" s="16" t="s">
        <v>52</v>
      </c>
      <c r="B31" s="12" t="s">
        <v>53</v>
      </c>
      <c r="C31" s="1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15">
      <c r="A32" s="6" t="s">
        <v>54</v>
      </c>
      <c r="B32" s="30"/>
      <c r="C32" s="31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3">
      <c r="A33" s="16" t="s">
        <v>55</v>
      </c>
      <c r="B33" s="12" t="s">
        <v>15</v>
      </c>
      <c r="C33" s="13"/>
    </row>
    <row r="34" spans="1:3">
      <c r="A34" s="16" t="s">
        <v>56</v>
      </c>
      <c r="B34" s="12" t="s">
        <v>15</v>
      </c>
      <c r="C34" s="13"/>
    </row>
    <row r="35" spans="1:3">
      <c r="A35" s="16" t="s">
        <v>57</v>
      </c>
      <c r="B35" s="12" t="s">
        <v>15</v>
      </c>
      <c r="C35" s="13"/>
    </row>
    <row r="36" spans="1:3">
      <c r="A36" s="16" t="s">
        <v>58</v>
      </c>
      <c r="B36" s="12" t="s">
        <v>15</v>
      </c>
      <c r="C36" s="13"/>
    </row>
    <row r="37" spans="1:3" ht="76.5">
      <c r="A37" s="16" t="s">
        <v>59</v>
      </c>
      <c r="B37" s="12" t="s">
        <v>15</v>
      </c>
      <c r="C37" s="24" t="s">
        <v>60</v>
      </c>
    </row>
    <row r="38" spans="1:3" ht="38.25">
      <c r="A38" s="16" t="s">
        <v>61</v>
      </c>
      <c r="B38" s="12" t="s">
        <v>15</v>
      </c>
      <c r="C38" s="24" t="s">
        <v>62</v>
      </c>
    </row>
    <row r="39" spans="1:3">
      <c r="A39" s="6" t="s">
        <v>63</v>
      </c>
      <c r="B39" s="30"/>
      <c r="C39" s="31"/>
    </row>
    <row r="40" spans="1:3" ht="25.5">
      <c r="A40" s="16" t="s">
        <v>64</v>
      </c>
      <c r="B40" s="12" t="s">
        <v>15</v>
      </c>
      <c r="C40" s="13"/>
    </row>
    <row r="41" spans="1:3">
      <c r="A41" s="16" t="s">
        <v>65</v>
      </c>
      <c r="B41" s="12" t="s">
        <v>15</v>
      </c>
      <c r="C41" s="13"/>
    </row>
    <row r="42" spans="1:3" ht="25.5">
      <c r="A42" s="16" t="s">
        <v>66</v>
      </c>
      <c r="B42" s="12" t="s">
        <v>15</v>
      </c>
      <c r="C42" s="13"/>
    </row>
    <row r="43" spans="1:3" ht="25.5">
      <c r="A43" s="16" t="s">
        <v>67</v>
      </c>
      <c r="B43" s="12" t="s">
        <v>15</v>
      </c>
      <c r="C43" s="13"/>
    </row>
    <row r="44" spans="1:3">
      <c r="A44" s="16" t="s">
        <v>68</v>
      </c>
      <c r="B44" s="12" t="s">
        <v>15</v>
      </c>
      <c r="C44" s="13"/>
    </row>
    <row r="45" spans="1:3" ht="25.5">
      <c r="A45" s="16" t="s">
        <v>69</v>
      </c>
      <c r="B45" s="12" t="s">
        <v>15</v>
      </c>
      <c r="C45" s="13"/>
    </row>
    <row r="46" spans="1:3">
      <c r="A46" s="6" t="s">
        <v>70</v>
      </c>
      <c r="B46" s="30"/>
      <c r="C46" s="31"/>
    </row>
    <row r="47" spans="1:3">
      <c r="A47" s="16" t="s">
        <v>1</v>
      </c>
      <c r="B47" s="12" t="s">
        <v>15</v>
      </c>
      <c r="C47" s="13"/>
    </row>
    <row r="48" spans="1:3">
      <c r="A48" s="16" t="s">
        <v>2</v>
      </c>
      <c r="B48" s="12" t="s">
        <v>15</v>
      </c>
      <c r="C48" s="13"/>
    </row>
    <row r="49" spans="1:3">
      <c r="A49" s="16" t="s">
        <v>3</v>
      </c>
      <c r="B49" s="12" t="s">
        <v>15</v>
      </c>
      <c r="C49" s="13"/>
    </row>
    <row r="50" spans="1:3">
      <c r="A50" s="16" t="s">
        <v>4</v>
      </c>
      <c r="B50" s="12" t="s">
        <v>15</v>
      </c>
      <c r="C50" s="13"/>
    </row>
    <row r="51" spans="1:3" ht="38.25">
      <c r="A51" s="16" t="s">
        <v>5</v>
      </c>
      <c r="B51" s="12" t="s">
        <v>44</v>
      </c>
      <c r="C51" s="13"/>
    </row>
    <row r="52" spans="1:3" ht="25.5">
      <c r="A52" s="16" t="s">
        <v>6</v>
      </c>
      <c r="B52" s="12" t="s">
        <v>15</v>
      </c>
      <c r="C52" s="36" t="s">
        <v>71</v>
      </c>
    </row>
    <row r="53" spans="1:3">
      <c r="A53" s="16" t="s">
        <v>7</v>
      </c>
      <c r="B53" s="12" t="s">
        <v>15</v>
      </c>
      <c r="C53" s="13"/>
    </row>
    <row r="54" spans="1:3" ht="38.25">
      <c r="A54" s="16" t="s">
        <v>8</v>
      </c>
      <c r="B54" s="12" t="s">
        <v>53</v>
      </c>
      <c r="C54" s="13"/>
    </row>
    <row r="55" spans="1:3" ht="25.5">
      <c r="A55" s="6" t="s">
        <v>72</v>
      </c>
      <c r="B55" s="30"/>
      <c r="C55" s="31"/>
    </row>
    <row r="56" spans="1:3" ht="25.5">
      <c r="A56" s="16" t="s">
        <v>73</v>
      </c>
      <c r="B56" s="12" t="s">
        <v>15</v>
      </c>
      <c r="C56" s="13"/>
    </row>
    <row r="57" spans="1:3" ht="25.5">
      <c r="A57" s="16" t="s">
        <v>74</v>
      </c>
      <c r="B57" s="12" t="s">
        <v>15</v>
      </c>
      <c r="C57" s="13"/>
    </row>
    <row r="58" spans="1:3" ht="25.5">
      <c r="A58" s="16" t="s">
        <v>75</v>
      </c>
      <c r="B58" s="12" t="s">
        <v>15</v>
      </c>
      <c r="C58" s="13"/>
    </row>
    <row r="59" spans="1:3" ht="25.5">
      <c r="A59" s="16" t="s">
        <v>76</v>
      </c>
      <c r="B59" s="12" t="s">
        <v>15</v>
      </c>
      <c r="C59" s="13"/>
    </row>
    <row r="60" spans="1:3">
      <c r="A60" s="16" t="s">
        <v>77</v>
      </c>
      <c r="B60" s="12" t="s">
        <v>78</v>
      </c>
      <c r="C60" s="13"/>
    </row>
    <row r="61" spans="1:3">
      <c r="A61" s="16" t="s">
        <v>79</v>
      </c>
      <c r="B61" s="12" t="s">
        <v>78</v>
      </c>
      <c r="C61" s="13"/>
    </row>
    <row r="62" spans="1:3" ht="63.75">
      <c r="A62" s="16" t="s">
        <v>80</v>
      </c>
      <c r="B62" s="12" t="s">
        <v>81</v>
      </c>
      <c r="C62" s="13"/>
    </row>
    <row r="63" spans="1:3" ht="25.5">
      <c r="A63" s="16" t="s">
        <v>82</v>
      </c>
      <c r="B63" s="12" t="s">
        <v>15</v>
      </c>
      <c r="C63" s="13"/>
    </row>
    <row r="64" spans="1:3" ht="25.5">
      <c r="A64" s="6" t="s">
        <v>83</v>
      </c>
      <c r="B64" s="30"/>
      <c r="C64" s="31"/>
    </row>
    <row r="65" spans="1:3" ht="25.5">
      <c r="A65" s="16" t="s">
        <v>84</v>
      </c>
      <c r="B65" s="12" t="s">
        <v>15</v>
      </c>
      <c r="C65" s="13"/>
    </row>
    <row r="66" spans="1:3" ht="25.5">
      <c r="A66" s="16" t="s">
        <v>85</v>
      </c>
      <c r="B66" s="12" t="s">
        <v>15</v>
      </c>
      <c r="C66" s="13"/>
    </row>
    <row r="67" spans="1:3" ht="25.5">
      <c r="A67" s="16" t="s">
        <v>86</v>
      </c>
      <c r="B67" s="12" t="s">
        <v>15</v>
      </c>
      <c r="C67" s="13"/>
    </row>
    <row r="68" spans="1:3" ht="25.5">
      <c r="A68" s="16" t="s">
        <v>87</v>
      </c>
      <c r="B68" s="12" t="s">
        <v>15</v>
      </c>
      <c r="C68" s="13"/>
    </row>
    <row r="69" spans="1:3">
      <c r="A69" s="16" t="s">
        <v>88</v>
      </c>
      <c r="B69" s="12" t="s">
        <v>78</v>
      </c>
      <c r="C69" s="13"/>
    </row>
    <row r="70" spans="1:3">
      <c r="A70" s="16" t="s">
        <v>89</v>
      </c>
      <c r="B70" s="12" t="s">
        <v>78</v>
      </c>
      <c r="C70" s="13"/>
    </row>
    <row r="71" spans="1:3" ht="63.75">
      <c r="A71" s="16" t="s">
        <v>90</v>
      </c>
      <c r="B71" s="12" t="s">
        <v>81</v>
      </c>
      <c r="C71" s="13"/>
    </row>
    <row r="72" spans="1:3" ht="25.5">
      <c r="A72" s="16" t="s">
        <v>91</v>
      </c>
      <c r="B72" s="12" t="s">
        <v>15</v>
      </c>
      <c r="C72" s="13"/>
    </row>
    <row r="73" spans="1:3">
      <c r="A73" s="6" t="s">
        <v>92</v>
      </c>
      <c r="B73" s="30"/>
      <c r="C73" s="31"/>
    </row>
    <row r="74" spans="1:3">
      <c r="A74" s="16" t="s">
        <v>93</v>
      </c>
      <c r="B74" s="12" t="s">
        <v>78</v>
      </c>
      <c r="C74" s="13"/>
    </row>
    <row r="75" spans="1:3" ht="51">
      <c r="A75" s="16" t="s">
        <v>94</v>
      </c>
      <c r="B75" s="12" t="s">
        <v>78</v>
      </c>
      <c r="C75" s="24" t="s">
        <v>95</v>
      </c>
    </row>
    <row r="76" spans="1:3">
      <c r="A76" s="16" t="s">
        <v>96</v>
      </c>
      <c r="B76" s="12" t="s">
        <v>78</v>
      </c>
      <c r="C76" s="13"/>
    </row>
    <row r="77" spans="1:3">
      <c r="A77" s="16" t="s">
        <v>97</v>
      </c>
      <c r="B77" s="12" t="s">
        <v>78</v>
      </c>
      <c r="C77" s="13"/>
    </row>
    <row r="78" spans="1:3">
      <c r="A78" s="16" t="s">
        <v>98</v>
      </c>
      <c r="B78" s="12" t="s">
        <v>78</v>
      </c>
      <c r="C78" s="13"/>
    </row>
    <row r="79" spans="1:3">
      <c r="A79" s="6" t="s">
        <v>99</v>
      </c>
      <c r="B79" s="30"/>
      <c r="C79" s="31"/>
    </row>
    <row r="80" spans="1:3">
      <c r="A80" s="16" t="s">
        <v>100</v>
      </c>
      <c r="B80" s="12" t="s">
        <v>78</v>
      </c>
      <c r="C80" s="13"/>
    </row>
    <row r="81" spans="1:3" ht="63.75">
      <c r="A81" s="16" t="s">
        <v>101</v>
      </c>
      <c r="B81" s="12" t="s">
        <v>78</v>
      </c>
      <c r="C81" s="24" t="s">
        <v>102</v>
      </c>
    </row>
    <row r="82" spans="1:3">
      <c r="A82" s="16" t="s">
        <v>103</v>
      </c>
      <c r="B82" s="12" t="s">
        <v>78</v>
      </c>
      <c r="C82" s="13"/>
    </row>
    <row r="83" spans="1:3" ht="25.5">
      <c r="A83" s="16" t="s">
        <v>104</v>
      </c>
      <c r="B83" s="12" t="s">
        <v>78</v>
      </c>
      <c r="C83" s="24" t="s">
        <v>105</v>
      </c>
    </row>
    <row r="84" spans="1:3">
      <c r="A84" s="16" t="s">
        <v>106</v>
      </c>
      <c r="B84" s="12" t="s">
        <v>78</v>
      </c>
      <c r="C84" s="13"/>
    </row>
    <row r="85" spans="1:3">
      <c r="A85" s="16" t="s">
        <v>107</v>
      </c>
      <c r="B85" s="12" t="s">
        <v>78</v>
      </c>
      <c r="C85" s="13"/>
    </row>
    <row r="86" spans="1:3">
      <c r="A86" s="16" t="s">
        <v>108</v>
      </c>
      <c r="B86" s="12" t="s">
        <v>78</v>
      </c>
      <c r="C86" s="13"/>
    </row>
    <row r="87" spans="1:3">
      <c r="A87" s="16" t="s">
        <v>109</v>
      </c>
      <c r="B87" s="12" t="s">
        <v>78</v>
      </c>
      <c r="C87" s="13"/>
    </row>
    <row r="88" spans="1:3">
      <c r="A88" s="16" t="s">
        <v>110</v>
      </c>
      <c r="B88" s="12" t="s">
        <v>78</v>
      </c>
      <c r="C88" s="13"/>
    </row>
    <row r="89" spans="1:3">
      <c r="A89" s="16" t="s">
        <v>111</v>
      </c>
      <c r="B89" s="12" t="s">
        <v>78</v>
      </c>
      <c r="C89" s="13"/>
    </row>
    <row r="90" spans="1:3">
      <c r="A90" s="16" t="s">
        <v>112</v>
      </c>
      <c r="B90" s="12" t="s">
        <v>78</v>
      </c>
      <c r="C90" s="13"/>
    </row>
    <row r="91" spans="1:3">
      <c r="A91" s="16" t="s">
        <v>113</v>
      </c>
      <c r="B91" s="12" t="s">
        <v>78</v>
      </c>
      <c r="C91" s="13"/>
    </row>
    <row r="92" spans="1:3">
      <c r="A92" s="16" t="s">
        <v>114</v>
      </c>
      <c r="B92" s="12" t="s">
        <v>78</v>
      </c>
      <c r="C92" s="13"/>
    </row>
    <row r="93" spans="1:3" ht="25.5">
      <c r="A93" s="16" t="s">
        <v>115</v>
      </c>
      <c r="B93" s="12" t="s">
        <v>78</v>
      </c>
      <c r="C93" s="13"/>
    </row>
    <row r="94" spans="1:3" ht="25.5">
      <c r="A94" s="16" t="s">
        <v>116</v>
      </c>
      <c r="B94" s="12" t="s">
        <v>78</v>
      </c>
      <c r="C94" s="13"/>
    </row>
    <row r="95" spans="1:3" ht="25.5">
      <c r="A95" s="16" t="s">
        <v>117</v>
      </c>
      <c r="B95" s="12" t="s">
        <v>78</v>
      </c>
      <c r="C95" s="24" t="s">
        <v>118</v>
      </c>
    </row>
    <row r="96" spans="1:3">
      <c r="A96" s="6" t="s">
        <v>119</v>
      </c>
      <c r="B96" s="30"/>
      <c r="C96" s="31"/>
    </row>
    <row r="97" spans="1:3">
      <c r="A97" s="16" t="s">
        <v>120</v>
      </c>
      <c r="B97" s="12" t="s">
        <v>78</v>
      </c>
      <c r="C97" s="13"/>
    </row>
    <row r="98" spans="1:3">
      <c r="A98" s="16" t="s">
        <v>121</v>
      </c>
      <c r="B98" s="12" t="s">
        <v>78</v>
      </c>
      <c r="C98" s="13"/>
    </row>
    <row r="99" spans="1:3">
      <c r="A99" s="16" t="s">
        <v>122</v>
      </c>
      <c r="B99" s="12" t="s">
        <v>78</v>
      </c>
      <c r="C99" s="13"/>
    </row>
    <row r="100" spans="1:3">
      <c r="A100" s="16" t="s">
        <v>123</v>
      </c>
      <c r="B100" s="12" t="s">
        <v>78</v>
      </c>
      <c r="C100" s="13"/>
    </row>
    <row r="101" spans="1:3">
      <c r="A101" s="16" t="s">
        <v>124</v>
      </c>
      <c r="B101" s="12" t="s">
        <v>78</v>
      </c>
      <c r="C101" s="13"/>
    </row>
    <row r="102" spans="1:3">
      <c r="A102" s="6" t="s">
        <v>125</v>
      </c>
      <c r="B102" s="30"/>
      <c r="C102" s="31"/>
    </row>
    <row r="103" spans="1:3">
      <c r="A103" s="16" t="s">
        <v>126</v>
      </c>
      <c r="B103" s="12" t="s">
        <v>78</v>
      </c>
      <c r="C103" s="13"/>
    </row>
    <row r="104" spans="1:3">
      <c r="A104" s="16" t="s">
        <v>127</v>
      </c>
      <c r="B104" s="12" t="s">
        <v>15</v>
      </c>
      <c r="C104" s="13"/>
    </row>
    <row r="105" spans="1:3">
      <c r="A105" s="6" t="s">
        <v>128</v>
      </c>
      <c r="B105" s="30"/>
      <c r="C105" s="31"/>
    </row>
    <row r="106" spans="1:3">
      <c r="A106" s="16" t="s">
        <v>129</v>
      </c>
      <c r="B106" s="12" t="s">
        <v>15</v>
      </c>
      <c r="C106" s="13"/>
    </row>
    <row r="107" spans="1:3">
      <c r="A107" s="16" t="s">
        <v>130</v>
      </c>
      <c r="B107" s="12" t="s">
        <v>15</v>
      </c>
      <c r="C107" s="13"/>
    </row>
    <row r="108" spans="1:3">
      <c r="A108" s="16" t="s">
        <v>131</v>
      </c>
      <c r="B108" s="12" t="s">
        <v>15</v>
      </c>
      <c r="C108" s="13"/>
    </row>
    <row r="109" spans="1:3">
      <c r="A109" s="16" t="s">
        <v>132</v>
      </c>
      <c r="B109" s="12" t="s">
        <v>15</v>
      </c>
      <c r="C109" s="13"/>
    </row>
    <row r="110" spans="1:3">
      <c r="A110" s="16" t="s">
        <v>133</v>
      </c>
      <c r="B110" s="12" t="s">
        <v>15</v>
      </c>
      <c r="C110" s="13"/>
    </row>
    <row r="111" spans="1:3">
      <c r="A111" s="16" t="s">
        <v>134</v>
      </c>
      <c r="B111" s="12" t="s">
        <v>15</v>
      </c>
      <c r="C111" s="13"/>
    </row>
    <row r="112" spans="1:3">
      <c r="A112" s="6" t="s">
        <v>135</v>
      </c>
      <c r="B112" s="30"/>
      <c r="C112" s="31"/>
    </row>
    <row r="113" spans="1:3">
      <c r="A113" s="16" t="s">
        <v>136</v>
      </c>
      <c r="B113" s="12" t="s">
        <v>15</v>
      </c>
      <c r="C113" s="13"/>
    </row>
    <row r="114" spans="1:3">
      <c r="A114" s="16" t="s">
        <v>137</v>
      </c>
      <c r="B114" s="12" t="s">
        <v>15</v>
      </c>
      <c r="C114" s="13"/>
    </row>
    <row r="115" spans="1:3">
      <c r="A115" s="16" t="s">
        <v>138</v>
      </c>
      <c r="B115" s="12" t="s">
        <v>15</v>
      </c>
      <c r="C115" s="13"/>
    </row>
    <row r="116" spans="1:3">
      <c r="A116" s="6" t="s">
        <v>139</v>
      </c>
      <c r="B116" s="30"/>
      <c r="C116" s="31"/>
    </row>
    <row r="117" spans="1:3" ht="25.5">
      <c r="A117" s="16" t="s">
        <v>140</v>
      </c>
      <c r="B117" s="12" t="s">
        <v>15</v>
      </c>
      <c r="C117" s="13"/>
    </row>
    <row r="118" spans="1:3">
      <c r="A118" s="16" t="s">
        <v>141</v>
      </c>
      <c r="B118" s="12" t="s">
        <v>15</v>
      </c>
      <c r="C118" s="13"/>
    </row>
    <row r="119" spans="1:3">
      <c r="A119" s="16" t="s">
        <v>142</v>
      </c>
      <c r="B119" s="12" t="s">
        <v>15</v>
      </c>
      <c r="C119" s="13"/>
    </row>
    <row r="120" spans="1:3">
      <c r="A120" s="6" t="s">
        <v>143</v>
      </c>
      <c r="B120" s="30"/>
      <c r="C120" s="31"/>
    </row>
    <row r="121" spans="1:3">
      <c r="A121" s="16" t="s">
        <v>144</v>
      </c>
      <c r="B121" s="12" t="s">
        <v>145</v>
      </c>
      <c r="C121" s="13"/>
    </row>
    <row r="122" spans="1:3">
      <c r="A122" s="16" t="s">
        <v>146</v>
      </c>
      <c r="B122" s="12" t="s">
        <v>147</v>
      </c>
      <c r="C122" s="13"/>
    </row>
    <row r="123" spans="1:3">
      <c r="A123" s="6" t="s">
        <v>148</v>
      </c>
      <c r="B123" s="30"/>
      <c r="C123" s="31"/>
    </row>
    <row r="124" spans="1:3">
      <c r="A124" s="16" t="s">
        <v>149</v>
      </c>
      <c r="B124" s="12" t="s">
        <v>78</v>
      </c>
      <c r="C124" s="13"/>
    </row>
    <row r="125" spans="1:3">
      <c r="A125" s="16" t="s">
        <v>150</v>
      </c>
      <c r="B125" s="12" t="s">
        <v>78</v>
      </c>
      <c r="C125" s="13"/>
    </row>
    <row r="126" spans="1:3" ht="25.5">
      <c r="A126" s="6" t="s">
        <v>151</v>
      </c>
      <c r="B126" s="30"/>
      <c r="C126" s="31"/>
    </row>
    <row r="127" spans="1:3">
      <c r="A127" s="16" t="s">
        <v>152</v>
      </c>
      <c r="B127" s="12" t="s">
        <v>78</v>
      </c>
      <c r="C127" s="13"/>
    </row>
    <row r="128" spans="1:3">
      <c r="A128" s="16" t="s">
        <v>153</v>
      </c>
      <c r="B128" s="12" t="s">
        <v>78</v>
      </c>
      <c r="C128" s="13"/>
    </row>
    <row r="129" spans="1:3">
      <c r="A129" s="6" t="s">
        <v>154</v>
      </c>
      <c r="B129" s="30"/>
      <c r="C129" s="31"/>
    </row>
    <row r="130" spans="1:3" ht="51">
      <c r="A130" s="16" t="s">
        <v>155</v>
      </c>
      <c r="B130" s="45" t="s">
        <v>156</v>
      </c>
      <c r="C130" s="13"/>
    </row>
    <row r="131" spans="1:3" ht="51">
      <c r="A131" s="16" t="s">
        <v>157</v>
      </c>
      <c r="B131" s="45" t="s">
        <v>156</v>
      </c>
      <c r="C131" s="13"/>
    </row>
    <row r="132" spans="1:3" ht="51">
      <c r="A132" s="16" t="s">
        <v>158</v>
      </c>
      <c r="B132" s="45" t="s">
        <v>156</v>
      </c>
      <c r="C132" s="13"/>
    </row>
    <row r="133" spans="1:3" ht="38.25">
      <c r="A133" s="16" t="s">
        <v>159</v>
      </c>
      <c r="B133" s="45" t="s">
        <v>160</v>
      </c>
      <c r="C133" s="13"/>
    </row>
    <row r="134" spans="1:3">
      <c r="A134" s="16" t="s">
        <v>161</v>
      </c>
      <c r="B134" s="45" t="s">
        <v>162</v>
      </c>
      <c r="C134" s="13"/>
    </row>
    <row r="135" spans="1:3">
      <c r="A135" s="16" t="s">
        <v>163</v>
      </c>
      <c r="B135" s="45" t="s">
        <v>164</v>
      </c>
      <c r="C135" s="13"/>
    </row>
    <row r="136" spans="1:3">
      <c r="A136" s="16" t="s">
        <v>165</v>
      </c>
      <c r="B136" s="45" t="s">
        <v>166</v>
      </c>
      <c r="C136" s="13"/>
    </row>
    <row r="137" spans="1:3">
      <c r="A137" s="16" t="s">
        <v>167</v>
      </c>
      <c r="B137" s="45" t="s">
        <v>168</v>
      </c>
      <c r="C137" s="13"/>
    </row>
    <row r="138" spans="1:3">
      <c r="A138" s="16" t="s">
        <v>169</v>
      </c>
      <c r="B138" s="45" t="s">
        <v>170</v>
      </c>
      <c r="C138" s="13"/>
    </row>
    <row r="139" spans="1:3">
      <c r="A139" s="16" t="s">
        <v>171</v>
      </c>
      <c r="B139" s="45" t="s">
        <v>170</v>
      </c>
      <c r="C139" s="13"/>
    </row>
    <row r="140" spans="1:3">
      <c r="A140" s="16" t="s">
        <v>172</v>
      </c>
      <c r="B140" s="45" t="s">
        <v>170</v>
      </c>
      <c r="C140" s="13"/>
    </row>
    <row r="141" spans="1:3">
      <c r="A141" s="6" t="s">
        <v>173</v>
      </c>
      <c r="B141" s="30"/>
      <c r="C141" s="31"/>
    </row>
    <row r="142" spans="1:3">
      <c r="A142" s="16" t="s">
        <v>174</v>
      </c>
      <c r="B142" s="12" t="s">
        <v>15</v>
      </c>
      <c r="C142" s="13"/>
    </row>
    <row r="143" spans="1:3">
      <c r="A143" s="16" t="s">
        <v>175</v>
      </c>
      <c r="B143" s="12" t="s">
        <v>15</v>
      </c>
      <c r="C143" s="13"/>
    </row>
    <row r="144" spans="1:3">
      <c r="A144" s="6" t="s">
        <v>176</v>
      </c>
      <c r="B144" s="30"/>
      <c r="C144" s="31"/>
    </row>
    <row r="145" spans="1:3">
      <c r="A145" s="16" t="s">
        <v>177</v>
      </c>
      <c r="B145" s="12" t="s">
        <v>15</v>
      </c>
      <c r="C145" s="13"/>
    </row>
    <row r="146" spans="1:3">
      <c r="A146" s="16" t="s">
        <v>178</v>
      </c>
      <c r="B146" s="12" t="s">
        <v>15</v>
      </c>
      <c r="C146" s="13"/>
    </row>
    <row r="147" spans="1:3">
      <c r="A147" s="16" t="s">
        <v>179</v>
      </c>
      <c r="B147" s="12" t="s">
        <v>15</v>
      </c>
      <c r="C147" s="13"/>
    </row>
    <row r="148" spans="1:3">
      <c r="A148" s="16" t="s">
        <v>180</v>
      </c>
      <c r="B148" s="12" t="s">
        <v>15</v>
      </c>
      <c r="C148" s="13"/>
    </row>
    <row r="149" spans="1:3">
      <c r="A149" s="16" t="s">
        <v>181</v>
      </c>
      <c r="B149" s="12" t="s">
        <v>15</v>
      </c>
      <c r="C149" s="13"/>
    </row>
    <row r="150" spans="1:3">
      <c r="A150" s="16" t="s">
        <v>182</v>
      </c>
      <c r="B150" s="12" t="s">
        <v>15</v>
      </c>
      <c r="C150" s="13"/>
    </row>
    <row r="151" spans="1:3">
      <c r="A151" s="16" t="s">
        <v>183</v>
      </c>
      <c r="B151" s="12" t="s">
        <v>15</v>
      </c>
      <c r="C151" s="13"/>
    </row>
    <row r="152" spans="1:3">
      <c r="A152" s="16" t="s">
        <v>184</v>
      </c>
      <c r="B152" s="12" t="s">
        <v>15</v>
      </c>
      <c r="C152" s="13"/>
    </row>
    <row r="153" spans="1:3">
      <c r="A153" s="16" t="s">
        <v>185</v>
      </c>
      <c r="B153" s="12" t="s">
        <v>15</v>
      </c>
      <c r="C153" s="13"/>
    </row>
    <row r="154" spans="1:3">
      <c r="A154" s="16" t="s">
        <v>186</v>
      </c>
      <c r="B154" s="12" t="s">
        <v>15</v>
      </c>
      <c r="C154" s="13"/>
    </row>
    <row r="155" spans="1:3" ht="25.5">
      <c r="A155" s="16" t="s">
        <v>187</v>
      </c>
      <c r="B155" s="12" t="s">
        <v>15</v>
      </c>
      <c r="C155" s="13"/>
    </row>
    <row r="156" spans="1:3">
      <c r="A156" s="16" t="s">
        <v>188</v>
      </c>
      <c r="B156" s="12" t="s">
        <v>15</v>
      </c>
      <c r="C156" s="13"/>
    </row>
    <row r="241" spans="5:7" ht="15">
      <c r="E241" s="5"/>
      <c r="F241" s="5"/>
      <c r="G241" s="5"/>
    </row>
    <row r="242" spans="5:7" ht="15">
      <c r="E242" s="5"/>
      <c r="F242" s="5"/>
      <c r="G242" s="5"/>
    </row>
    <row r="243" spans="5:7" ht="15">
      <c r="E243" s="5"/>
      <c r="F243" s="5"/>
      <c r="G243" s="46"/>
    </row>
    <row r="244" spans="5:7" ht="15">
      <c r="E244" s="5"/>
      <c r="F244" s="5"/>
      <c r="G244" s="46"/>
    </row>
    <row r="245" spans="5:7" ht="15">
      <c r="E245" s="5"/>
      <c r="F245" s="5"/>
      <c r="G245" s="46"/>
    </row>
    <row r="246" spans="5:7" ht="15">
      <c r="E246" s="5"/>
      <c r="F246" s="5"/>
      <c r="G246" s="46"/>
    </row>
    <row r="247" spans="5:7" ht="15">
      <c r="E247" s="5"/>
      <c r="F247" s="5"/>
      <c r="G247" s="46"/>
    </row>
    <row r="248" spans="5:7" ht="15">
      <c r="E248" s="5"/>
      <c r="F248" s="5"/>
      <c r="G248" s="46"/>
    </row>
    <row r="249" spans="5:7" ht="15">
      <c r="E249" s="5"/>
      <c r="F249" s="5"/>
      <c r="G249" s="46"/>
    </row>
    <row r="250" spans="5:7" ht="15">
      <c r="E250" s="5"/>
      <c r="F250" s="5"/>
      <c r="G250" s="46"/>
    </row>
    <row r="251" spans="5:7" ht="15">
      <c r="E251" s="5"/>
      <c r="F251" s="5"/>
      <c r="G251" s="46"/>
    </row>
    <row r="252" spans="5:7" ht="15">
      <c r="E252" s="5"/>
      <c r="F252" s="5"/>
      <c r="G252" s="46"/>
    </row>
    <row r="253" spans="5:7" ht="15">
      <c r="E253" s="5"/>
      <c r="F253" s="5"/>
      <c r="G253" s="46"/>
    </row>
    <row r="254" spans="5:7" ht="15">
      <c r="E254" s="5"/>
      <c r="F254" s="5"/>
      <c r="G254" s="46"/>
    </row>
    <row r="255" spans="5:7" ht="15">
      <c r="E255" s="5"/>
      <c r="F255" s="5"/>
      <c r="G255" s="46"/>
    </row>
    <row r="256" spans="5:7" ht="15">
      <c r="E256" s="5"/>
      <c r="F256" s="5"/>
      <c r="G256" s="46"/>
    </row>
    <row r="257" spans="5:7" ht="15">
      <c r="E257" s="5"/>
      <c r="F257" s="5"/>
      <c r="G257" s="46"/>
    </row>
    <row r="258" spans="5:7" ht="15">
      <c r="E258" s="5"/>
      <c r="F258" s="5"/>
      <c r="G258" s="46"/>
    </row>
    <row r="259" spans="5:7" ht="15">
      <c r="E259" s="5"/>
      <c r="F259" s="5"/>
      <c r="G259" s="46"/>
    </row>
    <row r="260" spans="5:7" ht="15">
      <c r="E260" s="5"/>
      <c r="F260" s="5"/>
      <c r="G260" s="46"/>
    </row>
    <row r="261" spans="5:7" ht="15">
      <c r="E261" s="5"/>
      <c r="F261" s="5"/>
      <c r="G261" s="46"/>
    </row>
    <row r="262" spans="5:7" ht="15">
      <c r="E262" s="5"/>
      <c r="F262" s="5"/>
      <c r="G262" s="46"/>
    </row>
    <row r="263" spans="5:7" ht="15">
      <c r="E263" s="5"/>
      <c r="F263" s="5"/>
      <c r="G263" s="46"/>
    </row>
    <row r="264" spans="5:7" ht="15">
      <c r="E264" s="5"/>
      <c r="F264" s="5"/>
      <c r="G264" s="46"/>
    </row>
    <row r="265" spans="5:7" ht="15">
      <c r="E265" s="5"/>
      <c r="F265" s="5"/>
      <c r="G265" s="46"/>
    </row>
    <row r="266" spans="5:7" ht="15">
      <c r="E266" s="5"/>
      <c r="F266" s="5"/>
      <c r="G266" s="5"/>
    </row>
    <row r="267" spans="5:7" ht="15">
      <c r="E267" s="5"/>
      <c r="F267" s="5"/>
      <c r="G267" s="5"/>
    </row>
    <row r="268" spans="5:7" ht="15">
      <c r="E268" s="5"/>
      <c r="F268" s="5"/>
      <c r="G268" s="5"/>
    </row>
    <row r="269" spans="5:7" ht="15">
      <c r="E269" s="5"/>
      <c r="F269" s="5"/>
      <c r="G269" s="5"/>
    </row>
    <row r="270" spans="5:7" ht="15">
      <c r="E270" s="5"/>
      <c r="F270" s="5"/>
      <c r="G270" s="5"/>
    </row>
    <row r="271" spans="5:7" ht="15">
      <c r="E271" s="5"/>
      <c r="F271" s="5"/>
      <c r="G271" s="5"/>
    </row>
    <row r="272" spans="5:7" ht="15">
      <c r="E272" s="5"/>
      <c r="F272" s="5"/>
      <c r="G272" s="5"/>
    </row>
    <row r="353" spans="5:5" ht="15">
      <c r="E353" s="5"/>
    </row>
    <row r="354" spans="5:5" ht="15">
      <c r="E354" s="5"/>
    </row>
    <row r="355" spans="5:5" ht="15">
      <c r="E355" s="5"/>
    </row>
    <row r="356" spans="5:5" ht="15">
      <c r="E356" s="5"/>
    </row>
    <row r="358" spans="5:5" ht="15">
      <c r="E358" s="5"/>
    </row>
    <row r="360" spans="5:5" ht="15">
      <c r="E360" s="5"/>
    </row>
    <row r="362" spans="5:5" ht="15">
      <c r="E362" s="5"/>
    </row>
    <row r="365" spans="5:5" ht="15">
      <c r="E365" s="5"/>
    </row>
    <row r="366" spans="5:5" ht="15">
      <c r="E366" s="5"/>
    </row>
    <row r="367" spans="5:5" ht="15">
      <c r="E367" s="5"/>
    </row>
    <row r="368" spans="5:5" ht="15">
      <c r="E368" s="5"/>
    </row>
  </sheetData>
  <mergeCells count="2">
    <mergeCell ref="E19:Q22"/>
    <mergeCell ref="E5:Q9"/>
  </mergeCells>
  <hyperlinks>
    <hyperlink ref="M14" r:id="rId1"/>
  </hyperlinks>
  <pageMargins left="0.69930555555555995" right="0.69930555555555995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49"/>
  <sheetViews>
    <sheetView topLeftCell="Y12" workbookViewId="0">
      <selection activeCell="AB24" sqref="AB24"/>
    </sheetView>
  </sheetViews>
  <sheetFormatPr defaultRowHeight="15"/>
  <cols>
    <col min="1" max="1" width="2" customWidth="1"/>
    <col min="2" max="2" width="11.5703125" customWidth="1"/>
    <col min="3" max="3" width="31.42578125" style="51" customWidth="1"/>
    <col min="4" max="4" width="10.85546875" customWidth="1"/>
    <col min="5" max="5" width="10.42578125" bestFit="1" customWidth="1"/>
    <col min="6" max="6" width="2.85546875" customWidth="1"/>
    <col min="7" max="7" width="14.140625" customWidth="1"/>
    <col min="8" max="8" width="51.42578125" style="51" customWidth="1"/>
    <col min="9" max="9" width="4.5703125" customWidth="1"/>
    <col min="10" max="10" width="9.140625" hidden="1" customWidth="1"/>
    <col min="11" max="11" width="2.7109375" customWidth="1"/>
    <col min="13" max="13" width="64" style="51" customWidth="1"/>
    <col min="16" max="16" width="2.28515625" customWidth="1"/>
    <col min="18" max="18" width="57.5703125" style="51" customWidth="1"/>
    <col min="21" max="21" width="1.42578125" customWidth="1"/>
    <col min="22" max="22" width="8.140625" customWidth="1"/>
    <col min="23" max="23" width="55.140625" customWidth="1"/>
    <col min="24" max="24" width="14.140625" customWidth="1"/>
    <col min="26" max="26" width="1.28515625" customWidth="1"/>
    <col min="28" max="28" width="49.85546875" style="51" bestFit="1" customWidth="1"/>
    <col min="31" max="31" width="1.7109375" customWidth="1"/>
    <col min="33" max="33" width="20.28515625" customWidth="1"/>
  </cols>
  <sheetData>
    <row r="1" spans="2:9">
      <c r="C1" s="52"/>
    </row>
    <row r="2" spans="2:9">
      <c r="C2" s="54" t="s">
        <v>194</v>
      </c>
      <c r="D2" s="61" t="s">
        <v>202</v>
      </c>
      <c r="E2" s="55" t="s">
        <v>195</v>
      </c>
      <c r="F2" s="55" t="s">
        <v>196</v>
      </c>
      <c r="G2" s="55" t="s">
        <v>198</v>
      </c>
      <c r="H2" s="54" t="s">
        <v>197</v>
      </c>
      <c r="I2" s="62" t="s">
        <v>203</v>
      </c>
    </row>
    <row r="3" spans="2:9" ht="30">
      <c r="C3" s="63" t="str">
        <f>MID('Stock Item'!$D$2,4,1)</f>
        <v>5</v>
      </c>
      <c r="D3" s="52" t="str">
        <f>MID('Stock Item'!$D$2,6,2)</f>
        <v>25</v>
      </c>
      <c r="E3" s="63" t="str">
        <f>MID('Stock Item'!$D$2,7,1)</f>
        <v>5</v>
      </c>
      <c r="F3" s="63" t="str">
        <f>MID('Stock Item'!$D$2,5,2)</f>
        <v>62</v>
      </c>
      <c r="G3" s="51" t="str">
        <f>MID('Stock Item'!$D$2,8,2)</f>
        <v>30</v>
      </c>
      <c r="H3" s="63" t="str">
        <f>MID('Stock Item'!$D$2,10,11)</f>
        <v/>
      </c>
      <c r="I3" t="str">
        <f>MID('Stock Item'!$D$2,2,1)</f>
        <v>5</v>
      </c>
    </row>
    <row r="4" spans="2:9">
      <c r="D4" s="64" t="str">
        <f>CONCATENATE(C3)</f>
        <v>5</v>
      </c>
      <c r="G4" s="64" t="str">
        <f>CONCATENATE($G$3,"-")</f>
        <v>30-</v>
      </c>
      <c r="H4" s="51" t="str">
        <f>CONCATENATE($H$3,"-")</f>
        <v>-</v>
      </c>
    </row>
    <row r="5" spans="2:9">
      <c r="H5" s="51" t="str">
        <f>CONCATENATE('Stock Item'!D2)</f>
        <v>H50562530</v>
      </c>
    </row>
    <row r="6" spans="2:9">
      <c r="B6" s="54" t="s">
        <v>199</v>
      </c>
      <c r="C6" s="58" t="e">
        <f>VLOOKUP($C$3,$B$23:$E$72,2,0)</f>
        <v>#N/A</v>
      </c>
      <c r="D6" s="57" t="e">
        <f>VLOOKUP($D$4,G23:$J$100,2,0)</f>
        <v>#N/A</v>
      </c>
      <c r="E6" s="57" t="e">
        <f>VLOOKUP($E$3,$L$23:$O$72,2,0)</f>
        <v>#N/A</v>
      </c>
      <c r="F6" s="57" t="e">
        <f>VLOOKUP($F$3,$Q$23:$T$72,2,0)</f>
        <v>#N/A</v>
      </c>
      <c r="G6" s="57" t="str">
        <f>VLOOKUP($G$4,$V$23:$Y$72,2,0)</f>
        <v>LED 2835-60mA-3000K (WW)</v>
      </c>
      <c r="H6" s="56" t="str">
        <f>VLOOKUP($H$4,$AA$23:$AD$72,2,0)</f>
        <v>PS 24W 300mA 72V Maxic(PCB LT-MX-20W-V2)</v>
      </c>
      <c r="I6" s="56" t="e">
        <f>VLOOKUP($I$3,AF23:$AI$100,2,0)</f>
        <v>#N/A</v>
      </c>
    </row>
    <row r="7" spans="2:9" ht="30">
      <c r="B7" s="54" t="s">
        <v>200</v>
      </c>
      <c r="C7" s="58" t="e">
        <f>VLOOKUP($C$3,$B$23:$E$72,4,0)</f>
        <v>#N/A</v>
      </c>
      <c r="D7" s="57" t="e">
        <f>VLOOKUP($D$4,G23:$J$100,4,0)</f>
        <v>#N/A</v>
      </c>
      <c r="E7" s="57" t="e">
        <f>VLOOKUP($E$3,$L$23:$O$72,4,0)</f>
        <v>#N/A</v>
      </c>
      <c r="F7" s="57" t="e">
        <f>VLOOKUP($F$3,$Q$23:$T$72,4,0)</f>
        <v>#N/A</v>
      </c>
      <c r="G7" s="57">
        <f>VLOOKUP($G$4,$V$23:$Y$72,4,0)</f>
        <v>0</v>
      </c>
      <c r="H7" s="56">
        <f>VLOOKUP($H$4,$AA$23:$AD$72,4,0)</f>
        <v>0</v>
      </c>
      <c r="I7" s="56" t="e">
        <f>VLOOKUP($I$3,$AF$23:$AI$100,4,0)</f>
        <v>#N/A</v>
      </c>
    </row>
    <row r="8" spans="2:9" ht="45">
      <c r="B8" s="59" t="s">
        <v>201</v>
      </c>
      <c r="C8" s="58" t="e">
        <f>VLOOKUP($C$3,$B$23:$E$72,3,0)</f>
        <v>#N/A</v>
      </c>
      <c r="D8" s="57" t="e">
        <f>VLOOKUP($D$4,G23:$J$100,3,0)</f>
        <v>#N/A</v>
      </c>
      <c r="E8" s="57" t="e">
        <f>VLOOKUP($E$3,$L$23:$O$72,3,0)</f>
        <v>#N/A</v>
      </c>
      <c r="F8" s="57" t="e">
        <f>VLOOKUP($F$3,$Q$23:$T$72,3,0)</f>
        <v>#N/A</v>
      </c>
      <c r="G8" s="57">
        <f>VLOOKUP($G$4,$V$23:$Y$72,3,0)</f>
        <v>0</v>
      </c>
      <c r="H8" s="56">
        <f>VLOOKUP($H$4,$AA$23:$AD$72,3,0)</f>
        <v>0</v>
      </c>
      <c r="I8" s="56" t="e">
        <f>VLOOKUP($I$3,$AF$23:$AI$100,3,0)</f>
        <v>#N/A</v>
      </c>
    </row>
    <row r="10" spans="2:9">
      <c r="H10" s="65" t="s">
        <v>204</v>
      </c>
    </row>
    <row r="19" spans="2:35" ht="13.9" customHeight="1"/>
    <row r="21" spans="2:35">
      <c r="B21" s="115" t="s">
        <v>194</v>
      </c>
      <c r="C21" s="116"/>
      <c r="D21" s="116"/>
      <c r="E21" s="116"/>
      <c r="G21" s="115" t="s">
        <v>210</v>
      </c>
      <c r="H21" s="116"/>
      <c r="I21" s="116"/>
      <c r="J21" s="116"/>
      <c r="L21" s="115" t="s">
        <v>195</v>
      </c>
      <c r="M21" s="116"/>
      <c r="N21" s="116"/>
      <c r="O21" s="116"/>
      <c r="Q21" s="115" t="s">
        <v>196</v>
      </c>
      <c r="R21" s="116"/>
      <c r="S21" s="116"/>
      <c r="T21" s="116"/>
      <c r="V21" s="115" t="s">
        <v>205</v>
      </c>
      <c r="W21" s="116"/>
      <c r="X21" s="116"/>
      <c r="Y21" s="116"/>
      <c r="AA21" s="112" t="s">
        <v>197</v>
      </c>
      <c r="AB21" s="113"/>
      <c r="AC21" s="113"/>
      <c r="AD21" s="114"/>
      <c r="AF21" s="112" t="s">
        <v>203</v>
      </c>
      <c r="AG21" s="113"/>
      <c r="AH21" s="113"/>
      <c r="AI21" s="114"/>
    </row>
    <row r="22" spans="2:35">
      <c r="B22" s="50" t="s">
        <v>190</v>
      </c>
      <c r="C22" s="53" t="s">
        <v>191</v>
      </c>
      <c r="D22" s="50" t="s">
        <v>192</v>
      </c>
      <c r="E22" s="50" t="s">
        <v>193</v>
      </c>
      <c r="G22" s="50" t="s">
        <v>190</v>
      </c>
      <c r="H22" s="53" t="s">
        <v>191</v>
      </c>
      <c r="I22" s="50" t="s">
        <v>192</v>
      </c>
      <c r="J22" s="50" t="s">
        <v>193</v>
      </c>
      <c r="L22" s="50" t="s">
        <v>190</v>
      </c>
      <c r="M22" s="53" t="s">
        <v>191</v>
      </c>
      <c r="N22" s="50" t="s">
        <v>192</v>
      </c>
      <c r="O22" s="50" t="s">
        <v>193</v>
      </c>
      <c r="Q22" s="50" t="s">
        <v>190</v>
      </c>
      <c r="R22" s="53" t="s">
        <v>191</v>
      </c>
      <c r="S22" s="50" t="s">
        <v>192</v>
      </c>
      <c r="T22" s="50" t="s">
        <v>193</v>
      </c>
      <c r="V22" s="50" t="s">
        <v>190</v>
      </c>
      <c r="W22" s="50" t="s">
        <v>191</v>
      </c>
      <c r="X22" s="50" t="s">
        <v>192</v>
      </c>
      <c r="Y22" s="50" t="s">
        <v>193</v>
      </c>
      <c r="AA22" s="50" t="s">
        <v>190</v>
      </c>
      <c r="AB22" s="53" t="s">
        <v>191</v>
      </c>
      <c r="AC22" s="50" t="s">
        <v>192</v>
      </c>
      <c r="AD22" s="50" t="s">
        <v>193</v>
      </c>
      <c r="AF22" s="50" t="s">
        <v>190</v>
      </c>
      <c r="AG22" s="50" t="s">
        <v>191</v>
      </c>
      <c r="AH22" s="50" t="s">
        <v>192</v>
      </c>
      <c r="AI22" s="50" t="s">
        <v>193</v>
      </c>
    </row>
    <row r="23" spans="2:35">
      <c r="B23" s="67" t="s">
        <v>209</v>
      </c>
      <c r="C23" s="70"/>
      <c r="D23" s="66"/>
      <c r="E23" s="66"/>
      <c r="G23" s="68"/>
      <c r="H23" s="67"/>
      <c r="L23" s="60"/>
      <c r="M23" s="60"/>
      <c r="N23" s="49"/>
      <c r="O23" s="49"/>
      <c r="Q23" s="68" t="s">
        <v>207</v>
      </c>
      <c r="R23" s="69"/>
      <c r="V23" s="49" t="s">
        <v>215</v>
      </c>
      <c r="W23" s="77" t="s">
        <v>280</v>
      </c>
      <c r="X23" s="49"/>
      <c r="AA23" s="72" t="s">
        <v>222</v>
      </c>
      <c r="AB23" s="103" t="s">
        <v>278</v>
      </c>
      <c r="AF23" s="60"/>
      <c r="AG23" s="60"/>
    </row>
    <row r="24" spans="2:35">
      <c r="B24" s="67" t="s">
        <v>19</v>
      </c>
      <c r="C24" s="70"/>
      <c r="D24" s="66"/>
      <c r="E24" s="66"/>
      <c r="G24" s="68"/>
      <c r="H24" s="60"/>
      <c r="L24" s="60"/>
      <c r="M24" s="60"/>
      <c r="N24" s="49"/>
      <c r="O24" s="49"/>
      <c r="Q24" s="68"/>
      <c r="R24" s="69"/>
      <c r="V24" s="49" t="s">
        <v>212</v>
      </c>
      <c r="W24" s="78" t="s">
        <v>281</v>
      </c>
      <c r="AA24" s="72" t="s">
        <v>223</v>
      </c>
      <c r="AB24" s="103" t="s">
        <v>279</v>
      </c>
    </row>
    <row r="25" spans="2:35">
      <c r="B25" s="60" t="s">
        <v>216</v>
      </c>
      <c r="C25" s="70"/>
      <c r="D25" s="66"/>
      <c r="E25" s="66"/>
      <c r="L25" s="49"/>
      <c r="M25" s="49"/>
      <c r="N25" s="49"/>
      <c r="O25" s="49"/>
      <c r="V25" s="49" t="s">
        <v>214</v>
      </c>
      <c r="W25" s="78" t="s">
        <v>282</v>
      </c>
      <c r="AA25" s="72" t="s">
        <v>224</v>
      </c>
      <c r="AB25" s="71" t="s">
        <v>225</v>
      </c>
    </row>
    <row r="26" spans="2:35">
      <c r="L26" s="49"/>
      <c r="M26" s="49"/>
      <c r="N26" s="49"/>
      <c r="O26" s="49"/>
      <c r="V26" s="49" t="s">
        <v>213</v>
      </c>
      <c r="W26" s="78" t="s">
        <v>283</v>
      </c>
      <c r="AA26" s="72"/>
      <c r="AB26" s="71"/>
    </row>
    <row r="27" spans="2:35">
      <c r="H27"/>
      <c r="V27" s="49"/>
      <c r="W27" s="71"/>
      <c r="AA27" s="72"/>
      <c r="AB27" s="72"/>
    </row>
    <row r="28" spans="2:35">
      <c r="V28" s="49"/>
      <c r="W28" s="72"/>
      <c r="AB28"/>
    </row>
    <row r="29" spans="2:35">
      <c r="AB29"/>
    </row>
    <row r="30" spans="2:35">
      <c r="AB30"/>
    </row>
    <row r="31" spans="2:35">
      <c r="AB31"/>
    </row>
    <row r="32" spans="2:35">
      <c r="AB32"/>
    </row>
    <row r="33" spans="28:28">
      <c r="AB33"/>
    </row>
    <row r="34" spans="28:28">
      <c r="AB34"/>
    </row>
    <row r="35" spans="28:28">
      <c r="AB35"/>
    </row>
    <row r="36" spans="28:28">
      <c r="AB36"/>
    </row>
    <row r="37" spans="28:28">
      <c r="AB37"/>
    </row>
    <row r="38" spans="28:28">
      <c r="AB38"/>
    </row>
    <row r="39" spans="28:28">
      <c r="AB39"/>
    </row>
    <row r="40" spans="28:28">
      <c r="AB40"/>
    </row>
    <row r="41" spans="28:28">
      <c r="AB41"/>
    </row>
    <row r="42" spans="28:28">
      <c r="AB42"/>
    </row>
    <row r="43" spans="28:28">
      <c r="AB43"/>
    </row>
    <row r="44" spans="28:28">
      <c r="AB44"/>
    </row>
    <row r="45" spans="28:28">
      <c r="AB45"/>
    </row>
    <row r="46" spans="28:28">
      <c r="AB46"/>
    </row>
    <row r="47" spans="28:28">
      <c r="AB47"/>
    </row>
    <row r="48" spans="28:28">
      <c r="AB48"/>
    </row>
    <row r="49" spans="28:28">
      <c r="AB49"/>
    </row>
  </sheetData>
  <mergeCells count="7">
    <mergeCell ref="AF21:AI21"/>
    <mergeCell ref="B21:E21"/>
    <mergeCell ref="G21:J21"/>
    <mergeCell ref="L21:O21"/>
    <mergeCell ref="Q21:T21"/>
    <mergeCell ref="V21:Y21"/>
    <mergeCell ref="AA21:AD21"/>
  </mergeCells>
  <conditionalFormatting sqref="W24:W26">
    <cfRule type="duplicateValues" dxfId="1" priority="2"/>
  </conditionalFormatting>
  <conditionalFormatting sqref="W23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B13" sqref="B13"/>
    </sheetView>
  </sheetViews>
  <sheetFormatPr defaultRowHeight="15"/>
  <cols>
    <col min="1" max="1" width="9.140625" style="75"/>
    <col min="2" max="2" width="42.85546875" style="75" customWidth="1"/>
    <col min="3" max="16384" width="9.140625" style="75"/>
  </cols>
  <sheetData>
    <row r="1" spans="1:13">
      <c r="A1" s="75" t="s">
        <v>228</v>
      </c>
      <c r="B1" s="75" t="s">
        <v>229</v>
      </c>
      <c r="C1" s="75" t="s">
        <v>230</v>
      </c>
      <c r="D1" s="75" t="s">
        <v>231</v>
      </c>
      <c r="E1" s="75" t="s">
        <v>232</v>
      </c>
      <c r="F1" s="75" t="s">
        <v>233</v>
      </c>
      <c r="G1" s="75" t="s">
        <v>234</v>
      </c>
      <c r="H1" s="75" t="s">
        <v>235</v>
      </c>
      <c r="I1" s="75" t="s">
        <v>236</v>
      </c>
      <c r="J1" s="75" t="s">
        <v>237</v>
      </c>
      <c r="K1" s="75" t="s">
        <v>238</v>
      </c>
      <c r="L1" s="75" t="s">
        <v>239</v>
      </c>
      <c r="M1" s="75" t="s">
        <v>240</v>
      </c>
    </row>
    <row r="2" spans="1:13">
      <c r="A2" s="75">
        <v>151394</v>
      </c>
      <c r="B2" s="75" t="s">
        <v>258</v>
      </c>
      <c r="C2" s="75" t="s">
        <v>241</v>
      </c>
      <c r="D2" s="75">
        <v>0</v>
      </c>
      <c r="E2" s="75">
        <v>0</v>
      </c>
      <c r="F2" s="75">
        <v>2754</v>
      </c>
      <c r="G2" s="75">
        <v>0</v>
      </c>
      <c r="H2" s="75">
        <v>0</v>
      </c>
      <c r="I2" s="75">
        <v>0</v>
      </c>
      <c r="J2" s="75">
        <v>0</v>
      </c>
      <c r="K2" s="75" t="s">
        <v>242</v>
      </c>
      <c r="L2" s="75" t="s">
        <v>243</v>
      </c>
      <c r="M2" s="75" t="s">
        <v>244</v>
      </c>
    </row>
    <row r="3" spans="1:13">
      <c r="A3" s="75">
        <v>151395</v>
      </c>
      <c r="B3" s="75" t="s">
        <v>259</v>
      </c>
      <c r="C3" s="75" t="s">
        <v>241</v>
      </c>
      <c r="D3" s="75">
        <v>0</v>
      </c>
      <c r="E3" s="75">
        <v>0</v>
      </c>
      <c r="F3" s="75">
        <v>2754</v>
      </c>
      <c r="G3" s="75">
        <v>0</v>
      </c>
      <c r="H3" s="75">
        <v>0</v>
      </c>
      <c r="I3" s="75">
        <v>0</v>
      </c>
      <c r="J3" s="75">
        <v>0</v>
      </c>
      <c r="K3" s="75" t="s">
        <v>242</v>
      </c>
      <c r="L3" s="75" t="s">
        <v>245</v>
      </c>
      <c r="M3" s="75" t="s">
        <v>244</v>
      </c>
    </row>
    <row r="4" spans="1:13">
      <c r="A4" s="75">
        <v>151396</v>
      </c>
      <c r="B4" s="75" t="s">
        <v>260</v>
      </c>
      <c r="C4" s="75" t="s">
        <v>241</v>
      </c>
      <c r="D4" s="75">
        <v>0</v>
      </c>
      <c r="E4" s="75">
        <v>0</v>
      </c>
      <c r="F4" s="75">
        <v>2754</v>
      </c>
      <c r="G4" s="75">
        <v>0</v>
      </c>
      <c r="H4" s="75">
        <v>0</v>
      </c>
      <c r="I4" s="75">
        <v>0</v>
      </c>
      <c r="J4" s="75">
        <v>0</v>
      </c>
      <c r="K4" s="75" t="s">
        <v>242</v>
      </c>
      <c r="L4" s="75" t="s">
        <v>246</v>
      </c>
      <c r="M4" s="75" t="s">
        <v>244</v>
      </c>
    </row>
    <row r="5" spans="1:13">
      <c r="A5" s="75">
        <v>151397</v>
      </c>
      <c r="B5" s="75" t="s">
        <v>261</v>
      </c>
      <c r="C5" s="75" t="s">
        <v>241</v>
      </c>
      <c r="D5" s="75">
        <v>0</v>
      </c>
      <c r="E5" s="75">
        <v>0</v>
      </c>
      <c r="F5" s="75">
        <v>2754</v>
      </c>
      <c r="G5" s="75">
        <v>0</v>
      </c>
      <c r="H5" s="75">
        <v>0</v>
      </c>
      <c r="I5" s="75">
        <v>0</v>
      </c>
      <c r="J5" s="75">
        <v>0</v>
      </c>
      <c r="K5" s="75" t="s">
        <v>242</v>
      </c>
      <c r="L5" s="75" t="s">
        <v>247</v>
      </c>
      <c r="M5" s="75" t="s">
        <v>244</v>
      </c>
    </row>
    <row r="6" spans="1:13">
      <c r="A6" s="75">
        <v>151418</v>
      </c>
      <c r="B6" s="75" t="s">
        <v>248</v>
      </c>
      <c r="C6" s="75" t="s">
        <v>241</v>
      </c>
      <c r="D6" s="75">
        <v>0</v>
      </c>
      <c r="E6" s="75">
        <v>0</v>
      </c>
      <c r="F6" s="75">
        <v>0</v>
      </c>
      <c r="G6" s="75">
        <v>0</v>
      </c>
      <c r="H6" s="75">
        <v>0</v>
      </c>
      <c r="I6" s="75">
        <v>0</v>
      </c>
      <c r="J6" s="75">
        <v>0</v>
      </c>
      <c r="K6" s="75" t="s">
        <v>242</v>
      </c>
      <c r="L6" s="75" t="s">
        <v>243</v>
      </c>
      <c r="M6" s="75" t="s">
        <v>249</v>
      </c>
    </row>
    <row r="7" spans="1:13">
      <c r="A7" s="75">
        <v>151419</v>
      </c>
      <c r="B7" s="75" t="s">
        <v>250</v>
      </c>
      <c r="C7" s="75" t="s">
        <v>241</v>
      </c>
      <c r="D7" s="75">
        <v>0</v>
      </c>
      <c r="E7" s="75">
        <v>0</v>
      </c>
      <c r="F7" s="75">
        <v>0</v>
      </c>
      <c r="G7" s="75">
        <v>0</v>
      </c>
      <c r="H7" s="75">
        <v>0</v>
      </c>
      <c r="I7" s="75">
        <v>0</v>
      </c>
      <c r="J7" s="75">
        <v>0</v>
      </c>
      <c r="K7" s="75" t="s">
        <v>242</v>
      </c>
      <c r="L7" s="75" t="s">
        <v>245</v>
      </c>
      <c r="M7" s="75" t="s">
        <v>249</v>
      </c>
    </row>
    <row r="8" spans="1:13">
      <c r="A8" s="75">
        <v>151420</v>
      </c>
      <c r="B8" s="75" t="s">
        <v>251</v>
      </c>
      <c r="C8" s="75" t="s">
        <v>241</v>
      </c>
      <c r="D8" s="75">
        <v>0</v>
      </c>
      <c r="E8" s="75">
        <v>0</v>
      </c>
      <c r="F8" s="75">
        <v>0</v>
      </c>
      <c r="G8" s="75">
        <v>0</v>
      </c>
      <c r="H8" s="75">
        <v>0</v>
      </c>
      <c r="I8" s="75">
        <v>0</v>
      </c>
      <c r="J8" s="75">
        <v>0</v>
      </c>
      <c r="K8" s="75" t="s">
        <v>242</v>
      </c>
      <c r="L8" s="75" t="s">
        <v>246</v>
      </c>
      <c r="M8" s="75" t="s">
        <v>249</v>
      </c>
    </row>
    <row r="9" spans="1:13">
      <c r="A9" s="75">
        <v>151421</v>
      </c>
      <c r="B9" s="75" t="s">
        <v>252</v>
      </c>
      <c r="C9" s="75" t="s">
        <v>241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 t="s">
        <v>242</v>
      </c>
      <c r="L9" s="75" t="s">
        <v>247</v>
      </c>
      <c r="M9" s="75" t="s">
        <v>249</v>
      </c>
    </row>
    <row r="10" spans="1:13">
      <c r="A10" s="75">
        <v>151442</v>
      </c>
      <c r="B10" s="75" t="s">
        <v>253</v>
      </c>
      <c r="C10" s="75" t="s">
        <v>241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 t="s">
        <v>242</v>
      </c>
      <c r="L10" s="75" t="s">
        <v>243</v>
      </c>
      <c r="M10" s="75" t="s">
        <v>254</v>
      </c>
    </row>
    <row r="11" spans="1:13">
      <c r="A11" s="75">
        <v>151443</v>
      </c>
      <c r="B11" s="75" t="s">
        <v>255</v>
      </c>
      <c r="C11" s="75" t="s">
        <v>241</v>
      </c>
      <c r="D11" s="75">
        <v>0</v>
      </c>
      <c r="E11" s="75">
        <v>0</v>
      </c>
      <c r="F11" s="75">
        <v>0</v>
      </c>
      <c r="G11" s="75">
        <v>0</v>
      </c>
      <c r="H11" s="75">
        <v>0</v>
      </c>
      <c r="I11" s="75">
        <v>0</v>
      </c>
      <c r="J11" s="75">
        <v>0</v>
      </c>
      <c r="K11" s="75" t="s">
        <v>242</v>
      </c>
      <c r="L11" s="75" t="s">
        <v>245</v>
      </c>
      <c r="M11" s="75" t="s">
        <v>254</v>
      </c>
    </row>
    <row r="12" spans="1:13">
      <c r="A12" s="75">
        <v>151444</v>
      </c>
      <c r="B12" s="75" t="s">
        <v>256</v>
      </c>
      <c r="C12" s="75" t="s">
        <v>241</v>
      </c>
      <c r="D12" s="75">
        <v>0</v>
      </c>
      <c r="E12" s="75">
        <v>0</v>
      </c>
      <c r="F12" s="75">
        <v>0</v>
      </c>
      <c r="G12" s="75">
        <v>0</v>
      </c>
      <c r="H12" s="75">
        <v>0</v>
      </c>
      <c r="I12" s="75">
        <v>0</v>
      </c>
      <c r="J12" s="75">
        <v>0</v>
      </c>
      <c r="K12" s="75" t="s">
        <v>242</v>
      </c>
      <c r="L12" s="75" t="s">
        <v>246</v>
      </c>
      <c r="M12" s="75" t="s">
        <v>254</v>
      </c>
    </row>
    <row r="13" spans="1:13">
      <c r="A13" s="75">
        <v>151445</v>
      </c>
      <c r="B13" s="75" t="s">
        <v>257</v>
      </c>
      <c r="C13" s="75" t="s">
        <v>241</v>
      </c>
      <c r="D13" s="75">
        <v>0</v>
      </c>
      <c r="E13" s="75">
        <v>0</v>
      </c>
      <c r="F13" s="75">
        <v>0</v>
      </c>
      <c r="G13" s="75">
        <v>0</v>
      </c>
      <c r="H13" s="75">
        <v>0</v>
      </c>
      <c r="I13" s="75">
        <v>0</v>
      </c>
      <c r="J13" s="75">
        <v>0</v>
      </c>
      <c r="K13" s="75" t="s">
        <v>242</v>
      </c>
      <c r="L13" s="75" t="s">
        <v>247</v>
      </c>
      <c r="M13" s="75" t="s">
        <v>254</v>
      </c>
    </row>
  </sheetData>
  <autoFilter ref="A1:M1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  <UserInfo>
        <DisplayName>Logeswaran C</DisplayName>
        <AccountId>176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CA5442-C2DA-43F1-A162-45733585A7FC}">
  <ds:schemaRefs/>
</ds:datastoreItem>
</file>

<file path=customXml/itemProps2.xml><?xml version="1.0" encoding="utf-8"?>
<ds:datastoreItem xmlns:ds="http://schemas.openxmlformats.org/officeDocument/2006/customXml" ds:itemID="{02797C48-CC81-4B8D-8032-B370D450D1ED}">
  <ds:schemaRefs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19f101f2-dc01-4042-8e40-12d7763a2d52"/>
    <ds:schemaRef ds:uri="b26cac7a-f046-4518-bb94-83afcd16cb5c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A7A392F-F524-4A60-8A38-C11F214F62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Item</vt:lpstr>
      <vt:lpstr>Stock Item (Read Me)</vt:lpstr>
      <vt:lpstr>Backend data</vt:lpstr>
      <vt:lpstr>Result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Dang</dc:creator>
  <cp:lastModifiedBy>Brijesh</cp:lastModifiedBy>
  <dcterms:created xsi:type="dcterms:W3CDTF">2023-07-04T06:39:00Z</dcterms:created>
  <dcterms:modified xsi:type="dcterms:W3CDTF">2025-04-02T05:23:20Z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  <property fmtid="{D5CDD505-2E9C-101B-9397-08002B2CF9AE}" pid="3" name="KSOProductBuildVer">
    <vt:lpwstr>1033-...</vt:lpwstr>
  </property>
</Properties>
</file>
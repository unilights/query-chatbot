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-120" yWindow="0" windowWidth="15600" windowHeight="11040"/>
  </bookViews>
  <sheets>
    <sheet name="Stock Item" sheetId="23" r:id="rId1"/>
    <sheet name="NLBS-DATA" sheetId="24" r:id="rId2"/>
    <sheet name="Result" sheetId="25" r:id="rId3"/>
    <sheet name="Stock Item (Read Me)" sheetId="10" r:id="rId4"/>
  </sheets>
  <definedNames>
    <definedName name="_xlnm._FilterDatabase" localSheetId="2" hidden="1">Result!$A$1:$O$9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18" i="23" l="1"/>
  <c r="L16" i="23"/>
  <c r="L15" i="23"/>
  <c r="L17" i="23"/>
  <c r="P23" i="23"/>
  <c r="Q23" i="23" s="1"/>
  <c r="K14" i="23" l="1"/>
  <c r="P14" i="23" l="1"/>
  <c r="L14" i="23" s="1"/>
  <c r="P13" i="23"/>
  <c r="K13" i="23" s="1"/>
  <c r="L13" i="23" s="1"/>
  <c r="P12" i="23"/>
  <c r="L12" i="23" s="1"/>
  <c r="P2" i="23"/>
  <c r="K2" i="23" s="1"/>
  <c r="L2" i="23" s="1"/>
  <c r="AZ6" i="24" l="1"/>
  <c r="AY3" i="24" l="1"/>
  <c r="AX5" i="24" l="1"/>
  <c r="AX4" i="24"/>
  <c r="F13" i="23"/>
  <c r="A18" i="23"/>
  <c r="D18" i="23"/>
  <c r="AY4" i="24" l="1"/>
  <c r="AW4" i="24"/>
  <c r="AW15" i="24" s="1"/>
  <c r="G19" i="23" s="1"/>
  <c r="L19" i="23" s="1"/>
  <c r="AV3" i="24"/>
  <c r="AV5" i="24" l="1"/>
  <c r="AY6" i="24"/>
  <c r="AW12" i="24" s="1"/>
  <c r="A2" i="23"/>
  <c r="AX10" i="24" l="1"/>
  <c r="F11" i="23"/>
  <c r="G11" i="23"/>
  <c r="AY10" i="24"/>
  <c r="G6" i="23"/>
  <c r="G5" i="23"/>
  <c r="AW10" i="24"/>
  <c r="AW9" i="24"/>
  <c r="F16" i="23" s="1"/>
  <c r="G3" i="23"/>
  <c r="AW11" i="24"/>
  <c r="G4" i="23"/>
  <c r="F3" i="23"/>
  <c r="F2" i="23"/>
  <c r="F4" i="23"/>
  <c r="L20" i="23"/>
  <c r="L22" i="23" s="1"/>
  <c r="F15" i="23"/>
  <c r="L23" i="23" l="1"/>
  <c r="F18" i="23"/>
  <c r="BB2" i="24"/>
  <c r="AX3" i="24" l="1"/>
  <c r="AX6" i="24" s="1"/>
  <c r="AW3" i="24"/>
  <c r="AW5" i="24" s="1"/>
  <c r="AZ3" i="24"/>
  <c r="AZ5" i="24" l="1"/>
  <c r="AZ7" i="24"/>
  <c r="AW13" i="24" l="1"/>
  <c r="F19" i="23" s="1"/>
</calcChain>
</file>

<file path=xl/comments1.xml><?xml version="1.0" encoding="utf-8"?>
<comments xmlns="http://schemas.openxmlformats.org/spreadsheetml/2006/main">
  <authors>
    <author>Rahul Dang</author>
  </authors>
  <commentList>
    <comment ref="A1" authorId="0">
      <text>
        <r>
          <rPr>
            <sz val="9"/>
            <rFont val="Tahoma"/>
            <family val="2"/>
          </rPr>
          <t>This section lists all the fields in TallyPrime related to Stock Item Master</t>
        </r>
      </text>
    </comment>
    <comment ref="B1" authorId="0">
      <text>
        <r>
          <rPr>
            <sz val="9"/>
            <rFont val="Tahoma"/>
            <family val="2"/>
          </rPr>
          <t>This section displays fields relevant to different countries.</t>
        </r>
      </text>
    </comment>
    <comment ref="C1" authorId="0">
      <text>
        <r>
          <rPr>
            <sz val="9"/>
            <rFont val="Tahoma"/>
            <family val="2"/>
          </rPr>
          <t>In this section, you'll find strings that are applicable to specific fields. Users can conveniently copy these strings for use in their data.</t>
        </r>
      </text>
    </comment>
    <comment ref="A3" authorId="0">
      <text>
        <r>
          <rPr>
            <sz val="9"/>
            <rFont val="Tahoma"/>
            <family val="2"/>
          </rPr>
          <t>*Mandatory Field</t>
        </r>
      </text>
    </comment>
  </commentList>
</comments>
</file>

<file path=xl/sharedStrings.xml><?xml version="1.0" encoding="utf-8"?>
<sst xmlns="http://schemas.openxmlformats.org/spreadsheetml/2006/main" count="656" uniqueCount="344">
  <si>
    <t>Name</t>
  </si>
  <si>
    <t>Name of BOM</t>
  </si>
  <si>
    <t>Unit of manufacture</t>
  </si>
  <si>
    <t>BOM Component - Item Name</t>
  </si>
  <si>
    <t>BOM Component - Quantity</t>
  </si>
  <si>
    <t>BOM Component - Godown</t>
  </si>
  <si>
    <t>BOM Component - Type of Item</t>
  </si>
  <si>
    <t>BOM Component - Rate (%)</t>
  </si>
  <si>
    <t>BOM Component - Location</t>
  </si>
  <si>
    <t>Component</t>
  </si>
  <si>
    <t>List of Fields</t>
  </si>
  <si>
    <t>Applicable Countries</t>
  </si>
  <si>
    <t>Applicable Values</t>
  </si>
  <si>
    <t>General Details</t>
  </si>
  <si>
    <t> </t>
  </si>
  <si>
    <t>All</t>
  </si>
  <si>
    <t>Read the following, before you start using the sample file:</t>
  </si>
  <si>
    <t>Group Name</t>
  </si>
  <si>
    <t>Stock Item worksheet:</t>
  </si>
  <si>
    <t>B</t>
  </si>
  <si>
    <t xml:space="preserve"> - Use the worksheet without making any changes to the column headers to enter your business data.	
 - The column headers represent field names in TallyPrime. Mandatory fields are marked in bold for easy reference.	
 - Add new columns, if needed. Ensure to enter Column Headers exactly as mentioned under the List of Fields of the Read Me worksheet.	
 - Delete unwanted columns. However, do not delete columns that represent mandatory fields for masters.	</t>
  </si>
  <si>
    <t>Part No.</t>
  </si>
  <si>
    <t>Alias - Part No.</t>
  </si>
  <si>
    <t>Description</t>
  </si>
  <si>
    <t>Notes</t>
  </si>
  <si>
    <t>Category</t>
  </si>
  <si>
    <t>Units</t>
  </si>
  <si>
    <t>Stock Item (Read Me)</t>
  </si>
  <si>
    <t>Conversion</t>
  </si>
  <si>
    <t xml:space="preserve"> - The Read Me worksheet is only for your reference. It lists all the fields, with related details, applicable for Stock Item.</t>
  </si>
  <si>
    <t>Denominator</t>
  </si>
  <si>
    <t>Alternate Units</t>
  </si>
  <si>
    <t xml:space="preserve">For more information on using Sample Excel File for importing data, refer to </t>
  </si>
  <si>
    <t>TallyHelp</t>
  </si>
  <si>
    <t>GST Applicability</t>
  </si>
  <si>
    <t>Applicable, Not Applicable</t>
  </si>
  <si>
    <t>Opening Balance - Quantity</t>
  </si>
  <si>
    <t>Opening Balance - Rate</t>
  </si>
  <si>
    <t>Opening Balance - Rate Per</t>
  </si>
  <si>
    <t>Opening Balance - Value</t>
  </si>
  <si>
    <t>Language for Name (Except English)</t>
  </si>
  <si>
    <t>Is TCS Applicable</t>
  </si>
  <si>
    <t xml:space="preserve">Item Allocations Details </t>
  </si>
  <si>
    <t>Item Allocations - Godown</t>
  </si>
  <si>
    <t>(When Accounting Terminology is set to "India/SAARC")</t>
  </si>
  <si>
    <t>Item Allocations - Batch</t>
  </si>
  <si>
    <t>Item Allocations - Quantity</t>
  </si>
  <si>
    <t>Item Allocations - Rate</t>
  </si>
  <si>
    <t>Item Allocations - Rate per</t>
  </si>
  <si>
    <t>Item Allocations - Amount</t>
  </si>
  <si>
    <t>Item Allocations - Mfg. Date</t>
  </si>
  <si>
    <t>Item Allocations - Expiry Date</t>
  </si>
  <si>
    <t>Item Allocations - Location</t>
  </si>
  <si>
    <t>(When Accounting Terminology is set to "International")</t>
  </si>
  <si>
    <t>Additional Details</t>
  </si>
  <si>
    <t>Maintain in Batches</t>
  </si>
  <si>
    <t>Track date of manufacturing</t>
  </si>
  <si>
    <t>Use expiry dates</t>
  </si>
  <si>
    <t>Enable Cost Tracking</t>
  </si>
  <si>
    <t>Costing Method</t>
  </si>
  <si>
    <t>At Zero Cost, Avg. Cost, FIFO, FIFO Perpetual, Last Purchase Cost, LIFO Annual, LIFO Perpetual, Monthly Avg. Cost, Std. Cost</t>
  </si>
  <si>
    <t>Market Valuation Method</t>
  </si>
  <si>
    <t>At Zero Price, Avg. Price, Last Sale Price, Std. Price</t>
  </si>
  <si>
    <t>Behaviour</t>
  </si>
  <si>
    <t>Ignore difference due to physical counting</t>
  </si>
  <si>
    <t>Ignore negative balances</t>
  </si>
  <si>
    <t>Use expired batches during voucher entry</t>
  </si>
  <si>
    <t>Treat all sales as new manufacture</t>
  </si>
  <si>
    <t>Treat all purchases as consumed</t>
  </si>
  <si>
    <t>Treat all rejections inward as scrap</t>
  </si>
  <si>
    <t>BOM Details</t>
  </si>
  <si>
    <t>By-Product, Component, Co-Product, Scrap</t>
  </si>
  <si>
    <t>Default Accounting Allocation (Purchase)</t>
  </si>
  <si>
    <t>Accounting Allocation (Purchase) - Ledger Name</t>
  </si>
  <si>
    <t>Accounting Allocation (Purchase) - Percentage</t>
  </si>
  <si>
    <t>Accounting Allocation (Purchase) - Rounding Method</t>
  </si>
  <si>
    <t>Accounting Allocation (Purchase) - Rounding Limit</t>
  </si>
  <si>
    <t>Tax classification Purchase - GST</t>
  </si>
  <si>
    <t>India</t>
  </si>
  <si>
    <t>Tax classification Purchase - TDS</t>
  </si>
  <si>
    <t>Tax classification Purchase - VAT</t>
  </si>
  <si>
    <t>Kenya, Bangladesh, Boswana, Indonesia, Philippines, Ghana, Bahrain,  UAE, KSA, Oman</t>
  </si>
  <si>
    <t>Adjust Allocation Difference - Purchase</t>
  </si>
  <si>
    <t>Default Accounting Allocation( Sales)</t>
  </si>
  <si>
    <t>Accounting Allocation (Sales) - Ledger Name</t>
  </si>
  <si>
    <t>Accounting Allocation (Sales) - Percentage</t>
  </si>
  <si>
    <t>Accounting Allocation (Sales) - Rounding Method</t>
  </si>
  <si>
    <t>Accounting Allocation (Sales) - Rounding Limit</t>
  </si>
  <si>
    <t>Tax classification Sales - GST</t>
  </si>
  <si>
    <t>Tax classification Sales - TCS</t>
  </si>
  <si>
    <t>Tax classification Sales - VAT</t>
  </si>
  <si>
    <t>Adjust Allocation Difference - Sales</t>
  </si>
  <si>
    <t>HSN/SAC &amp; Related Details</t>
  </si>
  <si>
    <t>HSN/SAC - Applicable From</t>
  </si>
  <si>
    <t>HSN/SAC Details</t>
  </si>
  <si>
    <t>As per Company/Group, Specify Details Here, Use GST Classification, Specify in Voucher</t>
  </si>
  <si>
    <t>HSN - Classification</t>
  </si>
  <si>
    <t>HSN/SAC</t>
  </si>
  <si>
    <t>HSN Description</t>
  </si>
  <si>
    <t>GST Rate &amp; Related Details</t>
  </si>
  <si>
    <t>GST Rate - Applicable From</t>
  </si>
  <si>
    <t>GST Rate Details</t>
  </si>
  <si>
    <t>As per Company/Group, Specify Details Here, Use GST Classification, Specify in Voucher, Specify Slab-Based Rates</t>
  </si>
  <si>
    <t>GST - Classification</t>
  </si>
  <si>
    <t>GST - Taxability Type</t>
  </si>
  <si>
    <t>Exempt, Nill Rated, Non-GST, Taxable</t>
  </si>
  <si>
    <t>IGST Rate</t>
  </si>
  <si>
    <t>CGST Rate</t>
  </si>
  <si>
    <t>SGST/UTGST Rate</t>
  </si>
  <si>
    <t>Cess Rate</t>
  </si>
  <si>
    <t>Cess Rate Per Unit</t>
  </si>
  <si>
    <t>State Cess Rate</t>
  </si>
  <si>
    <t>Applicable for Reverse Charge</t>
  </si>
  <si>
    <t>Eligible for Input Tax Credit</t>
  </si>
  <si>
    <t>Slab-wise Item Rate - Up To</t>
  </si>
  <si>
    <t>Consider MRP while calculating Slab-based tax rate</t>
  </si>
  <si>
    <t>Include GST expenses/incomes to calculate slab-based tax rate</t>
  </si>
  <si>
    <t>Type of Supply</t>
  </si>
  <si>
    <t>Capital Goods, Goods, Services</t>
  </si>
  <si>
    <t>MRP Details</t>
  </si>
  <si>
    <t>Allow MRP modification in voucher</t>
  </si>
  <si>
    <t>MRP - Applicable From</t>
  </si>
  <si>
    <t>MRP - State Name</t>
  </si>
  <si>
    <t>MRP Rate</t>
  </si>
  <si>
    <t>MRP Rate per</t>
  </si>
  <si>
    <t>Other Tax Details</t>
  </si>
  <si>
    <t>Is inclusive of duties and taxes</t>
  </si>
  <si>
    <t>Rate of Duty</t>
  </si>
  <si>
    <t>Price List</t>
  </si>
  <si>
    <t>Price Level</t>
  </si>
  <si>
    <t>Price List - Date</t>
  </si>
  <si>
    <t>Item Quantities - From</t>
  </si>
  <si>
    <t>Item Quantities - Less than</t>
  </si>
  <si>
    <t>Price List Rate</t>
  </si>
  <si>
    <t>Price List Discount</t>
  </si>
  <si>
    <t>Standard Cost</t>
  </si>
  <si>
    <t>Standard Cost - Applicable From</t>
  </si>
  <si>
    <t>Standard Cost - Rate</t>
  </si>
  <si>
    <t>Standard Cost - Rate per</t>
  </si>
  <si>
    <t>Standard Selling Price</t>
  </si>
  <si>
    <t>Standard Selling Price - Applicable From</t>
  </si>
  <si>
    <t>Standard Selling Price - Rate</t>
  </si>
  <si>
    <t>Standard Selling Price - Rate per</t>
  </si>
  <si>
    <t>Statutory details</t>
  </si>
  <si>
    <t>Is Excise Applicable</t>
  </si>
  <si>
    <t>UAE, KSA, Oman</t>
  </si>
  <si>
    <t>Rate of VAT</t>
  </si>
  <si>
    <t>UK</t>
  </si>
  <si>
    <t>TCS - Nature of Goods Details</t>
  </si>
  <si>
    <t>TCS - Applicable From</t>
  </si>
  <si>
    <t>TCS - Nature of Goods</t>
  </si>
  <si>
    <t>TDS - Nature of Payment Details</t>
  </si>
  <si>
    <t>TDS - Nature of Payment</t>
  </si>
  <si>
    <t>TDS - Applicable From </t>
  </si>
  <si>
    <t>VAT Rate Details</t>
  </si>
  <si>
    <t>VAT - Applicable From</t>
  </si>
  <si>
    <t>Bahrain, Bangladesh, Botswana, Indonesia, Philippines, Ghana, Kenya, UAE, KSA, Oman</t>
  </si>
  <si>
    <t>VAT - Taxability</t>
  </si>
  <si>
    <t>VAT - Rate</t>
  </si>
  <si>
    <t>VAT - Classification</t>
  </si>
  <si>
    <t>Bangladesh, Botswana, Indonesia, Philippines, Ghana, Kenya</t>
  </si>
  <si>
    <t>VAT - Nature of Goods</t>
  </si>
  <si>
    <t>Bangladesh, Philippines</t>
  </si>
  <si>
    <t>VAT - Supplementary Duty</t>
  </si>
  <si>
    <t>Bangladesh</t>
  </si>
  <si>
    <t>VAT - Type of Goods</t>
  </si>
  <si>
    <t>Botswana, Kenya</t>
  </si>
  <si>
    <t>VAT - NHIL</t>
  </si>
  <si>
    <t>Ghana</t>
  </si>
  <si>
    <t>VAT - Commodity Name</t>
  </si>
  <si>
    <t>Kenya</t>
  </si>
  <si>
    <t>VAT - Commodity Code</t>
  </si>
  <si>
    <t>VAT - Category</t>
  </si>
  <si>
    <t>Reporting UOM</t>
  </si>
  <si>
    <t>Reporting UOM - Applicable From</t>
  </si>
  <si>
    <t>Reporting UOM - Name</t>
  </si>
  <si>
    <t>Reorder Details</t>
  </si>
  <si>
    <t>Reorder Level - Quantity</t>
  </si>
  <si>
    <t>Reorder Level - Period</t>
  </si>
  <si>
    <t>Reorder Level - Period Length</t>
  </si>
  <si>
    <t>Reorder Level - Criteria</t>
  </si>
  <si>
    <t>Reorder Level - Rounding Method</t>
  </si>
  <si>
    <t>Reorder Level - Rounding Limit</t>
  </si>
  <si>
    <t>Minimum Order - Quantity</t>
  </si>
  <si>
    <t>Minimum Order - Period</t>
  </si>
  <si>
    <t>Minimum Order - Period Length</t>
  </si>
  <si>
    <t>Minimum Order - Criteria</t>
  </si>
  <si>
    <t>Minimum Order - Rounding Method</t>
  </si>
  <si>
    <t>Minimum Order - Rounding Limit</t>
  </si>
  <si>
    <t>Mechanical Store</t>
  </si>
  <si>
    <t>Down Light Series</t>
  </si>
  <si>
    <t>Nos.</t>
  </si>
  <si>
    <t>Screw-M3X14mm- Pan + Head-MS</t>
  </si>
  <si>
    <t>Sleeve-25X30mm-Polyolefin Black</t>
  </si>
  <si>
    <t>Reflector Holder</t>
  </si>
  <si>
    <t>Driver</t>
  </si>
  <si>
    <t>Reflector</t>
  </si>
  <si>
    <t>Housing</t>
  </si>
  <si>
    <t>S20</t>
  </si>
  <si>
    <t>S10</t>
  </si>
  <si>
    <t>PS-5W  9V 500mA-DALI DC</t>
  </si>
  <si>
    <t>S05</t>
  </si>
  <si>
    <t>COST</t>
  </si>
  <si>
    <t>CODE</t>
  </si>
  <si>
    <t xml:space="preserve">CODE </t>
  </si>
  <si>
    <t>DRIVER</t>
  </si>
  <si>
    <t>REFLECTOR</t>
  </si>
  <si>
    <t>05-</t>
  </si>
  <si>
    <t>Temperature</t>
  </si>
  <si>
    <t>-</t>
  </si>
  <si>
    <t>10-</t>
  </si>
  <si>
    <t>20-</t>
  </si>
  <si>
    <t>10-ID</t>
  </si>
  <si>
    <t>20-ID</t>
  </si>
  <si>
    <t>05-ID</t>
  </si>
  <si>
    <t>LED Temperature</t>
  </si>
  <si>
    <t>30S</t>
  </si>
  <si>
    <t>40S</t>
  </si>
  <si>
    <t>60S</t>
  </si>
  <si>
    <t>25S</t>
  </si>
  <si>
    <t>QTY</t>
  </si>
  <si>
    <t>05Watt</t>
  </si>
  <si>
    <t>Lens</t>
  </si>
  <si>
    <t>Diffuser</t>
  </si>
  <si>
    <t>Screw</t>
  </si>
  <si>
    <t>LED Tem. QTY</t>
  </si>
  <si>
    <t>05M</t>
  </si>
  <si>
    <t>10M</t>
  </si>
  <si>
    <t>20M</t>
  </si>
  <si>
    <t>CC</t>
  </si>
  <si>
    <t>T</t>
  </si>
  <si>
    <t>I</t>
  </si>
  <si>
    <t>BT</t>
  </si>
  <si>
    <t>ID</t>
  </si>
  <si>
    <t>BTD</t>
  </si>
  <si>
    <t>MODEL NAME</t>
  </si>
  <si>
    <t>NLBS05M40</t>
  </si>
  <si>
    <t>HOUSING</t>
  </si>
  <si>
    <t>BOX</t>
  </si>
  <si>
    <t>PBX-NLBS10W</t>
  </si>
  <si>
    <t>Housing-L-78.5 W-28.5 H-38mm White NLBS5W (FAFA)</t>
  </si>
  <si>
    <t>NLBS05M30</t>
  </si>
  <si>
    <t>NLBS10M40</t>
  </si>
  <si>
    <t>Housing-L-78.5 W-28.5 H-38mm Black NLBS5W (FAFA)</t>
  </si>
  <si>
    <t>Housing-L-120 W -28.5 H-38mm White  NLBS10W (FAFA)</t>
  </si>
  <si>
    <t>Housing-L-120 W -28.5 H-38mm Black  NLBS10W (FAFA)</t>
  </si>
  <si>
    <t>Housing-L-230 W-28 H-38mm Black NLBS20W (FAFA)</t>
  </si>
  <si>
    <t>Housing-L-230 W-28 H-38mm White NLBS20W (FAFA)</t>
  </si>
  <si>
    <t>Refl-L-68 W-18 H-11.5 LES ID-13.5mm-PC NLBS5W (FAFA)</t>
  </si>
  <si>
    <t>Refl-L-110 W-18 H-11.5 LES ID-13.5mm-PC NLBS20W (FAFA)</t>
  </si>
  <si>
    <t>Refl-L-110 W-18 H-11.5 LES ID-13.5mm-PC NLBS10W (FAFA)</t>
  </si>
  <si>
    <t>SKUs</t>
  </si>
  <si>
    <t>NLBS05M60</t>
  </si>
  <si>
    <t>NLBB05M60</t>
  </si>
  <si>
    <t>NLBB05M40</t>
  </si>
  <si>
    <t>NLBB05M30</t>
  </si>
  <si>
    <t>NLBS10M60</t>
  </si>
  <si>
    <t>NLBS10M30</t>
  </si>
  <si>
    <t>NLBB10M60</t>
  </si>
  <si>
    <t>NLBB10M40</t>
  </si>
  <si>
    <t>NLBB10M30</t>
  </si>
  <si>
    <t>NLBS20M60</t>
  </si>
  <si>
    <t>NLBS20M40</t>
  </si>
  <si>
    <t>NLBS20M30</t>
  </si>
  <si>
    <t>NLBB20M60</t>
  </si>
  <si>
    <t>NLBB20M40</t>
  </si>
  <si>
    <t>NLBB20M30</t>
  </si>
  <si>
    <t>NLBS05M25ID</t>
  </si>
  <si>
    <t>NLBB05M25ID</t>
  </si>
  <si>
    <t>NLBS10M25ID</t>
  </si>
  <si>
    <t>NLBB10M25ID</t>
  </si>
  <si>
    <t>NLBS20M25ID</t>
  </si>
  <si>
    <t>NLBB20M25ID</t>
  </si>
  <si>
    <t>B05</t>
  </si>
  <si>
    <t>B10</t>
  </si>
  <si>
    <t>B20</t>
  </si>
  <si>
    <t>30B</t>
  </si>
  <si>
    <t>40B</t>
  </si>
  <si>
    <t>60B</t>
  </si>
  <si>
    <t>25B</t>
  </si>
  <si>
    <t>Refl Holder-L-68 W-18 H-12mm-PC NLBS5W (FAFA)</t>
  </si>
  <si>
    <t>Refl Holder-L-110 W-18 H-12mm-PC NLBS10W (FAFA)</t>
  </si>
  <si>
    <t>Refl Holder-L-110 W-18 H-12mm-PC NLBS20W (FAFA)</t>
  </si>
  <si>
    <t>LED SMD 3535 3000K WW</t>
  </si>
  <si>
    <t>LED SMD 3535 3V 4000K 1500mA</t>
  </si>
  <si>
    <t>LED SMD 3535 6000K CW</t>
  </si>
  <si>
    <t>LED SMD 3535 Dual Colour - 2700K - 5000K</t>
  </si>
  <si>
    <t>Diff flim-16X0.10mm-PC NLBS5/10/12W (FAFA)</t>
  </si>
  <si>
    <t>Lens-O-16 L-3.5X3.5 H-10mm 31°-PC NLBS5/10/20 (FAFA</t>
  </si>
  <si>
    <t>Cost</t>
  </si>
  <si>
    <t>PBX-NLBS05W</t>
  </si>
  <si>
    <t xml:space="preserve">Sleeve-O-20 L-21 T-0.20mm-Polyolefin Black </t>
  </si>
  <si>
    <t>Spring-L-45 W-16 Coil Dia.-1 D-7.5mm-MS NLBS5/10/20</t>
  </si>
  <si>
    <t>Screw M4x4mm , SS , Allen grub screw</t>
  </si>
  <si>
    <t>PCB 3LED L63 W-16 T-1.5mm NLBS5W (FAFA)</t>
  </si>
  <si>
    <t>PCB 5LED L-128 W-28 H-38 NLBS10W (FAFA)</t>
  </si>
  <si>
    <t>PCB 10LED L-230 W-28 H-24 NLBS20W (FAFA)</t>
  </si>
  <si>
    <t>PCB</t>
  </si>
  <si>
    <t>Dali Driver DC-10W PE694R4230(AI-Dimming)-25-40V</t>
  </si>
  <si>
    <t>Dali Driver DC-20W PE69R4240 (AI-Dimming)-25-40V</t>
  </si>
  <si>
    <t>PS 20W 500mA 36V Maxic-New</t>
  </si>
  <si>
    <t>PBX-NLBS20W</t>
  </si>
  <si>
    <t>PS 5W 300mA 15V LPF</t>
  </si>
  <si>
    <t>SKU Id</t>
  </si>
  <si>
    <t>SKU Code</t>
  </si>
  <si>
    <t>Product Name</t>
  </si>
  <si>
    <t>Cost Price</t>
  </si>
  <si>
    <t>Retail Price</t>
  </si>
  <si>
    <t>Selling Price</t>
  </si>
  <si>
    <t>Weight</t>
  </si>
  <si>
    <t>Width</t>
  </si>
  <si>
    <t>Height</t>
  </si>
  <si>
    <t>Depth</t>
  </si>
  <si>
    <t>Trim</t>
  </si>
  <si>
    <t>Input Power / Size</t>
  </si>
  <si>
    <t>Beam Angle</t>
  </si>
  <si>
    <t>Color Temp</t>
  </si>
  <si>
    <t>Driving System</t>
  </si>
  <si>
    <t/>
  </si>
  <si>
    <t>Square White Trim</t>
  </si>
  <si>
    <t>10 Watt / L120 X W28 X H38mm</t>
  </si>
  <si>
    <t>Medium - 31°</t>
  </si>
  <si>
    <t>6000K</t>
  </si>
  <si>
    <t>Constant Current</t>
  </si>
  <si>
    <t>4000k</t>
  </si>
  <si>
    <t>3000k</t>
  </si>
  <si>
    <t>Square Black Trim</t>
  </si>
  <si>
    <t>2700K - 5000K Dali + Dual Color (Driving System)</t>
  </si>
  <si>
    <t>Dali + Dual Color (2700K - 5000K)</t>
  </si>
  <si>
    <t>Electronics Store</t>
  </si>
  <si>
    <t>Connector Cable Green Male 15mm</t>
  </si>
  <si>
    <t>Sleeve M4mm Fiber Glass White</t>
  </si>
  <si>
    <t>PS 10W 250MA 36V LPF (PCB MT43-8-12W-V2 LPF)</t>
  </si>
  <si>
    <t>SBX - COB 8-18W (12Nos)</t>
  </si>
  <si>
    <t>PS Rate Mention with Total Amt</t>
  </si>
  <si>
    <t>PCB Rate Including in Fitting</t>
  </si>
  <si>
    <t>Unit Price</t>
  </si>
  <si>
    <t>USD</t>
  </si>
  <si>
    <t>INS&amp;FRED</t>
  </si>
  <si>
    <t>BCD</t>
  </si>
  <si>
    <t>Total Cost</t>
  </si>
  <si>
    <t>PBX Rate Including in Fitting</t>
  </si>
  <si>
    <t>NLBS10W-CC</t>
  </si>
  <si>
    <t>NLBS10W  Dali Dual Color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</si>
</sst>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&quot;$&quot;#,##0.0000"/>
    <numFmt numFmtId="165" formatCode="_-[$Rs-420]* #,##0.00_-;_-[$Rs-420]* #,##0.00\-;_-[$Rs-420]* &quot;-&quot;??_-;_-@_-"/>
    <numFmt numFmtId="166" formatCode="&quot;$&quot;#,##0.000"/>
    <numFmt numFmtId="167" formatCode="_ [$Rs.-4009]\ * #,##0.00_ ;_ [$Rs.-4009]\ * \-#,##0.00_ ;_ [$Rs.-4009]\ * &quot;-&quot;??_ ;_ @_ "/>
  </numFmts>
  <fonts count="3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color rgb="FF0070C0"/>
      <name val="Arial"/>
      <family val="2"/>
    </font>
    <font>
      <i/>
      <sz val="10"/>
      <name val="Arial"/>
      <family val="2"/>
    </font>
    <font>
      <i/>
      <sz val="10"/>
      <color theme="1"/>
      <name val="Arial"/>
      <family val="2"/>
    </font>
    <font>
      <i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u/>
      <sz val="11"/>
      <color theme="10"/>
      <name val="Calibri"/>
      <family val="2"/>
      <scheme val="minor"/>
    </font>
    <font>
      <b/>
      <sz val="10"/>
      <color rgb="FF172B4D"/>
      <name val="Arial"/>
      <family val="2"/>
    </font>
    <font>
      <sz val="9"/>
      <name val="Tahoma"/>
      <family val="2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0"/>
      <color rgb="FF000000"/>
      <name val="Afacad-Regular"/>
    </font>
    <font>
      <sz val="11"/>
      <name val="Calibri"/>
      <family val="2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8BEE6"/>
        <bgColor rgb="FF000000"/>
      </patternFill>
    </fill>
    <fill>
      <patternFill patternType="solid">
        <fgColor rgb="FFFEC530"/>
        <bgColor indexed="64"/>
      </patternFill>
    </fill>
    <fill>
      <patternFill patternType="solid">
        <fgColor rgb="FFFEC530"/>
        <bgColor rgb="FF000000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/>
        <bgColor indexed="64"/>
      </patternFill>
    </fill>
  </fills>
  <borders count="4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B0F0"/>
      </left>
      <right/>
      <top style="thin">
        <color rgb="FF00B0F0"/>
      </top>
      <bottom/>
      <diagonal/>
    </border>
    <border>
      <left/>
      <right/>
      <top style="thin">
        <color rgb="FF00B0F0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B0F0"/>
      </left>
      <right/>
      <top/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/>
      <right style="thin">
        <color rgb="FF00B0F0"/>
      </right>
      <top style="thin">
        <color rgb="FF00B0F0"/>
      </top>
      <bottom/>
      <diagonal/>
    </border>
    <border>
      <left/>
      <right style="thin">
        <color rgb="FF00B0F0"/>
      </right>
      <top/>
      <bottom/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double">
        <color indexed="64"/>
      </bottom>
      <diagonal/>
    </border>
  </borders>
  <cellStyleXfs count="4">
    <xf numFmtId="0" fontId="0" fillId="0" borderId="0"/>
    <xf numFmtId="0" fontId="19" fillId="0" borderId="0" applyNumberFormat="0" applyFill="0" applyBorder="0" applyAlignment="0" applyProtection="0"/>
    <xf numFmtId="0" fontId="23" fillId="0" borderId="0"/>
    <xf numFmtId="0" fontId="25" fillId="0" borderId="0"/>
  </cellStyleXfs>
  <cellXfs count="196">
    <xf numFmtId="0" fontId="0" fillId="0" borderId="0" xfId="0"/>
    <xf numFmtId="0" fontId="9" fillId="0" borderId="0" xfId="0" applyFont="1"/>
    <xf numFmtId="0" fontId="10" fillId="2" borderId="0" xfId="0" applyFont="1" applyFill="1"/>
    <xf numFmtId="0" fontId="11" fillId="3" borderId="1" xfId="0" applyFont="1" applyFill="1" applyBorder="1" applyAlignment="1">
      <alignment horizontal="center" wrapText="1"/>
    </xf>
    <xf numFmtId="0" fontId="12" fillId="2" borderId="0" xfId="0" applyFont="1" applyFill="1"/>
    <xf numFmtId="0" fontId="0" fillId="2" borderId="0" xfId="0" applyFill="1"/>
    <xf numFmtId="0" fontId="11" fillId="4" borderId="1" xfId="0" applyFont="1" applyFill="1" applyBorder="1" applyAlignment="1">
      <alignment horizontal="left" vertical="top" wrapText="1"/>
    </xf>
    <xf numFmtId="0" fontId="11" fillId="4" borderId="2" xfId="0" applyFont="1" applyFill="1" applyBorder="1" applyAlignment="1">
      <alignment horizontal="left" vertical="center" wrapText="1"/>
    </xf>
    <xf numFmtId="0" fontId="11" fillId="5" borderId="3" xfId="0" applyFont="1" applyFill="1" applyBorder="1" applyAlignment="1">
      <alignment wrapText="1"/>
    </xf>
    <xf numFmtId="0" fontId="13" fillId="2" borderId="4" xfId="0" applyFont="1" applyFill="1" applyBorder="1"/>
    <xf numFmtId="0" fontId="9" fillId="2" borderId="5" xfId="0" applyFont="1" applyFill="1" applyBorder="1"/>
    <xf numFmtId="0" fontId="11" fillId="0" borderId="6" xfId="0" applyFont="1" applyBorder="1" applyAlignment="1">
      <alignment wrapText="1"/>
    </xf>
    <xf numFmtId="0" fontId="9" fillId="0" borderId="2" xfId="0" applyFont="1" applyBorder="1" applyAlignment="1">
      <alignment horizontal="left" vertical="top" wrapText="1"/>
    </xf>
    <xf numFmtId="0" fontId="9" fillId="0" borderId="3" xfId="0" applyFont="1" applyBorder="1"/>
    <xf numFmtId="0" fontId="14" fillId="2" borderId="7" xfId="0" applyFont="1" applyFill="1" applyBorder="1" applyAlignment="1">
      <alignment horizontal="left" indent="2"/>
    </xf>
    <xf numFmtId="0" fontId="9" fillId="2" borderId="0" xfId="0" applyFont="1" applyFill="1" applyAlignment="1">
      <alignment horizontal="left" indent="2"/>
    </xf>
    <xf numFmtId="0" fontId="9" fillId="0" borderId="1" xfId="0" applyFont="1" applyBorder="1" applyAlignment="1">
      <alignment horizontal="left" vertical="top" wrapText="1"/>
    </xf>
    <xf numFmtId="0" fontId="11" fillId="2" borderId="7" xfId="0" applyFont="1" applyFill="1" applyBorder="1" applyAlignment="1">
      <alignment horizontal="left" indent="2"/>
    </xf>
    <xf numFmtId="0" fontId="9" fillId="2" borderId="7" xfId="0" applyFont="1" applyFill="1" applyBorder="1" applyAlignment="1">
      <alignment horizontal="left" indent="2"/>
    </xf>
    <xf numFmtId="0" fontId="15" fillId="2" borderId="7" xfId="0" applyFont="1" applyFill="1" applyBorder="1" applyAlignment="1">
      <alignment horizontal="left" indent="2"/>
    </xf>
    <xf numFmtId="0" fontId="15" fillId="2" borderId="0" xfId="0" applyFont="1" applyFill="1" applyAlignment="1">
      <alignment horizontal="left" indent="2"/>
    </xf>
    <xf numFmtId="0" fontId="15" fillId="2" borderId="7" xfId="0" applyFont="1" applyFill="1" applyBorder="1" applyAlignment="1">
      <alignment horizontal="left" indent="3"/>
    </xf>
    <xf numFmtId="0" fontId="16" fillId="2" borderId="7" xfId="0" applyFont="1" applyFill="1" applyBorder="1" applyAlignment="1">
      <alignment horizontal="left" indent="3"/>
    </xf>
    <xf numFmtId="0" fontId="17" fillId="2" borderId="0" xfId="0" applyFont="1" applyFill="1" applyAlignment="1">
      <alignment horizontal="left" indent="3"/>
    </xf>
    <xf numFmtId="0" fontId="18" fillId="0" borderId="3" xfId="0" applyFont="1" applyBorder="1" applyAlignment="1">
      <alignment wrapText="1"/>
    </xf>
    <xf numFmtId="0" fontId="9" fillId="2" borderId="7" xfId="0" applyFont="1" applyFill="1" applyBorder="1"/>
    <xf numFmtId="0" fontId="9" fillId="2" borderId="8" xfId="0" applyFont="1" applyFill="1" applyBorder="1"/>
    <xf numFmtId="0" fontId="9" fillId="2" borderId="9" xfId="0" applyFont="1" applyFill="1" applyBorder="1"/>
    <xf numFmtId="0" fontId="14" fillId="2" borderId="0" xfId="0" applyFont="1" applyFill="1"/>
    <xf numFmtId="0" fontId="11" fillId="2" borderId="0" xfId="0" applyFont="1" applyFill="1"/>
    <xf numFmtId="0" fontId="11" fillId="4" borderId="2" xfId="0" applyFont="1" applyFill="1" applyBorder="1" applyAlignment="1">
      <alignment horizontal="left" vertical="top" wrapText="1"/>
    </xf>
    <xf numFmtId="0" fontId="11" fillId="4" borderId="3" xfId="0" applyFont="1" applyFill="1" applyBorder="1" applyAlignment="1">
      <alignment horizontal="left" vertical="top" wrapText="1"/>
    </xf>
    <xf numFmtId="0" fontId="15" fillId="2" borderId="0" xfId="0" applyFont="1" applyFill="1" applyAlignment="1">
      <alignment wrapText="1"/>
    </xf>
    <xf numFmtId="0" fontId="15" fillId="2" borderId="0" xfId="0" applyFont="1" applyFill="1" applyAlignment="1">
      <alignment horizontal="left"/>
    </xf>
    <xf numFmtId="0" fontId="15" fillId="2" borderId="0" xfId="0" applyFont="1" applyFill="1" applyAlignment="1">
      <alignment horizontal="left" indent="1"/>
    </xf>
    <xf numFmtId="0" fontId="17" fillId="2" borderId="0" xfId="0" applyFont="1" applyFill="1" applyAlignment="1">
      <alignment horizontal="left" indent="1"/>
    </xf>
    <xf numFmtId="0" fontId="9" fillId="0" borderId="3" xfId="0" applyFont="1" applyBorder="1" applyAlignment="1">
      <alignment wrapText="1"/>
    </xf>
    <xf numFmtId="0" fontId="13" fillId="2" borderId="5" xfId="0" applyFont="1" applyFill="1" applyBorder="1"/>
    <xf numFmtId="0" fontId="19" fillId="2" borderId="0" xfId="1" applyFill="1" applyBorder="1" applyAlignment="1"/>
    <xf numFmtId="0" fontId="19" fillId="2" borderId="0" xfId="1" applyFill="1" applyBorder="1"/>
    <xf numFmtId="0" fontId="13" fillId="2" borderId="10" xfId="0" applyFont="1" applyFill="1" applyBorder="1"/>
    <xf numFmtId="0" fontId="9" fillId="2" borderId="11" xfId="0" applyFont="1" applyFill="1" applyBorder="1" applyAlignment="1">
      <alignment horizontal="left" indent="2"/>
    </xf>
    <xf numFmtId="0" fontId="15" fillId="2" borderId="11" xfId="0" applyFont="1" applyFill="1" applyBorder="1" applyAlignment="1">
      <alignment horizontal="left" indent="2"/>
    </xf>
    <xf numFmtId="0" fontId="9" fillId="2" borderId="11" xfId="0" applyFont="1" applyFill="1" applyBorder="1"/>
    <xf numFmtId="0" fontId="9" fillId="2" borderId="12" xfId="0" applyFont="1" applyFill="1" applyBorder="1"/>
    <xf numFmtId="0" fontId="10" fillId="0" borderId="2" xfId="0" applyFont="1" applyBorder="1" applyAlignment="1">
      <alignment horizontal="left" vertical="top" wrapText="1"/>
    </xf>
    <xf numFmtId="0" fontId="0" fillId="2" borderId="0" xfId="0" applyFill="1" applyAlignment="1">
      <alignment readingOrder="1"/>
    </xf>
    <xf numFmtId="0" fontId="0" fillId="0" borderId="0" xfId="0" applyAlignment="1">
      <alignment horizontal="center"/>
    </xf>
    <xf numFmtId="0" fontId="20" fillId="5" borderId="1" xfId="0" applyFont="1" applyFill="1" applyBorder="1" applyAlignment="1">
      <alignment horizontal="center" vertical="center"/>
    </xf>
    <xf numFmtId="0" fontId="22" fillId="6" borderId="1" xfId="0" applyFont="1" applyFill="1" applyBorder="1"/>
    <xf numFmtId="0" fontId="0" fillId="0" borderId="1" xfId="0" applyBorder="1"/>
    <xf numFmtId="0" fontId="22" fillId="0" borderId="1" xfId="0" applyFont="1" applyBorder="1"/>
    <xf numFmtId="0" fontId="24" fillId="0" borderId="1" xfId="0" applyFont="1" applyBorder="1" applyAlignment="1">
      <alignment horizontal="left" vertical="center" wrapText="1"/>
    </xf>
    <xf numFmtId="0" fontId="0" fillId="6" borderId="13" xfId="0" applyFill="1" applyBorder="1"/>
    <xf numFmtId="0" fontId="22" fillId="0" borderId="0" xfId="0" applyFont="1" applyAlignment="1">
      <alignment horizontal="left"/>
    </xf>
    <xf numFmtId="0" fontId="22" fillId="0" borderId="0" xfId="0" applyFont="1"/>
    <xf numFmtId="0" fontId="0" fillId="0" borderId="2" xfId="0" applyBorder="1"/>
    <xf numFmtId="0" fontId="22" fillId="0" borderId="14" xfId="0" applyFont="1" applyBorder="1"/>
    <xf numFmtId="0" fontId="22" fillId="0" borderId="2" xfId="0" applyFont="1" applyBorder="1"/>
    <xf numFmtId="0" fontId="22" fillId="0" borderId="15" xfId="0" applyFont="1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7" borderId="17" xfId="0" applyFill="1" applyBorder="1"/>
    <xf numFmtId="0" fontId="0" fillId="0" borderId="19" xfId="0" applyBorder="1"/>
    <xf numFmtId="0" fontId="0" fillId="7" borderId="2" xfId="0" applyFill="1" applyBorder="1"/>
    <xf numFmtId="0" fontId="22" fillId="0" borderId="14" xfId="0" applyFont="1" applyBorder="1" applyAlignment="1">
      <alignment horizontal="left"/>
    </xf>
    <xf numFmtId="0" fontId="0" fillId="0" borderId="15" xfId="0" applyBorder="1"/>
    <xf numFmtId="0" fontId="0" fillId="0" borderId="2" xfId="0" applyBorder="1" applyAlignment="1">
      <alignment wrapText="1"/>
    </xf>
    <xf numFmtId="0" fontId="0" fillId="0" borderId="6" xfId="0" applyBorder="1"/>
    <xf numFmtId="0" fontId="0" fillId="8" borderId="20" xfId="0" applyFill="1" applyBorder="1"/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6" borderId="24" xfId="0" applyFill="1" applyBorder="1" applyAlignment="1">
      <alignment horizontal="center" vertical="center"/>
    </xf>
    <xf numFmtId="0" fontId="0" fillId="6" borderId="26" xfId="0" applyFill="1" applyBorder="1" applyAlignment="1">
      <alignment horizontal="center" vertical="center"/>
    </xf>
    <xf numFmtId="0" fontId="0" fillId="6" borderId="27" xfId="0" applyFill="1" applyBorder="1" applyAlignment="1">
      <alignment horizontal="center" vertical="center"/>
    </xf>
    <xf numFmtId="0" fontId="22" fillId="6" borderId="28" xfId="0" applyFont="1" applyFill="1" applyBorder="1" applyAlignment="1">
      <alignment horizontal="center" vertical="center"/>
    </xf>
    <xf numFmtId="0" fontId="0" fillId="6" borderId="29" xfId="0" applyFill="1" applyBorder="1" applyAlignment="1">
      <alignment horizontal="center" vertical="center"/>
    </xf>
    <xf numFmtId="0" fontId="0" fillId="6" borderId="28" xfId="0" applyFill="1" applyBorder="1" applyAlignment="1">
      <alignment horizontal="center" vertical="center"/>
    </xf>
    <xf numFmtId="0" fontId="0" fillId="6" borderId="30" xfId="0" applyFill="1" applyBorder="1" applyAlignment="1">
      <alignment horizontal="center" vertical="center"/>
    </xf>
    <xf numFmtId="49" fontId="22" fillId="0" borderId="14" xfId="0" applyNumberFormat="1" applyFont="1" applyBorder="1" applyAlignment="1">
      <alignment horizontal="left"/>
    </xf>
    <xf numFmtId="0" fontId="22" fillId="8" borderId="21" xfId="0" applyFont="1" applyFill="1" applyBorder="1"/>
    <xf numFmtId="0" fontId="22" fillId="9" borderId="21" xfId="0" applyFont="1" applyFill="1" applyBorder="1"/>
    <xf numFmtId="0" fontId="22" fillId="9" borderId="31" xfId="0" applyFont="1" applyFill="1" applyBorder="1"/>
    <xf numFmtId="0" fontId="22" fillId="8" borderId="19" xfId="0" applyFont="1" applyFill="1" applyBorder="1"/>
    <xf numFmtId="0" fontId="0" fillId="10" borderId="2" xfId="0" applyFill="1" applyBorder="1"/>
    <xf numFmtId="0" fontId="22" fillId="0" borderId="22" xfId="0" applyFont="1" applyBorder="1"/>
    <xf numFmtId="0" fontId="22" fillId="0" borderId="32" xfId="0" applyFont="1" applyBorder="1"/>
    <xf numFmtId="49" fontId="22" fillId="0" borderId="14" xfId="0" applyNumberFormat="1" applyFont="1" applyBorder="1"/>
    <xf numFmtId="0" fontId="22" fillId="6" borderId="24" xfId="0" applyFont="1" applyFill="1" applyBorder="1" applyAlignment="1">
      <alignment horizontal="center" vertical="center"/>
    </xf>
    <xf numFmtId="0" fontId="24" fillId="10" borderId="1" xfId="0" applyFont="1" applyFill="1" applyBorder="1" applyAlignment="1">
      <alignment horizontal="left" vertical="center" wrapText="1"/>
    </xf>
    <xf numFmtId="0" fontId="22" fillId="0" borderId="0" xfId="0" applyFont="1" applyBorder="1"/>
    <xf numFmtId="0" fontId="0" fillId="0" borderId="0" xfId="0" applyBorder="1"/>
    <xf numFmtId="0" fontId="22" fillId="6" borderId="25" xfId="0" applyFont="1" applyFill="1" applyBorder="1" applyAlignment="1">
      <alignment horizontal="center" vertical="center"/>
    </xf>
    <xf numFmtId="0" fontId="22" fillId="6" borderId="0" xfId="0" applyFont="1" applyFill="1" applyBorder="1" applyAlignment="1">
      <alignment horizontal="center" vertical="center"/>
    </xf>
    <xf numFmtId="0" fontId="22" fillId="6" borderId="27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22" fillId="6" borderId="34" xfId="0" applyFont="1" applyFill="1" applyBorder="1" applyAlignment="1">
      <alignment horizontal="center" vertical="center"/>
    </xf>
    <xf numFmtId="0" fontId="22" fillId="0" borderId="34" xfId="0" applyFont="1" applyFill="1" applyBorder="1" applyAlignment="1">
      <alignment horizontal="center" vertical="center"/>
    </xf>
    <xf numFmtId="0" fontId="0" fillId="0" borderId="34" xfId="0" applyBorder="1"/>
    <xf numFmtId="0" fontId="0" fillId="6" borderId="0" xfId="0" applyFill="1" applyAlignment="1">
      <alignment horizontal="center" vertical="center"/>
    </xf>
    <xf numFmtId="0" fontId="22" fillId="6" borderId="1" xfId="0" applyFont="1" applyFill="1" applyBorder="1" applyAlignment="1">
      <alignment horizontal="center" vertical="center"/>
    </xf>
    <xf numFmtId="0" fontId="0" fillId="0" borderId="14" xfId="0" applyBorder="1"/>
    <xf numFmtId="0" fontId="22" fillId="6" borderId="13" xfId="0" applyFont="1" applyFill="1" applyBorder="1"/>
    <xf numFmtId="0" fontId="22" fillId="6" borderId="13" xfId="0" applyFont="1" applyFill="1" applyBorder="1" applyAlignment="1">
      <alignment horizontal="center" vertical="center"/>
    </xf>
    <xf numFmtId="0" fontId="22" fillId="0" borderId="32" xfId="0" applyFont="1" applyFill="1" applyBorder="1"/>
    <xf numFmtId="0" fontId="22" fillId="0" borderId="33" xfId="0" applyFont="1" applyFill="1" applyBorder="1"/>
    <xf numFmtId="0" fontId="0" fillId="7" borderId="20" xfId="0" applyFill="1" applyBorder="1"/>
    <xf numFmtId="0" fontId="0" fillId="7" borderId="19" xfId="0" applyFill="1" applyBorder="1"/>
    <xf numFmtId="0" fontId="0" fillId="7" borderId="16" xfId="0" applyFill="1" applyBorder="1"/>
    <xf numFmtId="0" fontId="23" fillId="0" borderId="1" xfId="2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22" fillId="6" borderId="1" xfId="0" applyFont="1" applyFill="1" applyBorder="1" applyAlignment="1">
      <alignment horizontal="center"/>
    </xf>
    <xf numFmtId="0" fontId="8" fillId="0" borderId="1" xfId="0" applyFont="1" applyBorder="1"/>
    <xf numFmtId="0" fontId="8" fillId="0" borderId="15" xfId="0" applyFont="1" applyBorder="1"/>
    <xf numFmtId="0" fontId="8" fillId="0" borderId="0" xfId="0" applyFont="1" applyFill="1" applyBorder="1"/>
    <xf numFmtId="0" fontId="23" fillId="0" borderId="0" xfId="0" applyFont="1"/>
    <xf numFmtId="0" fontId="8" fillId="0" borderId="14" xfId="0" applyFont="1" applyBorder="1"/>
    <xf numFmtId="0" fontId="7" fillId="0" borderId="1" xfId="0" applyFont="1" applyBorder="1"/>
    <xf numFmtId="0" fontId="7" fillId="0" borderId="2" xfId="0" applyFont="1" applyBorder="1"/>
    <xf numFmtId="0" fontId="6" fillId="6" borderId="0" xfId="0" applyFont="1" applyFill="1" applyBorder="1" applyAlignment="1">
      <alignment horizontal="center" vertical="center"/>
    </xf>
    <xf numFmtId="0" fontId="22" fillId="6" borderId="36" xfId="0" applyFont="1" applyFill="1" applyBorder="1"/>
    <xf numFmtId="0" fontId="0" fillId="6" borderId="36" xfId="0" applyFill="1" applyBorder="1"/>
    <xf numFmtId="0" fontId="22" fillId="0" borderId="35" xfId="0" applyFont="1" applyBorder="1" applyAlignment="1"/>
    <xf numFmtId="0" fontId="22" fillId="0" borderId="15" xfId="0" applyFont="1" applyBorder="1" applyAlignment="1"/>
    <xf numFmtId="0" fontId="22" fillId="0" borderId="14" xfId="0" applyFont="1" applyBorder="1" applyAlignment="1"/>
    <xf numFmtId="0" fontId="0" fillId="6" borderId="0" xfId="0" applyFill="1" applyBorder="1" applyAlignment="1">
      <alignment horizontal="center" vertical="center"/>
    </xf>
    <xf numFmtId="0" fontId="6" fillId="0" borderId="1" xfId="0" applyFont="1" applyBorder="1"/>
    <xf numFmtId="0" fontId="22" fillId="8" borderId="22" xfId="0" applyFont="1" applyFill="1" applyBorder="1"/>
    <xf numFmtId="0" fontId="0" fillId="0" borderId="32" xfId="0" applyBorder="1"/>
    <xf numFmtId="0" fontId="0" fillId="7" borderId="32" xfId="0" applyFill="1" applyBorder="1"/>
    <xf numFmtId="0" fontId="0" fillId="0" borderId="33" xfId="0" applyBorder="1"/>
    <xf numFmtId="0" fontId="7" fillId="0" borderId="15" xfId="0" applyFont="1" applyBorder="1"/>
    <xf numFmtId="0" fontId="6" fillId="6" borderId="1" xfId="0" applyFont="1" applyFill="1" applyBorder="1" applyAlignment="1">
      <alignment horizontal="center" vertical="center"/>
    </xf>
    <xf numFmtId="0" fontId="5" fillId="0" borderId="1" xfId="0" applyFont="1" applyBorder="1"/>
    <xf numFmtId="0" fontId="22" fillId="6" borderId="37" xfId="0" applyFont="1" applyFill="1" applyBorder="1"/>
    <xf numFmtId="0" fontId="0" fillId="6" borderId="37" xfId="0" applyFill="1" applyBorder="1"/>
    <xf numFmtId="0" fontId="5" fillId="0" borderId="1" xfId="0" applyFont="1" applyFill="1" applyBorder="1"/>
    <xf numFmtId="0" fontId="0" fillId="6" borderId="0" xfId="0" applyFill="1" applyBorder="1"/>
    <xf numFmtId="0" fontId="0" fillId="6" borderId="0" xfId="0" applyFill="1"/>
    <xf numFmtId="0" fontId="5" fillId="6" borderId="0" xfId="0" applyFont="1" applyFill="1" applyBorder="1" applyAlignment="1">
      <alignment horizontal="center" vertical="center"/>
    </xf>
    <xf numFmtId="0" fontId="5" fillId="6" borderId="1" xfId="0" applyFont="1" applyFill="1" applyBorder="1"/>
    <xf numFmtId="0" fontId="4" fillId="9" borderId="1" xfId="0" applyFont="1" applyFill="1" applyBorder="1"/>
    <xf numFmtId="0" fontId="4" fillId="0" borderId="1" xfId="0" applyFont="1" applyBorder="1"/>
    <xf numFmtId="0" fontId="3" fillId="0" borderId="1" xfId="0" applyFont="1" applyBorder="1"/>
    <xf numFmtId="0" fontId="2" fillId="0" borderId="1" xfId="0" applyFont="1" applyBorder="1"/>
    <xf numFmtId="0" fontId="0" fillId="0" borderId="0" xfId="0" applyAlignment="1">
      <alignment horizontal="center"/>
    </xf>
    <xf numFmtId="0" fontId="25" fillId="0" borderId="0" xfId="3"/>
    <xf numFmtId="0" fontId="26" fillId="0" borderId="38" xfId="0" applyNumberFormat="1" applyFont="1" applyFill="1" applyBorder="1" applyAlignment="1" applyProtection="1"/>
    <xf numFmtId="0" fontId="26" fillId="0" borderId="39" xfId="0" applyNumberFormat="1" applyFont="1" applyFill="1" applyBorder="1" applyAlignment="1" applyProtection="1"/>
    <xf numFmtId="0" fontId="23" fillId="6" borderId="1" xfId="2" applyFill="1" applyBorder="1" applyAlignment="1">
      <alignment horizontal="center"/>
    </xf>
    <xf numFmtId="0" fontId="22" fillId="0" borderId="1" xfId="0" applyFont="1" applyFill="1" applyBorder="1" applyAlignment="1">
      <alignment horizontal="center"/>
    </xf>
    <xf numFmtId="0" fontId="0" fillId="11" borderId="1" xfId="0" applyFill="1" applyBorder="1"/>
    <xf numFmtId="0" fontId="26" fillId="9" borderId="38" xfId="0" applyNumberFormat="1" applyFont="1" applyFill="1" applyBorder="1" applyAlignment="1" applyProtection="1"/>
    <xf numFmtId="0" fontId="0" fillId="0" borderId="0" xfId="0" applyAlignment="1">
      <alignment horizontal="center"/>
    </xf>
    <xf numFmtId="0" fontId="15" fillId="2" borderId="0" xfId="0" applyFont="1" applyFill="1" applyAlignment="1">
      <alignment horizontal="left" wrapText="1"/>
    </xf>
    <xf numFmtId="0" fontId="15" fillId="2" borderId="7" xfId="0" applyFont="1" applyFill="1" applyBorder="1" applyAlignment="1">
      <alignment horizontal="left" wrapText="1" indent="2"/>
    </xf>
    <xf numFmtId="0" fontId="15" fillId="2" borderId="0" xfId="0" applyFont="1" applyFill="1" applyAlignment="1">
      <alignment horizontal="left" wrapText="1" indent="2"/>
    </xf>
    <xf numFmtId="0" fontId="15" fillId="2" borderId="11" xfId="0" applyFont="1" applyFill="1" applyBorder="1" applyAlignment="1">
      <alignment horizontal="left" wrapText="1" indent="2"/>
    </xf>
    <xf numFmtId="0" fontId="20" fillId="5" borderId="39" xfId="0" applyFont="1" applyFill="1" applyBorder="1" applyAlignment="1">
      <alignment horizontal="center" vertical="center"/>
    </xf>
    <xf numFmtId="0" fontId="0" fillId="0" borderId="39" xfId="0" applyBorder="1"/>
    <xf numFmtId="0" fontId="0" fillId="0" borderId="40" xfId="0" applyBorder="1"/>
    <xf numFmtId="0" fontId="1" fillId="0" borderId="0" xfId="0" applyFont="1"/>
    <xf numFmtId="164" fontId="27" fillId="0" borderId="40" xfId="0" applyNumberFormat="1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40" xfId="0" applyNumberFormat="1" applyFont="1" applyBorder="1" applyAlignment="1">
      <alignment horizontal="center" vertical="center"/>
    </xf>
    <xf numFmtId="166" fontId="28" fillId="0" borderId="40" xfId="0" applyNumberFormat="1" applyFont="1" applyBorder="1" applyAlignment="1">
      <alignment horizontal="center" vertical="center"/>
    </xf>
    <xf numFmtId="9" fontId="28" fillId="0" borderId="40" xfId="0" applyNumberFormat="1" applyFont="1" applyBorder="1" applyAlignment="1">
      <alignment horizontal="center" vertical="center"/>
    </xf>
    <xf numFmtId="164" fontId="28" fillId="0" borderId="40" xfId="0" applyNumberFormat="1" applyFont="1" applyBorder="1" applyAlignment="1">
      <alignment horizontal="center" vertical="center"/>
    </xf>
    <xf numFmtId="0" fontId="1" fillId="0" borderId="1" xfId="0" applyFont="1" applyBorder="1"/>
    <xf numFmtId="165" fontId="28" fillId="0" borderId="40" xfId="0" applyNumberFormat="1" applyFont="1" applyFill="1" applyBorder="1" applyAlignment="1">
      <alignment horizontal="center" vertical="center"/>
    </xf>
    <xf numFmtId="165" fontId="28" fillId="0" borderId="41" xfId="0" applyNumberFormat="1" applyFont="1" applyFill="1" applyBorder="1" applyAlignment="1">
      <alignment horizontal="center" vertical="center"/>
    </xf>
    <xf numFmtId="165" fontId="28" fillId="0" borderId="42" xfId="0" applyNumberFormat="1" applyFont="1" applyFill="1" applyBorder="1" applyAlignment="1">
      <alignment horizontal="center" vertical="center"/>
    </xf>
    <xf numFmtId="165" fontId="28" fillId="0" borderId="6" xfId="0" applyNumberFormat="1" applyFont="1" applyFill="1" applyBorder="1" applyAlignment="1">
      <alignment horizontal="center" vertical="center"/>
    </xf>
    <xf numFmtId="166" fontId="28" fillId="0" borderId="41" xfId="0" applyNumberFormat="1" applyFont="1" applyBorder="1" applyAlignment="1">
      <alignment horizontal="center" vertical="center"/>
    </xf>
    <xf numFmtId="166" fontId="28" fillId="0" borderId="42" xfId="0" applyNumberFormat="1" applyFont="1" applyBorder="1" applyAlignment="1">
      <alignment horizontal="center" vertical="center"/>
    </xf>
    <xf numFmtId="166" fontId="28" fillId="0" borderId="6" xfId="0" applyNumberFormat="1" applyFont="1" applyBorder="1" applyAlignment="1">
      <alignment horizontal="center" vertical="center"/>
    </xf>
    <xf numFmtId="9" fontId="28" fillId="0" borderId="41" xfId="0" applyNumberFormat="1" applyFont="1" applyBorder="1" applyAlignment="1">
      <alignment horizontal="center" vertical="center"/>
    </xf>
    <xf numFmtId="9" fontId="28" fillId="0" borderId="42" xfId="0" applyNumberFormat="1" applyFont="1" applyBorder="1" applyAlignment="1">
      <alignment horizontal="center" vertical="center"/>
    </xf>
    <xf numFmtId="9" fontId="28" fillId="0" borderId="6" xfId="0" applyNumberFormat="1" applyFont="1" applyBorder="1" applyAlignment="1">
      <alignment horizontal="center" vertical="center"/>
    </xf>
    <xf numFmtId="164" fontId="28" fillId="0" borderId="41" xfId="0" applyNumberFormat="1" applyFont="1" applyBorder="1" applyAlignment="1">
      <alignment horizontal="center" vertical="center"/>
    </xf>
    <xf numFmtId="164" fontId="28" fillId="0" borderId="42" xfId="0" applyNumberFormat="1" applyFont="1" applyBorder="1" applyAlignment="1">
      <alignment horizontal="center" vertical="center"/>
    </xf>
    <xf numFmtId="164" fontId="28" fillId="0" borderId="6" xfId="0" applyNumberFormat="1" applyFont="1" applyBorder="1" applyAlignment="1">
      <alignment horizontal="center" vertical="center"/>
    </xf>
    <xf numFmtId="167" fontId="0" fillId="0" borderId="40" xfId="0" applyNumberFormat="1" applyBorder="1" applyAlignment="1">
      <alignment horizontal="center"/>
    </xf>
    <xf numFmtId="0" fontId="28" fillId="0" borderId="0" xfId="0" applyFont="1"/>
    <xf numFmtId="167" fontId="29" fillId="0" borderId="40" xfId="0" applyNumberFormat="1" applyFont="1" applyBorder="1" applyAlignment="1">
      <alignment horizontal="center" vertical="center"/>
    </xf>
    <xf numFmtId="166" fontId="28" fillId="0" borderId="0" xfId="0" applyNumberFormat="1" applyFont="1" applyBorder="1" applyAlignment="1">
      <alignment horizontal="right" vertical="center"/>
    </xf>
    <xf numFmtId="9" fontId="28" fillId="0" borderId="0" xfId="0" applyNumberFormat="1" applyFont="1" applyBorder="1" applyAlignment="1">
      <alignment horizontal="right" vertical="center"/>
    </xf>
    <xf numFmtId="164" fontId="28" fillId="0" borderId="0" xfId="0" applyNumberFormat="1" applyFont="1" applyBorder="1" applyAlignment="1">
      <alignment horizontal="right" vertical="center"/>
    </xf>
    <xf numFmtId="165" fontId="30" fillId="11" borderId="43" xfId="0" applyNumberFormat="1" applyFont="1" applyFill="1" applyBorder="1"/>
    <xf numFmtId="0" fontId="26" fillId="13" borderId="40" xfId="0" applyNumberFormat="1" applyFont="1" applyFill="1" applyBorder="1" applyAlignment="1" applyProtection="1"/>
    <xf numFmtId="0" fontId="22" fillId="13" borderId="1" xfId="0" applyFont="1" applyFill="1" applyBorder="1"/>
    <xf numFmtId="165" fontId="27" fillId="12" borderId="40" xfId="0" applyNumberFormat="1" applyFont="1" applyFill="1" applyBorder="1" applyAlignment="1">
      <alignment horizontal="right" vertical="center"/>
    </xf>
    <xf numFmtId="165" fontId="12" fillId="12" borderId="40" xfId="0" applyNumberFormat="1" applyFont="1" applyFill="1" applyBorder="1" applyAlignment="1">
      <alignment horizontal="right" vertical="center"/>
    </xf>
    <xf numFmtId="0" fontId="12" fillId="14" borderId="39" xfId="0" applyFont="1" applyFill="1" applyBorder="1" applyAlignment="1">
      <alignment horizontal="right" vertical="center"/>
    </xf>
    <xf numFmtId="0" fontId="12" fillId="14" borderId="14" xfId="0" applyFont="1" applyFill="1" applyBorder="1" applyAlignment="1">
      <alignment horizontal="right" vertical="center"/>
    </xf>
  </cellXfs>
  <cellStyles count="4">
    <cellStyle name="Hyperlink 2" xfId="1"/>
    <cellStyle name="Normal" xfId="0" builtinId="0"/>
    <cellStyle name="Normal 2" xfId="2"/>
    <cellStyle name="Normal 3" xfId="3"/>
  </cellStyles>
  <dxfs count="0"/>
  <tableStyles count="0" defaultTableStyle="TableStyleMedium2" defaultPivotStyle="PivotStyleLight16"/>
  <colors>
    <mruColors>
      <color rgb="FFFEC53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help.tallysolutions.com/tally-prime/data-exchange-tally-prime/import-data-in-tall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1"/>
  <sheetViews>
    <sheetView tabSelected="1" topLeftCell="G1" workbookViewId="0">
      <selection activeCell="L22" sqref="L22"/>
    </sheetView>
  </sheetViews>
  <sheetFormatPr defaultColWidth="9" defaultRowHeight="15"/>
  <cols>
    <col min="1" max="1" width="23" customWidth="1"/>
    <col min="2" max="2" width="18" customWidth="1"/>
    <col min="3" max="3" width="11" customWidth="1"/>
    <col min="4" max="4" width="23.7109375" bestFit="1" customWidth="1"/>
    <col min="5" max="5" width="20.42578125" customWidth="1"/>
    <col min="6" max="6" width="51.5703125" customWidth="1"/>
    <col min="7" max="7" width="26.5703125" customWidth="1"/>
    <col min="8" max="8" width="32.7109375" hidden="1" customWidth="1"/>
    <col min="9" max="9" width="23.28515625" hidden="1" customWidth="1"/>
    <col min="10" max="10" width="27.7109375" customWidth="1"/>
    <col min="11" max="12" width="13.42578125" customWidth="1"/>
    <col min="14" max="14" width="11.85546875" customWidth="1"/>
    <col min="16" max="16" width="12.85546875" customWidth="1"/>
  </cols>
  <sheetData>
    <row r="1" spans="1:16" s="47" customFormat="1">
      <c r="A1" s="48" t="s">
        <v>0</v>
      </c>
      <c r="B1" s="48" t="s">
        <v>17</v>
      </c>
      <c r="C1" s="48" t="s">
        <v>26</v>
      </c>
      <c r="D1" s="48" t="s">
        <v>1</v>
      </c>
      <c r="E1" s="48" t="s">
        <v>2</v>
      </c>
      <c r="F1" s="48" t="s">
        <v>3</v>
      </c>
      <c r="G1" s="48" t="s">
        <v>4</v>
      </c>
      <c r="H1" s="48" t="s">
        <v>5</v>
      </c>
      <c r="I1" s="48" t="s">
        <v>6</v>
      </c>
      <c r="J1" s="159" t="s">
        <v>235</v>
      </c>
      <c r="K1" s="165" t="s">
        <v>336</v>
      </c>
      <c r="L1" s="165" t="s">
        <v>289</v>
      </c>
      <c r="M1" s="163" t="s">
        <v>337</v>
      </c>
      <c r="N1" s="164" t="s">
        <v>338</v>
      </c>
      <c r="O1" s="164" t="s">
        <v>339</v>
      </c>
      <c r="P1" s="163" t="s">
        <v>340</v>
      </c>
    </row>
    <row r="2" spans="1:16">
      <c r="A2" s="52" t="str">
        <f>CONCATENATE(D2)</f>
        <v>NLBS10M30</v>
      </c>
      <c r="B2" s="50" t="s">
        <v>190</v>
      </c>
      <c r="C2" s="50" t="s">
        <v>191</v>
      </c>
      <c r="D2" s="90" t="s">
        <v>257</v>
      </c>
      <c r="E2" s="50">
        <v>1</v>
      </c>
      <c r="F2" s="49" t="str">
        <f>VLOOKUP('NLBS-DATA'!$AV$5,'NLBS-DATA'!A2:B9,2,0)</f>
        <v>Housing-L-120 W -28.5 H-38mm White  NLBS10W (FAFA)</v>
      </c>
      <c r="G2" s="150">
        <v>1</v>
      </c>
      <c r="H2" s="50" t="s">
        <v>189</v>
      </c>
      <c r="I2" s="50" t="s">
        <v>9</v>
      </c>
      <c r="J2" s="160"/>
      <c r="K2" s="171">
        <f>P2*87</f>
        <v>449.0505</v>
      </c>
      <c r="L2" s="171">
        <f>K2*G2</f>
        <v>449.0505</v>
      </c>
      <c r="M2" s="174">
        <v>3.4409999999999998</v>
      </c>
      <c r="N2" s="177">
        <v>0.5</v>
      </c>
      <c r="O2" s="177"/>
      <c r="P2" s="180">
        <f>M2+(M2*(N2+O2))</f>
        <v>5.1615000000000002</v>
      </c>
    </row>
    <row r="3" spans="1:16">
      <c r="A3" s="50"/>
      <c r="B3" s="50"/>
      <c r="C3" s="50"/>
      <c r="D3" s="50"/>
      <c r="E3" s="50"/>
      <c r="F3" s="49" t="str">
        <f>VLOOKUP('NLBS-DATA'!$AV$5,'NLBS-DATA'!$E$2:$G$9,2,0)</f>
        <v>Refl-L-110 W-18 H-11.5 LES ID-13.5mm-PC NLBS10W (FAFA)</v>
      </c>
      <c r="G3" s="112">
        <f>VLOOKUP('NLBS-DATA'!$AV$5,'NLBS-DATA'!E2:G9,3,0)</f>
        <v>1</v>
      </c>
      <c r="H3" s="50" t="s">
        <v>189</v>
      </c>
      <c r="I3" s="50" t="s">
        <v>9</v>
      </c>
      <c r="J3" s="160"/>
      <c r="K3" s="172"/>
      <c r="L3" s="172"/>
      <c r="M3" s="175"/>
      <c r="N3" s="178"/>
      <c r="O3" s="178"/>
      <c r="P3" s="181"/>
    </row>
    <row r="4" spans="1:16">
      <c r="A4" s="50"/>
      <c r="B4" s="50"/>
      <c r="C4" s="50"/>
      <c r="D4" s="50"/>
      <c r="E4" s="50"/>
      <c r="F4" s="49" t="str">
        <f>VLOOKUP('NLBS-DATA'!$AV$5,'NLBS-DATA'!$N$2:$P$9,2,0)</f>
        <v>Refl Holder-L-110 W-18 H-12mm-PC NLBS10W (FAFA)</v>
      </c>
      <c r="G4" s="112">
        <f>VLOOKUP('NLBS-DATA'!$AV$5,'NLBS-DATA'!$N$2:$P$9,3,0)</f>
        <v>1</v>
      </c>
      <c r="H4" s="50" t="s">
        <v>189</v>
      </c>
      <c r="I4" s="50" t="s">
        <v>9</v>
      </c>
      <c r="J4" s="160"/>
      <c r="K4" s="172"/>
      <c r="L4" s="172"/>
      <c r="M4" s="175"/>
      <c r="N4" s="178"/>
      <c r="O4" s="178"/>
      <c r="P4" s="181"/>
    </row>
    <row r="5" spans="1:16">
      <c r="A5" s="50"/>
      <c r="B5" s="50"/>
      <c r="C5" s="50"/>
      <c r="D5" s="50"/>
      <c r="E5" s="50"/>
      <c r="F5" t="s">
        <v>288</v>
      </c>
      <c r="G5" s="151">
        <f>VLOOKUP('NLBS-DATA'!$AV$5,'NLBS-DATA'!$Y$3:$AB$9,3,0)</f>
        <v>5</v>
      </c>
      <c r="H5" s="50" t="s">
        <v>189</v>
      </c>
      <c r="I5" s="50" t="s">
        <v>9</v>
      </c>
      <c r="J5" s="160"/>
      <c r="K5" s="172"/>
      <c r="L5" s="172"/>
      <c r="M5" s="175"/>
      <c r="N5" s="178"/>
      <c r="O5" s="178"/>
      <c r="P5" s="181"/>
    </row>
    <row r="6" spans="1:16">
      <c r="A6" s="50"/>
      <c r="B6" s="50"/>
      <c r="C6" s="50"/>
      <c r="D6" s="50"/>
      <c r="E6" s="50"/>
      <c r="F6" t="s">
        <v>287</v>
      </c>
      <c r="G6" s="110">
        <f>VLOOKUP('NLBS-DATA'!$AV$5,'NLBS-DATA'!$AD$3:$AF$9,3,0)</f>
        <v>5</v>
      </c>
      <c r="H6" s="50" t="s">
        <v>189</v>
      </c>
      <c r="I6" s="50" t="s">
        <v>9</v>
      </c>
      <c r="J6" s="160"/>
      <c r="K6" s="172"/>
      <c r="L6" s="172"/>
      <c r="M6" s="175"/>
      <c r="N6" s="178"/>
      <c r="O6" s="178"/>
      <c r="P6" s="181"/>
    </row>
    <row r="7" spans="1:16">
      <c r="A7" s="50"/>
      <c r="B7" s="50"/>
      <c r="C7" s="50"/>
      <c r="D7" s="50"/>
      <c r="E7" s="50"/>
      <c r="F7" s="169" t="s">
        <v>292</v>
      </c>
      <c r="G7" s="110">
        <v>2</v>
      </c>
      <c r="H7" s="50" t="s">
        <v>189</v>
      </c>
      <c r="I7" s="50" t="s">
        <v>9</v>
      </c>
      <c r="J7" s="160"/>
      <c r="K7" s="172"/>
      <c r="L7" s="172"/>
      <c r="M7" s="175"/>
      <c r="N7" s="178"/>
      <c r="O7" s="178"/>
      <c r="P7" s="181"/>
    </row>
    <row r="8" spans="1:16">
      <c r="A8" s="50"/>
      <c r="B8" s="50"/>
      <c r="C8" s="50"/>
      <c r="D8" s="50"/>
      <c r="E8" s="50"/>
      <c r="F8" s="152" t="s">
        <v>291</v>
      </c>
      <c r="G8" s="110">
        <v>2</v>
      </c>
      <c r="H8" s="50" t="s">
        <v>189</v>
      </c>
      <c r="I8" s="50" t="s">
        <v>9</v>
      </c>
      <c r="J8" s="160"/>
      <c r="K8" s="172"/>
      <c r="L8" s="172"/>
      <c r="M8" s="175"/>
      <c r="N8" s="178"/>
      <c r="O8" s="178"/>
      <c r="P8" s="181"/>
    </row>
    <row r="9" spans="1:16">
      <c r="A9" s="50"/>
      <c r="B9" s="50"/>
      <c r="C9" s="50"/>
      <c r="D9" s="50"/>
      <c r="E9" s="50"/>
      <c r="F9" s="152" t="s">
        <v>193</v>
      </c>
      <c r="G9" s="110">
        <v>1</v>
      </c>
      <c r="H9" s="50" t="s">
        <v>189</v>
      </c>
      <c r="I9" s="50" t="s">
        <v>9</v>
      </c>
      <c r="J9" s="160"/>
      <c r="K9" s="172"/>
      <c r="L9" s="172"/>
      <c r="M9" s="175"/>
      <c r="N9" s="178"/>
      <c r="O9" s="178"/>
      <c r="P9" s="181"/>
    </row>
    <row r="10" spans="1:16">
      <c r="A10" s="50"/>
      <c r="B10" s="50"/>
      <c r="C10" s="50"/>
      <c r="D10" s="50"/>
      <c r="E10" s="50"/>
      <c r="F10" s="190" t="s">
        <v>330</v>
      </c>
      <c r="G10" s="110">
        <v>1</v>
      </c>
      <c r="H10" s="50" t="s">
        <v>189</v>
      </c>
      <c r="I10" s="50" t="s">
        <v>9</v>
      </c>
      <c r="J10" s="160"/>
      <c r="K10" s="172"/>
      <c r="L10" s="172"/>
      <c r="M10" s="175"/>
      <c r="N10" s="178"/>
      <c r="O10" s="178"/>
      <c r="P10" s="181"/>
    </row>
    <row r="11" spans="1:16">
      <c r="A11" s="50"/>
      <c r="B11" s="50"/>
      <c r="C11" s="50"/>
      <c r="D11" s="50"/>
      <c r="E11" s="50"/>
      <c r="F11" s="191" t="str">
        <f>VLOOKUP('NLBS-DATA'!$AV$5,'NLBS-DATA'!$AI$3:$AK$9,2,0)</f>
        <v>Screw-M3X14mm- Pan + Head-MS</v>
      </c>
      <c r="G11" s="112">
        <f>VLOOKUP('NLBS-DATA'!$AV$5,'NLBS-DATA'!$AI$3:$AK$9,3,0)</f>
        <v>4</v>
      </c>
      <c r="H11" s="50" t="s">
        <v>189</v>
      </c>
      <c r="I11" s="50" t="s">
        <v>9</v>
      </c>
      <c r="J11" s="160"/>
      <c r="K11" s="173"/>
      <c r="L11" s="173"/>
      <c r="M11" s="176"/>
      <c r="N11" s="179"/>
      <c r="O11" s="179"/>
      <c r="P11" s="182"/>
    </row>
    <row r="12" spans="1:16">
      <c r="A12" s="50"/>
      <c r="B12" s="50"/>
      <c r="C12" s="50"/>
      <c r="D12" s="50"/>
      <c r="E12" s="50"/>
      <c r="F12" s="50" t="s">
        <v>293</v>
      </c>
      <c r="G12" s="110">
        <v>1</v>
      </c>
      <c r="H12" s="50" t="s">
        <v>189</v>
      </c>
      <c r="I12" s="50" t="s">
        <v>9</v>
      </c>
      <c r="J12" s="160"/>
      <c r="K12" s="170">
        <v>0.7</v>
      </c>
      <c r="L12" s="170">
        <f t="shared" ref="L12:L14" si="0">K12*G12</f>
        <v>0.7</v>
      </c>
      <c r="M12" s="166">
        <v>0</v>
      </c>
      <c r="N12" s="167">
        <v>0.5</v>
      </c>
      <c r="O12" s="167"/>
      <c r="P12" s="168">
        <f t="shared" ref="P12:P14" si="1">M12+(M12*(N12+O12))</f>
        <v>0</v>
      </c>
    </row>
    <row r="13" spans="1:16">
      <c r="A13" s="50"/>
      <c r="B13" s="50"/>
      <c r="C13" s="50"/>
      <c r="D13" s="50"/>
      <c r="E13" s="50"/>
      <c r="F13" s="161" t="str">
        <f>CONCATENATE($D$2," ", "BOM LED PCB")</f>
        <v>NLBS10M30 BOM LED PCB</v>
      </c>
      <c r="G13" s="110">
        <v>1</v>
      </c>
      <c r="H13" s="50" t="s">
        <v>189</v>
      </c>
      <c r="I13" s="50" t="s">
        <v>9</v>
      </c>
      <c r="J13" s="160"/>
      <c r="K13" s="170">
        <f t="shared" ref="K13" si="2">P13*87</f>
        <v>0</v>
      </c>
      <c r="L13" s="170">
        <f t="shared" si="0"/>
        <v>0</v>
      </c>
      <c r="M13" s="166">
        <v>0</v>
      </c>
      <c r="N13" s="167">
        <v>0.5</v>
      </c>
      <c r="O13" s="167"/>
      <c r="P13" s="168">
        <f t="shared" si="1"/>
        <v>0</v>
      </c>
    </row>
    <row r="14" spans="1:16">
      <c r="A14" s="50"/>
      <c r="B14" s="50"/>
      <c r="C14" s="50"/>
      <c r="D14" s="50"/>
      <c r="E14" s="50"/>
      <c r="F14" t="s">
        <v>331</v>
      </c>
      <c r="G14" s="110">
        <v>0.12</v>
      </c>
      <c r="H14" s="50" t="s">
        <v>189</v>
      </c>
      <c r="I14" s="50" t="s">
        <v>9</v>
      </c>
      <c r="J14" s="160"/>
      <c r="K14" s="185">
        <f>5.7/1000*120</f>
        <v>0.68400000000000005</v>
      </c>
      <c r="L14" s="170">
        <f t="shared" si="0"/>
        <v>8.208E-2</v>
      </c>
      <c r="M14" s="166">
        <v>0</v>
      </c>
      <c r="N14" s="167">
        <v>0.5</v>
      </c>
      <c r="O14" s="167"/>
      <c r="P14" s="168">
        <f t="shared" si="1"/>
        <v>0</v>
      </c>
    </row>
    <row r="15" spans="1:16">
      <c r="A15" s="50"/>
      <c r="B15" s="50"/>
      <c r="C15" s="50"/>
      <c r="D15" s="50"/>
      <c r="E15" s="50"/>
      <c r="F15" s="49" t="str">
        <f>VLOOKUP('NLBS-DATA'!$AY$6,'NLBS-DATA'!$J$2:$K$9,2,0)</f>
        <v>PS 10W 250MA 36V LPF (PCB MT43-8-12W-V2 LPF)</v>
      </c>
      <c r="G15" s="150">
        <v>1</v>
      </c>
      <c r="H15" s="50" t="s">
        <v>189</v>
      </c>
      <c r="I15" s="50" t="s">
        <v>9</v>
      </c>
      <c r="J15" s="160"/>
      <c r="K15" s="183">
        <v>0</v>
      </c>
      <c r="L15" s="183">
        <f t="shared" ref="L15:L16" si="3">G15*K15</f>
        <v>0</v>
      </c>
      <c r="M15" s="184" t="s">
        <v>334</v>
      </c>
    </row>
    <row r="16" spans="1:16">
      <c r="A16" s="50"/>
      <c r="B16" s="50"/>
      <c r="C16" s="50"/>
      <c r="D16" s="50"/>
      <c r="E16" s="50"/>
      <c r="F16" s="142" t="str">
        <f>VLOOKUP('NLBS-DATA'!$AW$9,'NLBS-DATA'!$AR$2:$AS$18,2,0)</f>
        <v>PBX-NLBS10W</v>
      </c>
      <c r="G16" s="111">
        <v>1</v>
      </c>
      <c r="H16" s="50" t="s">
        <v>189</v>
      </c>
      <c r="I16" s="50" t="s">
        <v>9</v>
      </c>
      <c r="J16" s="160"/>
      <c r="K16" s="183">
        <v>0</v>
      </c>
      <c r="L16" s="183">
        <f t="shared" si="3"/>
        <v>0</v>
      </c>
      <c r="M16" s="184" t="s">
        <v>341</v>
      </c>
    </row>
    <row r="17" spans="1:17">
      <c r="A17" s="50"/>
      <c r="B17" s="50"/>
      <c r="C17" s="50"/>
      <c r="D17" s="50"/>
      <c r="E17" s="50"/>
      <c r="F17" s="153" t="s">
        <v>333</v>
      </c>
      <c r="G17" s="111">
        <v>0.08</v>
      </c>
      <c r="H17" s="50" t="s">
        <v>189</v>
      </c>
      <c r="I17" s="50" t="s">
        <v>9</v>
      </c>
      <c r="J17" s="160"/>
      <c r="K17" s="183">
        <v>27</v>
      </c>
      <c r="L17" s="183">
        <f>G17*K17</f>
        <v>2.16</v>
      </c>
    </row>
    <row r="18" spans="1:17">
      <c r="A18" s="50" t="str">
        <f>CONCATENATE($D$2," ", "BOM LED PCB")</f>
        <v>NLBS10M30 BOM LED PCB</v>
      </c>
      <c r="B18" s="50" t="s">
        <v>190</v>
      </c>
      <c r="C18" s="50" t="s">
        <v>191</v>
      </c>
      <c r="D18" s="50" t="str">
        <f>CONCATENATE($D$2," ", "BOM LED PCB")</f>
        <v>NLBS10M30 BOM LED PCB</v>
      </c>
      <c r="E18" s="50">
        <v>1</v>
      </c>
      <c r="F18" s="134" t="str">
        <f>VLOOKUP('NLBS-DATA'!$AW$9,'NLBS-DATA'!AN2:AO8,2,0)</f>
        <v>PCB 5LED L-128 W-28 H-38 NLBS10W (FAFA)</v>
      </c>
      <c r="G18" s="146">
        <v>1</v>
      </c>
      <c r="H18" s="148" t="s">
        <v>329</v>
      </c>
      <c r="I18" s="149" t="s">
        <v>9</v>
      </c>
      <c r="J18" s="160"/>
      <c r="K18" s="183">
        <v>0</v>
      </c>
      <c r="L18" s="183">
        <f t="shared" ref="L18:L19" si="4">G18*K18</f>
        <v>0</v>
      </c>
      <c r="M18" s="184" t="s">
        <v>335</v>
      </c>
    </row>
    <row r="19" spans="1:17">
      <c r="F19" s="49" t="str">
        <f>VLOOKUP('NLBS-DATA'!$AW$13,'NLBS-DATA'!$S$3:$T$12,2,0)</f>
        <v>LED SMD 3535 3000K WW</v>
      </c>
      <c r="G19" s="112">
        <f>VLOOKUP('NLBS-DATA'!$AW$15,'NLBS-DATA'!$V$3:$W$5,2,0)</f>
        <v>5</v>
      </c>
      <c r="H19" s="148" t="s">
        <v>329</v>
      </c>
      <c r="I19" s="149" t="s">
        <v>9</v>
      </c>
      <c r="J19" s="160"/>
      <c r="K19" s="183">
        <v>11.5</v>
      </c>
      <c r="L19" s="183">
        <f t="shared" si="4"/>
        <v>57.5</v>
      </c>
      <c r="M19" s="162"/>
    </row>
    <row r="20" spans="1:17" ht="19.5" customHeight="1" thickBot="1">
      <c r="L20" s="189">
        <f>SUM(L2:L19)</f>
        <v>509.49258000000003</v>
      </c>
    </row>
    <row r="21" spans="1:17" ht="15.75" thickTop="1"/>
    <row r="22" spans="1:17">
      <c r="J22" s="194" t="s">
        <v>342</v>
      </c>
      <c r="K22" s="195"/>
      <c r="L22" s="192">
        <f>L20+42</f>
        <v>551.49258000000009</v>
      </c>
    </row>
    <row r="23" spans="1:17">
      <c r="J23" s="194" t="s">
        <v>343</v>
      </c>
      <c r="K23" s="195"/>
      <c r="L23" s="193">
        <f>((L20)+(P23*87))</f>
        <v>1312.0675800000001</v>
      </c>
      <c r="M23" s="186">
        <v>6.15</v>
      </c>
      <c r="N23" s="187">
        <v>0.5</v>
      </c>
      <c r="O23" s="187"/>
      <c r="P23" s="188">
        <f>M23+(M23*(N23+O23))</f>
        <v>9.2250000000000014</v>
      </c>
      <c r="Q23">
        <f>P23*87</f>
        <v>802.57500000000016</v>
      </c>
    </row>
    <row r="31" spans="1:17">
      <c r="G31" s="92"/>
    </row>
  </sheetData>
  <mergeCells count="8">
    <mergeCell ref="J22:K22"/>
    <mergeCell ref="J23:K23"/>
    <mergeCell ref="K2:K11"/>
    <mergeCell ref="L2:L11"/>
    <mergeCell ref="M2:M11"/>
    <mergeCell ref="N2:N11"/>
    <mergeCell ref="O2:O11"/>
    <mergeCell ref="P2:P11"/>
  </mergeCells>
  <pageMargins left="0.69930555555555995" right="0.69930555555555995" top="0.75" bottom="0.75" header="0.3" footer="0.3"/>
  <pageSetup orientation="portrait" verticalDpi="0" r:id="rId1"/>
  <ignoredErrors>
    <ignoredError sqref="K14" formula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Result!$B$2:$B$10</xm:f>
          </x14:formula1>
          <xm:sqref>D2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BC41"/>
  <sheetViews>
    <sheetView topLeftCell="I1" zoomScaleNormal="100" workbookViewId="0">
      <selection activeCell="K5" sqref="K5"/>
    </sheetView>
  </sheetViews>
  <sheetFormatPr defaultRowHeight="15"/>
  <cols>
    <col min="2" max="2" width="59" customWidth="1"/>
    <col min="4" max="4" width="9.140625" style="53"/>
    <col min="6" max="6" width="57.28515625" bestFit="1" customWidth="1"/>
    <col min="7" max="7" width="11" customWidth="1"/>
    <col min="9" max="9" width="9.140625" style="53"/>
    <col min="11" max="11" width="31" bestFit="1" customWidth="1"/>
    <col min="13" max="13" width="9.140625" style="53"/>
    <col min="15" max="15" width="48.5703125" bestFit="1" customWidth="1"/>
    <col min="16" max="16" width="16.140625" customWidth="1"/>
    <col min="17" max="17" width="17.140625" customWidth="1"/>
    <col min="18" max="18" width="9.140625" style="53"/>
    <col min="20" max="20" width="56.85546875" bestFit="1" customWidth="1"/>
    <col min="21" max="21" width="13.5703125" customWidth="1"/>
    <col min="23" max="23" width="8.85546875" style="99" customWidth="1"/>
    <col min="24" max="24" width="8.85546875" style="53" customWidth="1"/>
    <col min="25" max="25" width="8.85546875" style="92" customWidth="1"/>
    <col min="26" max="26" width="50.85546875" style="92" bestFit="1" customWidth="1"/>
    <col min="27" max="28" width="8.85546875" style="92" customWidth="1"/>
    <col min="29" max="29" width="8.85546875" style="53" customWidth="1"/>
    <col min="30" max="30" width="8.85546875" style="92" customWidth="1"/>
    <col min="31" max="31" width="43.140625" style="92" bestFit="1" customWidth="1"/>
    <col min="32" max="33" width="12.140625" style="92" customWidth="1"/>
    <col min="34" max="34" width="12.140625" style="53" customWidth="1"/>
    <col min="35" max="35" width="12.140625" style="92" customWidth="1"/>
    <col min="36" max="36" width="41.7109375" style="92" customWidth="1"/>
    <col min="37" max="37" width="7.28515625" style="92" customWidth="1"/>
    <col min="38" max="38" width="8.28515625" style="92" customWidth="1"/>
    <col min="39" max="39" width="8.28515625" style="138" customWidth="1"/>
    <col min="40" max="40" width="10" style="92" customWidth="1"/>
    <col min="41" max="41" width="42.42578125" style="92" customWidth="1"/>
    <col min="42" max="42" width="10" style="92" customWidth="1"/>
    <col min="43" max="43" width="6.7109375" style="138" customWidth="1"/>
    <col min="44" max="44" width="12.42578125" style="92" customWidth="1"/>
    <col min="45" max="45" width="25.5703125" style="92" customWidth="1"/>
    <col min="46" max="46" width="12.42578125" style="92" customWidth="1"/>
    <col min="48" max="48" width="15.7109375" bestFit="1" customWidth="1"/>
    <col min="49" max="49" width="11.140625" customWidth="1"/>
    <col min="50" max="50" width="21.42578125" customWidth="1"/>
    <col min="51" max="51" width="13.28515625" bestFit="1" customWidth="1"/>
    <col min="52" max="52" width="13.28515625" customWidth="1"/>
    <col min="54" max="54" width="15.42578125" customWidth="1"/>
  </cols>
  <sheetData>
    <row r="1" spans="1:55" s="71" customFormat="1" ht="15.75" thickBot="1">
      <c r="A1" s="79" t="s">
        <v>203</v>
      </c>
      <c r="B1" s="78" t="s">
        <v>237</v>
      </c>
      <c r="C1" s="75" t="s">
        <v>202</v>
      </c>
      <c r="D1" s="74"/>
      <c r="E1" s="77" t="s">
        <v>203</v>
      </c>
      <c r="F1" s="78" t="s">
        <v>206</v>
      </c>
      <c r="G1" s="75" t="s">
        <v>220</v>
      </c>
      <c r="H1" s="75" t="s">
        <v>202</v>
      </c>
      <c r="I1" s="74"/>
      <c r="J1" s="77" t="s">
        <v>203</v>
      </c>
      <c r="K1" s="78" t="s">
        <v>205</v>
      </c>
      <c r="L1" s="75" t="s">
        <v>202</v>
      </c>
      <c r="M1" s="74"/>
      <c r="N1" s="77" t="s">
        <v>204</v>
      </c>
      <c r="O1" s="76" t="s">
        <v>194</v>
      </c>
      <c r="P1" s="95" t="s">
        <v>220</v>
      </c>
      <c r="Q1" s="75" t="s">
        <v>202</v>
      </c>
      <c r="R1" s="74"/>
      <c r="S1" s="73" t="s">
        <v>203</v>
      </c>
      <c r="T1" s="89" t="s">
        <v>215</v>
      </c>
      <c r="U1" s="133" t="s">
        <v>202</v>
      </c>
      <c r="V1" s="73" t="s">
        <v>203</v>
      </c>
      <c r="W1" s="97" t="s">
        <v>220</v>
      </c>
      <c r="X1" s="93"/>
      <c r="Y1" s="94"/>
      <c r="Z1" s="94" t="s">
        <v>222</v>
      </c>
      <c r="AA1" s="94" t="s">
        <v>220</v>
      </c>
      <c r="AB1" s="120" t="s">
        <v>289</v>
      </c>
      <c r="AC1" s="93"/>
      <c r="AD1" s="94"/>
      <c r="AE1" s="94" t="s">
        <v>223</v>
      </c>
      <c r="AF1" s="97" t="s">
        <v>220</v>
      </c>
      <c r="AG1" s="120" t="s">
        <v>202</v>
      </c>
      <c r="AH1" s="93"/>
      <c r="AI1" s="94"/>
      <c r="AJ1" s="94" t="s">
        <v>224</v>
      </c>
      <c r="AK1" s="97" t="s">
        <v>220</v>
      </c>
      <c r="AL1" s="126" t="s">
        <v>202</v>
      </c>
      <c r="AM1" s="126"/>
      <c r="AN1" s="140" t="s">
        <v>203</v>
      </c>
      <c r="AO1" s="140" t="s">
        <v>297</v>
      </c>
      <c r="AP1" s="140" t="s">
        <v>202</v>
      </c>
      <c r="AQ1" s="140"/>
      <c r="AR1" s="89" t="s">
        <v>203</v>
      </c>
      <c r="AS1" s="89" t="s">
        <v>238</v>
      </c>
      <c r="AT1" s="89" t="s">
        <v>202</v>
      </c>
      <c r="AU1" s="72"/>
      <c r="AV1" s="72"/>
      <c r="AW1" s="72"/>
      <c r="AX1" s="72"/>
      <c r="AY1" s="72"/>
      <c r="AZ1" s="72"/>
      <c r="BA1" s="72"/>
      <c r="BC1"/>
    </row>
    <row r="2" spans="1:55">
      <c r="A2" s="51" t="s">
        <v>201</v>
      </c>
      <c r="B2" s="113" t="s">
        <v>240</v>
      </c>
      <c r="C2" s="56"/>
      <c r="E2" s="57" t="s">
        <v>201</v>
      </c>
      <c r="F2" s="113" t="s">
        <v>248</v>
      </c>
      <c r="G2" s="58">
        <v>1</v>
      </c>
      <c r="H2" s="56"/>
      <c r="J2" s="80" t="s">
        <v>207</v>
      </c>
      <c r="K2" s="144" t="s">
        <v>302</v>
      </c>
      <c r="L2" s="56"/>
      <c r="N2" s="117" t="s">
        <v>201</v>
      </c>
      <c r="O2" s="118" t="s">
        <v>280</v>
      </c>
      <c r="P2" s="58">
        <v>1</v>
      </c>
      <c r="Q2" s="58"/>
      <c r="S2" s="96"/>
      <c r="T2" s="101" t="s">
        <v>221</v>
      </c>
      <c r="U2" s="94"/>
      <c r="V2" s="96"/>
      <c r="W2" s="98"/>
      <c r="X2" s="104"/>
      <c r="Y2" s="91"/>
      <c r="Z2" s="91"/>
      <c r="AA2" s="91"/>
      <c r="AB2" s="91"/>
      <c r="AC2" s="103"/>
      <c r="AD2" s="91"/>
      <c r="AE2" s="91"/>
      <c r="AF2" s="91"/>
      <c r="AG2" s="91"/>
      <c r="AH2" s="103"/>
      <c r="AI2" s="91"/>
      <c r="AJ2" s="91"/>
      <c r="AK2" s="91"/>
      <c r="AN2" s="51" t="s">
        <v>201</v>
      </c>
      <c r="AO2" s="51" t="s">
        <v>294</v>
      </c>
      <c r="AP2" s="51"/>
      <c r="AQ2" s="49"/>
      <c r="AR2" s="145" t="s">
        <v>201</v>
      </c>
      <c r="AS2" s="144" t="s">
        <v>290</v>
      </c>
      <c r="AT2" s="50"/>
      <c r="AU2" s="92"/>
      <c r="AV2" s="128" t="s">
        <v>197</v>
      </c>
      <c r="AW2" s="81" t="s">
        <v>196</v>
      </c>
      <c r="AX2" s="81" t="s">
        <v>208</v>
      </c>
      <c r="AY2" s="82" t="s">
        <v>195</v>
      </c>
      <c r="AZ2" s="83"/>
      <c r="BA2" s="70"/>
      <c r="BB2" t="str">
        <f>MID('Stock Item'!D2,1,9)</f>
        <v>NLBS10M30</v>
      </c>
      <c r="BC2" t="s">
        <v>229</v>
      </c>
    </row>
    <row r="3" spans="1:55">
      <c r="A3" s="113" t="s">
        <v>273</v>
      </c>
      <c r="B3" s="113" t="s">
        <v>243</v>
      </c>
      <c r="C3" s="56"/>
      <c r="E3" s="117" t="s">
        <v>273</v>
      </c>
      <c r="F3" s="113" t="s">
        <v>248</v>
      </c>
      <c r="G3" s="58">
        <v>1</v>
      </c>
      <c r="H3" s="56"/>
      <c r="J3" s="88" t="s">
        <v>214</v>
      </c>
      <c r="K3" s="51" t="s">
        <v>200</v>
      </c>
      <c r="L3" s="56"/>
      <c r="N3" s="117" t="s">
        <v>273</v>
      </c>
      <c r="O3" s="118" t="s">
        <v>280</v>
      </c>
      <c r="P3" s="58">
        <v>1</v>
      </c>
      <c r="Q3" s="58"/>
      <c r="S3" s="88" t="s">
        <v>216</v>
      </c>
      <c r="T3" s="58" t="s">
        <v>283</v>
      </c>
      <c r="U3" s="59"/>
      <c r="V3" s="57" t="s">
        <v>226</v>
      </c>
      <c r="W3" s="58">
        <v>3</v>
      </c>
      <c r="X3" s="103"/>
      <c r="Y3" s="57" t="s">
        <v>201</v>
      </c>
      <c r="Z3" s="118" t="s">
        <v>288</v>
      </c>
      <c r="AA3" s="58">
        <v>3</v>
      </c>
      <c r="AB3" s="51"/>
      <c r="AC3" s="121"/>
      <c r="AD3" s="57" t="s">
        <v>201</v>
      </c>
      <c r="AE3" s="50" t="s">
        <v>287</v>
      </c>
      <c r="AF3" s="58">
        <v>3</v>
      </c>
      <c r="AG3" s="91"/>
      <c r="AH3" s="103"/>
      <c r="AI3" s="57" t="s">
        <v>201</v>
      </c>
      <c r="AJ3" s="50" t="s">
        <v>192</v>
      </c>
      <c r="AK3" s="58">
        <v>2</v>
      </c>
      <c r="AL3" s="50"/>
      <c r="AN3" s="113" t="s">
        <v>273</v>
      </c>
      <c r="AO3" s="51" t="s">
        <v>294</v>
      </c>
      <c r="AP3" s="137"/>
      <c r="AQ3" s="141"/>
      <c r="AR3" s="145" t="s">
        <v>199</v>
      </c>
      <c r="AS3" s="144" t="s">
        <v>239</v>
      </c>
      <c r="AT3" s="50"/>
      <c r="AU3" s="92"/>
      <c r="AV3" s="129" t="str">
        <f>MID('Stock Item'!$D$2,4,1)</f>
        <v>S</v>
      </c>
      <c r="AW3" s="69" t="str">
        <f>LEFT('Stock Item'!D2,6)</f>
        <v>NLBS10</v>
      </c>
      <c r="AX3" s="69" t="str">
        <f>LEFT('Stock Item'!D2,9)</f>
        <v>NLBS10M30</v>
      </c>
      <c r="AY3" s="56" t="str">
        <f>MID('Stock Item'!$D$2,5,2)</f>
        <v>10</v>
      </c>
      <c r="AZ3" s="56" t="e">
        <f ca="1">_xlfn.CONCAT(AY3)</f>
        <v>#NAME?</v>
      </c>
      <c r="BA3" s="84" t="s">
        <v>209</v>
      </c>
      <c r="BC3" t="s">
        <v>230</v>
      </c>
    </row>
    <row r="4" spans="1:55">
      <c r="J4" s="55"/>
      <c r="K4" s="55"/>
      <c r="S4" s="57" t="s">
        <v>217</v>
      </c>
      <c r="T4" s="119" t="s">
        <v>284</v>
      </c>
      <c r="U4" s="132"/>
      <c r="V4" s="57" t="s">
        <v>227</v>
      </c>
      <c r="W4" s="58">
        <v>5</v>
      </c>
      <c r="X4" s="103"/>
      <c r="Y4" s="57" t="s">
        <v>199</v>
      </c>
      <c r="Z4" s="118" t="s">
        <v>288</v>
      </c>
      <c r="AA4" s="58">
        <v>5</v>
      </c>
      <c r="AB4" s="51"/>
      <c r="AC4" s="121"/>
      <c r="AD4" s="57" t="s">
        <v>199</v>
      </c>
      <c r="AE4" s="50" t="s">
        <v>287</v>
      </c>
      <c r="AF4" s="58">
        <v>5</v>
      </c>
      <c r="AG4" s="91"/>
      <c r="AH4" s="103"/>
      <c r="AI4" s="57" t="s">
        <v>199</v>
      </c>
      <c r="AJ4" s="50" t="s">
        <v>192</v>
      </c>
      <c r="AK4" s="58">
        <v>4</v>
      </c>
      <c r="AL4" s="50"/>
      <c r="AN4" s="51" t="s">
        <v>199</v>
      </c>
      <c r="AO4" s="50" t="s">
        <v>295</v>
      </c>
      <c r="AP4" s="137"/>
      <c r="AQ4" s="141"/>
      <c r="AR4" s="50" t="s">
        <v>198</v>
      </c>
      <c r="AS4" s="144" t="s">
        <v>301</v>
      </c>
      <c r="AT4" s="50"/>
      <c r="AU4" s="92"/>
      <c r="AV4" s="129"/>
      <c r="AW4" s="50" t="str">
        <f>MID('Stock Item'!$D$2,5,2)</f>
        <v>10</v>
      </c>
      <c r="AX4" s="50" t="str">
        <f>MID('Stock Item'!$D$2,7,1)</f>
        <v>M</v>
      </c>
      <c r="AY4" s="56" t="str">
        <f>MID('Stock Item'!$D$2,10,2)</f>
        <v/>
      </c>
      <c r="AZ4" s="56"/>
      <c r="BA4" s="64"/>
      <c r="BC4" t="s">
        <v>231</v>
      </c>
    </row>
    <row r="5" spans="1:55">
      <c r="A5" s="51" t="s">
        <v>199</v>
      </c>
      <c r="B5" s="114" t="s">
        <v>244</v>
      </c>
      <c r="C5" s="68"/>
      <c r="E5" s="57" t="s">
        <v>199</v>
      </c>
      <c r="F5" s="113" t="s">
        <v>250</v>
      </c>
      <c r="G5" s="51">
        <v>1</v>
      </c>
      <c r="H5" s="67"/>
      <c r="J5" s="66" t="s">
        <v>210</v>
      </c>
      <c r="K5" s="169" t="s">
        <v>332</v>
      </c>
      <c r="L5" s="56"/>
      <c r="N5" s="57" t="s">
        <v>199</v>
      </c>
      <c r="O5" s="118" t="s">
        <v>281</v>
      </c>
      <c r="P5" s="58">
        <v>1</v>
      </c>
      <c r="Q5" s="58"/>
      <c r="S5" s="57" t="s">
        <v>218</v>
      </c>
      <c r="T5" s="58" t="s">
        <v>285</v>
      </c>
      <c r="U5" s="59"/>
      <c r="V5" s="57" t="s">
        <v>228</v>
      </c>
      <c r="W5" s="58">
        <v>10</v>
      </c>
      <c r="X5" s="103"/>
      <c r="Y5" s="102" t="s">
        <v>198</v>
      </c>
      <c r="Z5" s="118" t="s">
        <v>288</v>
      </c>
      <c r="AA5" s="56">
        <v>10</v>
      </c>
      <c r="AB5" s="50"/>
      <c r="AC5" s="122"/>
      <c r="AD5" s="102" t="s">
        <v>198</v>
      </c>
      <c r="AE5" s="50" t="s">
        <v>287</v>
      </c>
      <c r="AF5" s="56">
        <v>10</v>
      </c>
      <c r="AI5" s="102" t="s">
        <v>198</v>
      </c>
      <c r="AJ5" s="50" t="s">
        <v>192</v>
      </c>
      <c r="AK5" s="56">
        <v>8</v>
      </c>
      <c r="AL5" s="50"/>
      <c r="AN5" s="113" t="s">
        <v>274</v>
      </c>
      <c r="AO5" s="50" t="s">
        <v>295</v>
      </c>
      <c r="AP5" s="50"/>
      <c r="AU5" s="92"/>
      <c r="AV5" s="130" t="str">
        <f>CONCATENATE($AV$3,$AW$4,)</f>
        <v>S10</v>
      </c>
      <c r="AW5" s="65" t="str">
        <f>RIGHT(AW4,1)</f>
        <v>0</v>
      </c>
      <c r="AX5" s="50" t="str">
        <f>MID('Stock Item'!$D$2,8,2)</f>
        <v>30</v>
      </c>
      <c r="AY5" s="56"/>
      <c r="AZ5" s="56" t="e">
        <f ca="1">MID(AZ3,10,1)</f>
        <v>#NAME?</v>
      </c>
      <c r="BA5" s="64"/>
      <c r="BC5" t="s">
        <v>232</v>
      </c>
    </row>
    <row r="6" spans="1:55">
      <c r="A6" s="113" t="s">
        <v>274</v>
      </c>
      <c r="B6" s="114" t="s">
        <v>245</v>
      </c>
      <c r="C6" s="56"/>
      <c r="E6" s="117" t="s">
        <v>274</v>
      </c>
      <c r="F6" s="113" t="s">
        <v>250</v>
      </c>
      <c r="G6" s="58">
        <v>1</v>
      </c>
      <c r="H6" s="56"/>
      <c r="J6" s="57" t="s">
        <v>212</v>
      </c>
      <c r="K6" s="51" t="s">
        <v>298</v>
      </c>
      <c r="L6" s="56"/>
      <c r="N6" s="117" t="s">
        <v>274</v>
      </c>
      <c r="O6" s="51" t="s">
        <v>281</v>
      </c>
      <c r="P6" s="58">
        <v>1</v>
      </c>
      <c r="Q6" s="58"/>
      <c r="S6" s="92"/>
      <c r="T6" s="92"/>
      <c r="U6" s="92"/>
      <c r="V6" s="92"/>
      <c r="Y6" s="123"/>
      <c r="Z6" s="124"/>
      <c r="AA6" s="124"/>
      <c r="AB6" s="125"/>
      <c r="AC6" s="121"/>
      <c r="AD6" s="91"/>
      <c r="AE6" s="91"/>
      <c r="AF6" s="91"/>
      <c r="AG6" s="91"/>
      <c r="AH6" s="103"/>
      <c r="AI6" s="91"/>
      <c r="AJ6" s="91"/>
      <c r="AK6" s="91"/>
      <c r="AN6" s="50" t="s">
        <v>198</v>
      </c>
      <c r="AO6" s="50" t="s">
        <v>296</v>
      </c>
      <c r="AP6" s="51"/>
      <c r="AQ6" s="49"/>
      <c r="AR6" s="145" t="s">
        <v>273</v>
      </c>
      <c r="AS6" s="144" t="s">
        <v>290</v>
      </c>
      <c r="AT6" s="50"/>
      <c r="AU6" s="92"/>
      <c r="AV6" s="129"/>
      <c r="AW6" s="50"/>
      <c r="AX6" s="50" t="str">
        <f>MID(AX3,5,2)</f>
        <v>10</v>
      </c>
      <c r="AY6" s="65" t="str">
        <f>CONCATENATE($AY$3,$BA$3,$AY$4 )</f>
        <v>10-</v>
      </c>
      <c r="AZ6" s="85" t="str">
        <f>MID('Stock Item'!D2,11,2)</f>
        <v/>
      </c>
      <c r="BA6" s="64"/>
      <c r="BC6" t="s">
        <v>233</v>
      </c>
    </row>
    <row r="7" spans="1:55" ht="15.75" thickBot="1">
      <c r="F7" s="51"/>
      <c r="G7" s="91"/>
      <c r="J7" s="55"/>
      <c r="K7" s="55"/>
      <c r="N7" s="57"/>
      <c r="O7" s="51"/>
      <c r="P7" s="58"/>
      <c r="Q7" s="58"/>
      <c r="S7" s="117" t="s">
        <v>276</v>
      </c>
      <c r="T7" s="58" t="s">
        <v>283</v>
      </c>
      <c r="U7" s="59"/>
      <c r="V7" s="57"/>
      <c r="W7" s="58"/>
      <c r="X7" s="103"/>
      <c r="Y7" s="117" t="s">
        <v>273</v>
      </c>
      <c r="Z7" s="51" t="s">
        <v>288</v>
      </c>
      <c r="AA7" s="58">
        <v>3</v>
      </c>
      <c r="AB7" s="51"/>
      <c r="AC7" s="121"/>
      <c r="AD7" s="117" t="s">
        <v>273</v>
      </c>
      <c r="AE7" s="50" t="s">
        <v>287</v>
      </c>
      <c r="AF7" s="58">
        <v>3</v>
      </c>
      <c r="AG7" s="91"/>
      <c r="AH7" s="103"/>
      <c r="AI7" s="117" t="s">
        <v>273</v>
      </c>
      <c r="AJ7" s="50" t="s">
        <v>192</v>
      </c>
      <c r="AK7" s="58">
        <v>2</v>
      </c>
      <c r="AL7" s="50"/>
      <c r="AN7" s="50" t="s">
        <v>275</v>
      </c>
      <c r="AO7" s="50" t="s">
        <v>296</v>
      </c>
      <c r="AP7" s="137"/>
      <c r="AQ7" s="141"/>
      <c r="AR7" s="145" t="s">
        <v>274</v>
      </c>
      <c r="AS7" s="144" t="s">
        <v>239</v>
      </c>
      <c r="AT7" s="50"/>
      <c r="AU7" s="92"/>
      <c r="AV7" s="131"/>
      <c r="AW7" s="62"/>
      <c r="AX7" s="63"/>
      <c r="AY7" s="61"/>
      <c r="AZ7" s="61" t="e">
        <f ca="1">_xlfn.CONCAT(BA3,AZ5,AZ6)</f>
        <v>#NAME?</v>
      </c>
      <c r="BA7" s="60"/>
      <c r="BC7" t="s">
        <v>234</v>
      </c>
    </row>
    <row r="8" spans="1:55" ht="15.75" thickBot="1">
      <c r="A8" s="51" t="s">
        <v>198</v>
      </c>
      <c r="B8" s="114" t="s">
        <v>247</v>
      </c>
      <c r="C8" s="56"/>
      <c r="E8" s="57" t="s">
        <v>198</v>
      </c>
      <c r="F8" s="113" t="s">
        <v>249</v>
      </c>
      <c r="G8" s="58">
        <v>2</v>
      </c>
      <c r="H8" s="56"/>
      <c r="J8" s="66" t="s">
        <v>211</v>
      </c>
      <c r="K8" s="51" t="s">
        <v>300</v>
      </c>
      <c r="L8" s="56"/>
      <c r="N8" s="57" t="s">
        <v>198</v>
      </c>
      <c r="O8" s="118" t="s">
        <v>282</v>
      </c>
      <c r="P8" s="58">
        <v>2</v>
      </c>
      <c r="Q8" s="58"/>
      <c r="S8" s="117" t="s">
        <v>277</v>
      </c>
      <c r="T8" s="119" t="s">
        <v>284</v>
      </c>
      <c r="U8" s="132"/>
      <c r="V8" s="57"/>
      <c r="W8" s="58"/>
      <c r="X8" s="103"/>
      <c r="Y8" s="117" t="s">
        <v>274</v>
      </c>
      <c r="Z8" s="51" t="s">
        <v>288</v>
      </c>
      <c r="AA8" s="58">
        <v>5</v>
      </c>
      <c r="AB8" s="51"/>
      <c r="AC8" s="121"/>
      <c r="AD8" s="117" t="s">
        <v>274</v>
      </c>
      <c r="AE8" s="50" t="s">
        <v>287</v>
      </c>
      <c r="AF8" s="58">
        <v>5</v>
      </c>
      <c r="AG8" s="91"/>
      <c r="AH8" s="103"/>
      <c r="AI8" s="117" t="s">
        <v>274</v>
      </c>
      <c r="AJ8" s="50" t="s">
        <v>192</v>
      </c>
      <c r="AK8" s="58">
        <v>4</v>
      </c>
      <c r="AL8" s="50"/>
      <c r="AR8" s="50" t="s">
        <v>275</v>
      </c>
      <c r="AS8" s="144" t="s">
        <v>301</v>
      </c>
      <c r="AT8" s="50"/>
    </row>
    <row r="9" spans="1:55" ht="15.75" thickBot="1">
      <c r="A9" s="113" t="s">
        <v>275</v>
      </c>
      <c r="B9" s="59" t="s">
        <v>246</v>
      </c>
      <c r="C9" s="56"/>
      <c r="E9" s="117" t="s">
        <v>275</v>
      </c>
      <c r="F9" s="113" t="s">
        <v>249</v>
      </c>
      <c r="G9" s="58">
        <v>2</v>
      </c>
      <c r="H9" s="56"/>
      <c r="J9" s="57" t="s">
        <v>213</v>
      </c>
      <c r="K9" s="51" t="s">
        <v>299</v>
      </c>
      <c r="L9" s="56"/>
      <c r="N9" s="117" t="s">
        <v>275</v>
      </c>
      <c r="O9" s="51" t="s">
        <v>282</v>
      </c>
      <c r="P9" s="58">
        <v>2</v>
      </c>
      <c r="Q9" s="58"/>
      <c r="S9" s="117" t="s">
        <v>278</v>
      </c>
      <c r="T9" s="58" t="s">
        <v>285</v>
      </c>
      <c r="U9" s="59"/>
      <c r="V9" s="57"/>
      <c r="W9" s="58"/>
      <c r="X9" s="103"/>
      <c r="Y9" s="102" t="s">
        <v>275</v>
      </c>
      <c r="Z9" s="51" t="s">
        <v>288</v>
      </c>
      <c r="AA9" s="56">
        <v>10</v>
      </c>
      <c r="AB9" s="50"/>
      <c r="AC9" s="122"/>
      <c r="AD9" s="102" t="s">
        <v>275</v>
      </c>
      <c r="AE9" s="50" t="s">
        <v>287</v>
      </c>
      <c r="AF9" s="56">
        <v>10</v>
      </c>
      <c r="AI9" s="102" t="s">
        <v>275</v>
      </c>
      <c r="AJ9" s="50" t="s">
        <v>192</v>
      </c>
      <c r="AK9" s="56">
        <v>8</v>
      </c>
      <c r="AL9" s="50"/>
      <c r="AR9" s="50"/>
      <c r="AS9" s="127"/>
      <c r="AV9" s="86" t="s">
        <v>197</v>
      </c>
      <c r="AW9" s="107" t="str">
        <f>$AV$5</f>
        <v>S10</v>
      </c>
    </row>
    <row r="10" spans="1:55" ht="15.75" thickBot="1">
      <c r="J10" s="55"/>
      <c r="K10" s="55"/>
      <c r="N10" s="57"/>
      <c r="O10" s="51"/>
      <c r="P10" s="58"/>
      <c r="Q10" s="56"/>
      <c r="S10" s="92"/>
      <c r="T10" s="92"/>
      <c r="U10" s="92"/>
      <c r="V10" s="92"/>
      <c r="Y10" s="91"/>
      <c r="Z10" s="91"/>
      <c r="AA10" s="91"/>
      <c r="AB10" s="91"/>
      <c r="AC10" s="103"/>
      <c r="AD10" s="91"/>
      <c r="AE10" s="91"/>
      <c r="AF10" s="91"/>
      <c r="AG10" s="91"/>
      <c r="AH10" s="103"/>
      <c r="AI10" s="91"/>
      <c r="AJ10" s="91"/>
      <c r="AK10" s="91"/>
      <c r="AV10" s="87" t="s">
        <v>196</v>
      </c>
      <c r="AW10" s="107" t="str">
        <f t="shared" ref="AW10:AW11" si="0">$AV$5</f>
        <v>S10</v>
      </c>
      <c r="AX10" t="str">
        <f>CONCATENATE(AV5,AZ6,AY4)</f>
        <v>S10</v>
      </c>
      <c r="AY10" t="str">
        <f>CONCATENATE(AV3,AY6)</f>
        <v>S10-</v>
      </c>
    </row>
    <row r="11" spans="1:55">
      <c r="J11" s="55"/>
      <c r="K11" s="55"/>
      <c r="S11" s="57" t="s">
        <v>219</v>
      </c>
      <c r="T11" s="58" t="s">
        <v>286</v>
      </c>
      <c r="U11" s="59"/>
      <c r="V11" s="57"/>
      <c r="W11" s="58"/>
      <c r="X11" s="103"/>
      <c r="Y11" s="91"/>
      <c r="Z11" s="91"/>
      <c r="AA11" s="91"/>
      <c r="AB11" s="91"/>
      <c r="AC11" s="103"/>
      <c r="AD11" s="91"/>
      <c r="AE11" s="91"/>
      <c r="AF11" s="91"/>
      <c r="AG11" s="91"/>
      <c r="AH11" s="103"/>
      <c r="AI11" s="91"/>
      <c r="AJ11" s="91"/>
      <c r="AK11" s="91"/>
      <c r="AL11"/>
      <c r="AT11" s="50"/>
      <c r="AV11" s="87" t="s">
        <v>194</v>
      </c>
      <c r="AW11" s="107" t="str">
        <f t="shared" si="0"/>
        <v>S10</v>
      </c>
    </row>
    <row r="12" spans="1:55">
      <c r="O12" s="154"/>
      <c r="P12" s="154"/>
      <c r="Q12" s="154"/>
      <c r="S12" s="117" t="s">
        <v>279</v>
      </c>
      <c r="T12" s="58" t="s">
        <v>286</v>
      </c>
      <c r="U12" s="59"/>
      <c r="V12" s="57"/>
      <c r="W12" s="58"/>
      <c r="X12" s="103"/>
      <c r="Y12" s="91"/>
      <c r="Z12" s="91"/>
      <c r="AA12" s="91"/>
      <c r="AB12" s="91"/>
      <c r="AC12" s="103"/>
      <c r="AD12" s="91"/>
      <c r="AE12" s="91"/>
      <c r="AF12" s="91"/>
      <c r="AG12" s="91"/>
      <c r="AH12" s="135"/>
      <c r="AL12"/>
      <c r="AT12" s="50"/>
      <c r="AV12" s="87" t="s">
        <v>195</v>
      </c>
      <c r="AW12" s="108" t="str">
        <f>$AY$6</f>
        <v>10-</v>
      </c>
    </row>
    <row r="13" spans="1:55">
      <c r="N13" s="54"/>
      <c r="AH13" s="136"/>
      <c r="AL13"/>
      <c r="AT13" s="50"/>
      <c r="AV13" s="87" t="s">
        <v>215</v>
      </c>
      <c r="AW13" s="108" t="str">
        <f>CONCATENATE($AX$5,$AV$3)</f>
        <v>30S</v>
      </c>
    </row>
    <row r="14" spans="1:55">
      <c r="N14" s="54"/>
      <c r="T14" s="100"/>
      <c r="U14" s="100"/>
      <c r="AH14" s="136"/>
      <c r="AL14"/>
      <c r="AV14" s="105" t="s">
        <v>222</v>
      </c>
      <c r="AW14" s="108"/>
    </row>
    <row r="15" spans="1:55" ht="15.75" thickBot="1">
      <c r="N15" s="54"/>
      <c r="S15" s="57"/>
      <c r="T15" s="58"/>
      <c r="U15" s="59"/>
      <c r="V15" s="57"/>
      <c r="W15" s="58"/>
      <c r="X15" s="103"/>
      <c r="AH15" s="136"/>
      <c r="AL15"/>
      <c r="AR15" s="145"/>
      <c r="AS15" s="127"/>
      <c r="AT15" s="50"/>
      <c r="AV15" s="106" t="s">
        <v>225</v>
      </c>
      <c r="AW15" s="109" t="str">
        <f>CONCATENATE($AW$4,$AX$4)</f>
        <v>10M</v>
      </c>
    </row>
    <row r="16" spans="1:55">
      <c r="N16" s="54"/>
      <c r="S16" s="57"/>
      <c r="T16" s="58"/>
      <c r="U16" s="59"/>
      <c r="V16" s="57"/>
      <c r="W16" s="58"/>
      <c r="X16" s="103"/>
      <c r="AH16" s="136"/>
      <c r="AL16"/>
      <c r="AR16" s="145"/>
      <c r="AS16" s="127"/>
      <c r="AT16" s="50"/>
    </row>
    <row r="17" spans="11:48">
      <c r="K17" s="55"/>
      <c r="S17" s="57"/>
      <c r="T17" s="58"/>
      <c r="U17" s="59"/>
      <c r="V17" s="57"/>
      <c r="W17" s="58"/>
      <c r="X17" s="103"/>
      <c r="AH17" s="136"/>
      <c r="AL17"/>
      <c r="AR17" s="50"/>
      <c r="AS17" s="143"/>
      <c r="AT17" s="50"/>
      <c r="AV17" s="115" t="s">
        <v>251</v>
      </c>
    </row>
    <row r="18" spans="11:48">
      <c r="S18" s="92"/>
      <c r="T18" s="92"/>
      <c r="U18" s="92"/>
      <c r="V18" s="92"/>
      <c r="AH18" s="136"/>
      <c r="AK18"/>
      <c r="AL18"/>
      <c r="AM18" s="139"/>
      <c r="AN18"/>
      <c r="AO18"/>
      <c r="AR18" s="50"/>
      <c r="AS18" s="127"/>
      <c r="AV18" s="116" t="s">
        <v>252</v>
      </c>
    </row>
    <row r="19" spans="11:48">
      <c r="N19" s="54"/>
      <c r="S19" s="57"/>
      <c r="T19" s="58"/>
      <c r="U19" s="59"/>
      <c r="V19" s="57"/>
      <c r="W19" s="58"/>
      <c r="X19" s="103"/>
      <c r="AL19"/>
      <c r="AV19" s="116" t="s">
        <v>236</v>
      </c>
    </row>
    <row r="20" spans="11:48">
      <c r="N20" s="54"/>
      <c r="S20" s="57"/>
      <c r="T20" s="58"/>
      <c r="U20" s="59"/>
      <c r="V20" s="57"/>
      <c r="W20" s="58"/>
      <c r="X20" s="103"/>
      <c r="AV20" s="116" t="s">
        <v>241</v>
      </c>
    </row>
    <row r="21" spans="11:48">
      <c r="N21" s="54"/>
      <c r="S21" s="57"/>
      <c r="T21" s="58"/>
      <c r="U21" s="59"/>
      <c r="V21" s="57"/>
      <c r="W21" s="58"/>
      <c r="X21" s="103"/>
      <c r="AV21" s="116" t="s">
        <v>253</v>
      </c>
    </row>
    <row r="22" spans="11:48">
      <c r="N22" s="54"/>
      <c r="S22" s="92"/>
      <c r="T22" s="92"/>
      <c r="U22" s="92"/>
      <c r="V22" s="92"/>
      <c r="AV22" s="116" t="s">
        <v>254</v>
      </c>
    </row>
    <row r="23" spans="11:48">
      <c r="S23" s="57"/>
      <c r="T23" s="58"/>
      <c r="U23" s="59"/>
      <c r="V23" s="57"/>
      <c r="W23" s="58"/>
      <c r="X23" s="103"/>
      <c r="AV23" s="116" t="s">
        <v>255</v>
      </c>
    </row>
    <row r="24" spans="11:48">
      <c r="S24" s="57"/>
      <c r="T24" s="58"/>
      <c r="U24" s="59"/>
      <c r="V24" s="57"/>
      <c r="W24" s="58"/>
      <c r="X24" s="103"/>
      <c r="AV24" s="116" t="s">
        <v>256</v>
      </c>
    </row>
    <row r="25" spans="11:48">
      <c r="AV25" s="116" t="s">
        <v>242</v>
      </c>
    </row>
    <row r="26" spans="11:48">
      <c r="T26" s="94"/>
      <c r="U26" s="94"/>
      <c r="AV26" s="116" t="s">
        <v>257</v>
      </c>
    </row>
    <row r="27" spans="11:48">
      <c r="S27" s="57"/>
      <c r="T27" s="58"/>
      <c r="U27" s="59"/>
      <c r="V27" s="57"/>
      <c r="W27" s="58"/>
      <c r="X27" s="103"/>
      <c r="AV27" s="116" t="s">
        <v>258</v>
      </c>
    </row>
    <row r="28" spans="11:48">
      <c r="S28" s="57"/>
      <c r="T28" s="58"/>
      <c r="U28" s="59"/>
      <c r="V28" s="57"/>
      <c r="W28" s="58"/>
      <c r="X28" s="103"/>
      <c r="AV28" s="116" t="s">
        <v>259</v>
      </c>
    </row>
    <row r="29" spans="11:48">
      <c r="S29" s="57"/>
      <c r="T29" s="58"/>
      <c r="U29" s="59"/>
      <c r="V29" s="57"/>
      <c r="W29" s="58"/>
      <c r="X29" s="103"/>
      <c r="AV29" s="116" t="s">
        <v>260</v>
      </c>
    </row>
    <row r="30" spans="11:48">
      <c r="S30" s="92"/>
      <c r="T30" s="92"/>
      <c r="U30" s="92"/>
      <c r="V30" s="92"/>
      <c r="AV30" s="116" t="s">
        <v>261</v>
      </c>
    </row>
    <row r="31" spans="11:48">
      <c r="S31" s="57"/>
      <c r="T31" s="58"/>
      <c r="U31" s="59"/>
      <c r="V31" s="57"/>
      <c r="W31" s="58"/>
      <c r="X31" s="103"/>
      <c r="AV31" s="116" t="s">
        <v>262</v>
      </c>
    </row>
    <row r="32" spans="11:48">
      <c r="S32" s="57"/>
      <c r="T32" s="58"/>
      <c r="U32" s="59"/>
      <c r="V32" s="57"/>
      <c r="W32" s="58"/>
      <c r="X32" s="103"/>
      <c r="AV32" s="116" t="s">
        <v>263</v>
      </c>
    </row>
    <row r="33" spans="19:48">
      <c r="S33" s="57"/>
      <c r="T33" s="58"/>
      <c r="U33" s="59"/>
      <c r="V33" s="57"/>
      <c r="W33" s="58"/>
      <c r="X33" s="103"/>
      <c r="AV33" s="116" t="s">
        <v>264</v>
      </c>
    </row>
    <row r="34" spans="19:48">
      <c r="S34" s="92"/>
      <c r="T34" s="92"/>
      <c r="U34" s="92"/>
      <c r="V34" s="92"/>
      <c r="AV34" s="116" t="s">
        <v>265</v>
      </c>
    </row>
    <row r="35" spans="19:48">
      <c r="S35" s="57"/>
      <c r="T35" s="58"/>
      <c r="U35" s="59"/>
      <c r="V35" s="57"/>
      <c r="W35" s="58"/>
      <c r="X35" s="103"/>
      <c r="AV35" s="116" t="s">
        <v>266</v>
      </c>
    </row>
    <row r="36" spans="19:48">
      <c r="S36" s="57"/>
      <c r="T36" s="58"/>
      <c r="U36" s="59"/>
      <c r="V36" s="57"/>
      <c r="W36" s="58"/>
      <c r="X36" s="103"/>
      <c r="AV36" t="s">
        <v>267</v>
      </c>
    </row>
    <row r="37" spans="19:48">
      <c r="AV37" t="s">
        <v>268</v>
      </c>
    </row>
    <row r="38" spans="19:48">
      <c r="AV38" t="s">
        <v>269</v>
      </c>
    </row>
    <row r="39" spans="19:48">
      <c r="AV39" t="s">
        <v>270</v>
      </c>
    </row>
    <row r="40" spans="19:48">
      <c r="AV40" t="s">
        <v>271</v>
      </c>
    </row>
    <row r="41" spans="19:48">
      <c r="AV41" t="s">
        <v>272</v>
      </c>
    </row>
  </sheetData>
  <mergeCells count="1">
    <mergeCell ref="O12:Q12"/>
  </mergeCells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"/>
  <sheetViews>
    <sheetView workbookViewId="0">
      <selection activeCell="E13" sqref="E13"/>
    </sheetView>
  </sheetViews>
  <sheetFormatPr defaultRowHeight="15"/>
  <cols>
    <col min="1" max="1" width="9.140625" style="147"/>
    <col min="2" max="2" width="22" style="147" customWidth="1"/>
    <col min="3" max="10" width="9.140625" style="147"/>
    <col min="11" max="11" width="17.7109375" style="147" bestFit="1" customWidth="1"/>
    <col min="12" max="12" width="28.42578125" style="147" bestFit="1" customWidth="1"/>
    <col min="13" max="13" width="12.7109375" style="147" bestFit="1" customWidth="1"/>
    <col min="14" max="14" width="9.140625" style="147"/>
    <col min="15" max="15" width="29.85546875" style="147" bestFit="1" customWidth="1"/>
    <col min="16" max="16384" width="9.140625" style="147"/>
  </cols>
  <sheetData>
    <row r="1" spans="1:15">
      <c r="A1" s="147" t="s">
        <v>303</v>
      </c>
      <c r="B1" s="147" t="s">
        <v>304</v>
      </c>
      <c r="C1" s="147" t="s">
        <v>305</v>
      </c>
      <c r="D1" s="147" t="s">
        <v>306</v>
      </c>
      <c r="E1" s="147" t="s">
        <v>307</v>
      </c>
      <c r="F1" s="147" t="s">
        <v>308</v>
      </c>
      <c r="G1" s="147" t="s">
        <v>309</v>
      </c>
      <c r="H1" s="147" t="s">
        <v>310</v>
      </c>
      <c r="I1" s="147" t="s">
        <v>311</v>
      </c>
      <c r="J1" s="147" t="s">
        <v>312</v>
      </c>
      <c r="K1" s="147" t="s">
        <v>313</v>
      </c>
      <c r="L1" s="147" t="s">
        <v>314</v>
      </c>
      <c r="M1" s="147" t="s">
        <v>315</v>
      </c>
      <c r="N1" s="147" t="s">
        <v>316</v>
      </c>
      <c r="O1" s="147" t="s">
        <v>317</v>
      </c>
    </row>
    <row r="2" spans="1:15">
      <c r="A2" s="147">
        <v>188708</v>
      </c>
      <c r="B2" s="147" t="s">
        <v>256</v>
      </c>
      <c r="C2" s="147" t="s">
        <v>318</v>
      </c>
      <c r="D2" s="147">
        <v>0</v>
      </c>
      <c r="E2" s="147">
        <v>0</v>
      </c>
      <c r="F2" s="147">
        <v>2206</v>
      </c>
      <c r="G2" s="147">
        <v>0</v>
      </c>
      <c r="H2" s="147">
        <v>0</v>
      </c>
      <c r="I2" s="147">
        <v>0</v>
      </c>
      <c r="J2" s="147">
        <v>0</v>
      </c>
      <c r="K2" s="147" t="s">
        <v>319</v>
      </c>
      <c r="L2" s="147" t="s">
        <v>320</v>
      </c>
      <c r="M2" s="147" t="s">
        <v>321</v>
      </c>
      <c r="N2" s="147" t="s">
        <v>322</v>
      </c>
      <c r="O2" s="147" t="s">
        <v>323</v>
      </c>
    </row>
    <row r="3" spans="1:15">
      <c r="A3" s="147">
        <v>188709</v>
      </c>
      <c r="B3" s="147" t="s">
        <v>242</v>
      </c>
      <c r="C3" s="147" t="s">
        <v>318</v>
      </c>
      <c r="D3" s="147">
        <v>0</v>
      </c>
      <c r="E3" s="147">
        <v>0</v>
      </c>
      <c r="F3" s="147">
        <v>2206</v>
      </c>
      <c r="G3" s="147">
        <v>0</v>
      </c>
      <c r="H3" s="147">
        <v>0</v>
      </c>
      <c r="I3" s="147">
        <v>0</v>
      </c>
      <c r="J3" s="147">
        <v>0</v>
      </c>
      <c r="K3" s="147" t="s">
        <v>319</v>
      </c>
      <c r="L3" s="147" t="s">
        <v>320</v>
      </c>
      <c r="M3" s="147" t="s">
        <v>321</v>
      </c>
      <c r="N3" s="147" t="s">
        <v>324</v>
      </c>
      <c r="O3" s="147" t="s">
        <v>323</v>
      </c>
    </row>
    <row r="4" spans="1:15">
      <c r="A4" s="147">
        <v>188710</v>
      </c>
      <c r="B4" s="147" t="s">
        <v>257</v>
      </c>
      <c r="C4" s="147" t="s">
        <v>318</v>
      </c>
      <c r="D4" s="147">
        <v>0</v>
      </c>
      <c r="E4" s="147">
        <v>0</v>
      </c>
      <c r="F4" s="147">
        <v>2206</v>
      </c>
      <c r="G4" s="147">
        <v>0</v>
      </c>
      <c r="H4" s="147">
        <v>0</v>
      </c>
      <c r="I4" s="147">
        <v>0</v>
      </c>
      <c r="J4" s="147">
        <v>0</v>
      </c>
      <c r="K4" s="147" t="s">
        <v>319</v>
      </c>
      <c r="L4" s="147" t="s">
        <v>320</v>
      </c>
      <c r="M4" s="147" t="s">
        <v>321</v>
      </c>
      <c r="N4" s="147" t="s">
        <v>325</v>
      </c>
      <c r="O4" s="147" t="s">
        <v>323</v>
      </c>
    </row>
    <row r="5" spans="1:15">
      <c r="A5" s="147">
        <v>188712</v>
      </c>
      <c r="B5" s="147" t="s">
        <v>258</v>
      </c>
      <c r="C5" s="147" t="s">
        <v>318</v>
      </c>
      <c r="D5" s="147">
        <v>0</v>
      </c>
      <c r="E5" s="147">
        <v>0</v>
      </c>
      <c r="F5" s="147">
        <v>2206</v>
      </c>
      <c r="G5" s="147">
        <v>0</v>
      </c>
      <c r="H5" s="147">
        <v>0</v>
      </c>
      <c r="I5" s="147">
        <v>0</v>
      </c>
      <c r="J5" s="147">
        <v>0</v>
      </c>
      <c r="K5" s="147" t="s">
        <v>326</v>
      </c>
      <c r="L5" s="147" t="s">
        <v>320</v>
      </c>
      <c r="M5" s="147" t="s">
        <v>321</v>
      </c>
      <c r="N5" s="147" t="s">
        <v>322</v>
      </c>
      <c r="O5" s="147" t="s">
        <v>323</v>
      </c>
    </row>
    <row r="6" spans="1:15">
      <c r="A6" s="147">
        <v>188713</v>
      </c>
      <c r="B6" s="147" t="s">
        <v>259</v>
      </c>
      <c r="C6" s="147" t="s">
        <v>318</v>
      </c>
      <c r="D6" s="147">
        <v>0</v>
      </c>
      <c r="E6" s="147">
        <v>0</v>
      </c>
      <c r="F6" s="147">
        <v>2206</v>
      </c>
      <c r="G6" s="147">
        <v>0</v>
      </c>
      <c r="H6" s="147">
        <v>0</v>
      </c>
      <c r="I6" s="147">
        <v>0</v>
      </c>
      <c r="J6" s="147">
        <v>0</v>
      </c>
      <c r="K6" s="147" t="s">
        <v>326</v>
      </c>
      <c r="L6" s="147" t="s">
        <v>320</v>
      </c>
      <c r="M6" s="147" t="s">
        <v>321</v>
      </c>
      <c r="N6" s="147" t="s">
        <v>324</v>
      </c>
      <c r="O6" s="147" t="s">
        <v>323</v>
      </c>
    </row>
    <row r="7" spans="1:15">
      <c r="A7" s="147">
        <v>188714</v>
      </c>
      <c r="B7" s="147" t="s">
        <v>260</v>
      </c>
      <c r="C7" s="147" t="s">
        <v>318</v>
      </c>
      <c r="D7" s="147">
        <v>0</v>
      </c>
      <c r="E7" s="147">
        <v>0</v>
      </c>
      <c r="F7" s="147">
        <v>2206</v>
      </c>
      <c r="G7" s="147">
        <v>0</v>
      </c>
      <c r="H7" s="147">
        <v>0</v>
      </c>
      <c r="I7" s="147">
        <v>0</v>
      </c>
      <c r="J7" s="147">
        <v>0</v>
      </c>
      <c r="K7" s="147" t="s">
        <v>326</v>
      </c>
      <c r="L7" s="147" t="s">
        <v>320</v>
      </c>
      <c r="M7" s="147" t="s">
        <v>321</v>
      </c>
      <c r="N7" s="147" t="s">
        <v>325</v>
      </c>
      <c r="O7" s="147" t="s">
        <v>323</v>
      </c>
    </row>
    <row r="8" spans="1:15">
      <c r="A8" s="147">
        <v>188735</v>
      </c>
      <c r="B8" s="147" t="s">
        <v>269</v>
      </c>
      <c r="C8" s="147" t="s">
        <v>318</v>
      </c>
      <c r="D8" s="147">
        <v>0</v>
      </c>
      <c r="E8" s="147">
        <v>0</v>
      </c>
      <c r="F8" s="147">
        <v>6069</v>
      </c>
      <c r="G8" s="147">
        <v>0</v>
      </c>
      <c r="H8" s="147">
        <v>0</v>
      </c>
      <c r="I8" s="147">
        <v>0</v>
      </c>
      <c r="J8" s="147">
        <v>0</v>
      </c>
      <c r="K8" s="147" t="s">
        <v>319</v>
      </c>
      <c r="L8" s="147" t="s">
        <v>320</v>
      </c>
      <c r="M8" s="147" t="s">
        <v>321</v>
      </c>
      <c r="N8" s="147" t="s">
        <v>327</v>
      </c>
      <c r="O8" s="147" t="s">
        <v>328</v>
      </c>
    </row>
    <row r="9" spans="1:15">
      <c r="A9" s="147">
        <v>188739</v>
      </c>
      <c r="B9" s="147" t="s">
        <v>270</v>
      </c>
      <c r="C9" s="147" t="s">
        <v>318</v>
      </c>
      <c r="D9" s="147">
        <v>0</v>
      </c>
      <c r="E9" s="147">
        <v>0</v>
      </c>
      <c r="F9" s="147">
        <v>6069</v>
      </c>
      <c r="G9" s="147">
        <v>0</v>
      </c>
      <c r="H9" s="147">
        <v>0</v>
      </c>
      <c r="I9" s="147">
        <v>0</v>
      </c>
      <c r="J9" s="147">
        <v>0</v>
      </c>
      <c r="K9" s="147" t="s">
        <v>326</v>
      </c>
      <c r="L9" s="147" t="s">
        <v>320</v>
      </c>
      <c r="M9" s="147" t="s">
        <v>321</v>
      </c>
      <c r="N9" s="147" t="s">
        <v>327</v>
      </c>
      <c r="O9" s="147" t="s">
        <v>328</v>
      </c>
    </row>
  </sheetData>
  <autoFilter ref="A1:O9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368"/>
  <sheetViews>
    <sheetView workbookViewId="0">
      <pane ySplit="1" topLeftCell="A2" activePane="bottomLeft" state="frozen"/>
      <selection pane="bottomLeft" activeCell="A38" sqref="A38"/>
    </sheetView>
  </sheetViews>
  <sheetFormatPr defaultColWidth="8.7109375" defaultRowHeight="12.75"/>
  <cols>
    <col min="1" max="1" width="30.140625" style="1" customWidth="1"/>
    <col min="2" max="3" width="23.42578125" style="1" customWidth="1"/>
    <col min="4" max="4" width="5.85546875" style="2" customWidth="1"/>
    <col min="5" max="11" width="8.7109375" style="2"/>
    <col min="12" max="12" width="6.140625" style="2" customWidth="1"/>
    <col min="13" max="18" width="8.7109375" style="2"/>
    <col min="19" max="16384" width="8.7109375" style="1"/>
  </cols>
  <sheetData>
    <row r="1" spans="1:17" ht="15">
      <c r="A1" s="3" t="s">
        <v>10</v>
      </c>
      <c r="B1" s="3" t="s">
        <v>11</v>
      </c>
      <c r="C1" s="3" t="s">
        <v>12</v>
      </c>
      <c r="E1" s="4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7">
      <c r="A2" s="6" t="s">
        <v>13</v>
      </c>
      <c r="B2" s="7"/>
      <c r="C2" s="8" t="s">
        <v>14</v>
      </c>
      <c r="E2" s="9"/>
      <c r="F2" s="10"/>
      <c r="G2" s="10"/>
      <c r="H2" s="10"/>
      <c r="I2" s="10"/>
      <c r="J2" s="10"/>
      <c r="K2" s="10"/>
      <c r="L2" s="10"/>
      <c r="M2" s="10"/>
      <c r="N2" s="10"/>
      <c r="O2" s="37"/>
      <c r="P2" s="37"/>
      <c r="Q2" s="40"/>
    </row>
    <row r="3" spans="1:17">
      <c r="A3" s="11" t="s">
        <v>0</v>
      </c>
      <c r="B3" s="12" t="s">
        <v>15</v>
      </c>
      <c r="C3" s="13"/>
      <c r="E3" s="14" t="s">
        <v>16</v>
      </c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41"/>
    </row>
    <row r="4" spans="1:17">
      <c r="A4" s="16" t="s">
        <v>17</v>
      </c>
      <c r="B4" s="12" t="s">
        <v>15</v>
      </c>
      <c r="C4" s="13"/>
      <c r="E4" s="17" t="s">
        <v>18</v>
      </c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41"/>
    </row>
    <row r="5" spans="1:17" ht="12.6" customHeight="1">
      <c r="A5" s="16" t="s">
        <v>19</v>
      </c>
      <c r="B5" s="12" t="s">
        <v>15</v>
      </c>
      <c r="C5" s="13"/>
      <c r="E5" s="156" t="s">
        <v>20</v>
      </c>
      <c r="F5" s="157"/>
      <c r="G5" s="157"/>
      <c r="H5" s="157"/>
      <c r="I5" s="157"/>
      <c r="J5" s="157"/>
      <c r="K5" s="157"/>
      <c r="L5" s="157"/>
      <c r="M5" s="157"/>
      <c r="N5" s="157"/>
      <c r="O5" s="157"/>
      <c r="P5" s="157"/>
      <c r="Q5" s="158"/>
    </row>
    <row r="6" spans="1:17" ht="12.6" customHeight="1">
      <c r="A6" s="16" t="s">
        <v>21</v>
      </c>
      <c r="B6" s="12" t="s">
        <v>15</v>
      </c>
      <c r="C6" s="13"/>
      <c r="E6" s="156"/>
      <c r="F6" s="157"/>
      <c r="G6" s="157"/>
      <c r="H6" s="157"/>
      <c r="I6" s="157"/>
      <c r="J6" s="157"/>
      <c r="K6" s="157"/>
      <c r="L6" s="157"/>
      <c r="M6" s="157"/>
      <c r="N6" s="157"/>
      <c r="O6" s="157"/>
      <c r="P6" s="157"/>
      <c r="Q6" s="158"/>
    </row>
    <row r="7" spans="1:17" ht="12.6" customHeight="1">
      <c r="A7" s="16" t="s">
        <v>22</v>
      </c>
      <c r="B7" s="12" t="s">
        <v>15</v>
      </c>
      <c r="C7" s="13"/>
      <c r="E7" s="156"/>
      <c r="F7" s="157"/>
      <c r="G7" s="157"/>
      <c r="H7" s="157"/>
      <c r="I7" s="157"/>
      <c r="J7" s="157"/>
      <c r="K7" s="157"/>
      <c r="L7" s="157"/>
      <c r="M7" s="157"/>
      <c r="N7" s="157"/>
      <c r="O7" s="157"/>
      <c r="P7" s="157"/>
      <c r="Q7" s="158"/>
    </row>
    <row r="8" spans="1:17" ht="12.6" customHeight="1">
      <c r="A8" s="16" t="s">
        <v>23</v>
      </c>
      <c r="B8" s="12" t="s">
        <v>15</v>
      </c>
      <c r="C8" s="13"/>
      <c r="E8" s="156"/>
      <c r="F8" s="157"/>
      <c r="G8" s="157"/>
      <c r="H8" s="157"/>
      <c r="I8" s="157"/>
      <c r="J8" s="157"/>
      <c r="K8" s="157"/>
      <c r="L8" s="157"/>
      <c r="M8" s="157"/>
      <c r="N8" s="157"/>
      <c r="O8" s="157"/>
      <c r="P8" s="157"/>
      <c r="Q8" s="158"/>
    </row>
    <row r="9" spans="1:17" ht="12.95" customHeight="1">
      <c r="A9" s="16" t="s">
        <v>24</v>
      </c>
      <c r="B9" s="12" t="s">
        <v>15</v>
      </c>
      <c r="C9" s="13"/>
      <c r="E9" s="156"/>
      <c r="F9" s="157"/>
      <c r="G9" s="157"/>
      <c r="H9" s="157"/>
      <c r="I9" s="157"/>
      <c r="J9" s="157"/>
      <c r="K9" s="157"/>
      <c r="L9" s="157"/>
      <c r="M9" s="157"/>
      <c r="N9" s="157"/>
      <c r="O9" s="157"/>
      <c r="P9" s="157"/>
      <c r="Q9" s="158"/>
    </row>
    <row r="10" spans="1:17">
      <c r="A10" s="16" t="s">
        <v>25</v>
      </c>
      <c r="B10" s="12" t="s">
        <v>15</v>
      </c>
      <c r="C10" s="13"/>
      <c r="E10" s="18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41"/>
    </row>
    <row r="11" spans="1:17">
      <c r="A11" s="16" t="s">
        <v>26</v>
      </c>
      <c r="B11" s="12" t="s">
        <v>15</v>
      </c>
      <c r="C11" s="13"/>
      <c r="E11" s="17" t="s">
        <v>27</v>
      </c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41"/>
    </row>
    <row r="12" spans="1:17">
      <c r="A12" s="16" t="s">
        <v>28</v>
      </c>
      <c r="B12" s="12" t="s">
        <v>15</v>
      </c>
      <c r="C12" s="13"/>
      <c r="E12" s="19" t="s">
        <v>29</v>
      </c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42"/>
    </row>
    <row r="13" spans="1:17">
      <c r="A13" s="16" t="s">
        <v>30</v>
      </c>
      <c r="B13" s="12" t="s">
        <v>15</v>
      </c>
      <c r="C13" s="13"/>
      <c r="E13" s="21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41"/>
    </row>
    <row r="14" spans="1:17" ht="15">
      <c r="A14" s="16" t="s">
        <v>31</v>
      </c>
      <c r="B14" s="12" t="s">
        <v>15</v>
      </c>
      <c r="C14" s="13"/>
      <c r="E14" s="22" t="s">
        <v>32</v>
      </c>
      <c r="F14" s="23"/>
      <c r="G14" s="23"/>
      <c r="H14" s="23"/>
      <c r="I14" s="23"/>
      <c r="J14" s="23"/>
      <c r="K14" s="23"/>
      <c r="L14" s="23"/>
      <c r="M14" s="38" t="s">
        <v>33</v>
      </c>
      <c r="N14" s="15"/>
      <c r="O14" s="15"/>
      <c r="P14" s="15"/>
      <c r="Q14" s="41"/>
    </row>
    <row r="15" spans="1:17" ht="15">
      <c r="A15" s="16" t="s">
        <v>34</v>
      </c>
      <c r="B15" s="12" t="s">
        <v>15</v>
      </c>
      <c r="C15" s="24" t="s">
        <v>35</v>
      </c>
      <c r="E15" s="2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43"/>
    </row>
    <row r="16" spans="1:17">
      <c r="A16" s="16" t="s">
        <v>36</v>
      </c>
      <c r="B16" s="12" t="s">
        <v>15</v>
      </c>
      <c r="C16" s="13"/>
      <c r="E16" s="26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44"/>
    </row>
    <row r="17" spans="1:17" ht="15">
      <c r="A17" s="16" t="s">
        <v>37</v>
      </c>
      <c r="B17" s="12" t="s">
        <v>15</v>
      </c>
      <c r="C17" s="13"/>
      <c r="E17" s="28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</row>
    <row r="18" spans="1:17" ht="15">
      <c r="A18" s="16" t="s">
        <v>38</v>
      </c>
      <c r="B18" s="12" t="s">
        <v>15</v>
      </c>
      <c r="C18" s="13"/>
      <c r="E18" s="29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</row>
    <row r="19" spans="1:17">
      <c r="A19" s="16" t="s">
        <v>39</v>
      </c>
      <c r="B19" s="12" t="s">
        <v>15</v>
      </c>
      <c r="C19" s="13"/>
      <c r="E19" s="155"/>
      <c r="F19" s="155"/>
      <c r="G19" s="155"/>
      <c r="H19" s="155"/>
      <c r="I19" s="155"/>
      <c r="J19" s="155"/>
      <c r="K19" s="155"/>
      <c r="L19" s="155"/>
      <c r="M19" s="155"/>
      <c r="N19" s="155"/>
      <c r="O19" s="155"/>
      <c r="P19" s="155"/>
      <c r="Q19" s="155"/>
    </row>
    <row r="20" spans="1:17" ht="25.5">
      <c r="A20" s="16" t="s">
        <v>40</v>
      </c>
      <c r="B20" s="12" t="s">
        <v>15</v>
      </c>
      <c r="C20" s="13"/>
      <c r="E20" s="155"/>
      <c r="F20" s="155"/>
      <c r="G20" s="155"/>
      <c r="H20" s="155"/>
      <c r="I20" s="155"/>
      <c r="J20" s="155"/>
      <c r="K20" s="155"/>
      <c r="L20" s="155"/>
      <c r="M20" s="155"/>
      <c r="N20" s="155"/>
      <c r="O20" s="155"/>
      <c r="P20" s="155"/>
      <c r="Q20" s="155"/>
    </row>
    <row r="21" spans="1:17">
      <c r="A21" s="16" t="s">
        <v>41</v>
      </c>
      <c r="B21" s="12" t="s">
        <v>15</v>
      </c>
      <c r="C21" s="13"/>
      <c r="E21" s="155"/>
      <c r="F21" s="155"/>
      <c r="G21" s="155"/>
      <c r="H21" s="155"/>
      <c r="I21" s="155"/>
      <c r="J21" s="155"/>
      <c r="K21" s="155"/>
      <c r="L21" s="155"/>
      <c r="M21" s="155"/>
      <c r="N21" s="155"/>
      <c r="O21" s="155"/>
      <c r="P21" s="155"/>
      <c r="Q21" s="155"/>
    </row>
    <row r="22" spans="1:17">
      <c r="A22" s="6" t="s">
        <v>42</v>
      </c>
      <c r="B22" s="30"/>
      <c r="C22" s="31"/>
      <c r="E22" s="155"/>
      <c r="F22" s="155"/>
      <c r="G22" s="155"/>
      <c r="H22" s="155"/>
      <c r="I22" s="155"/>
      <c r="J22" s="155"/>
      <c r="K22" s="155"/>
      <c r="L22" s="155"/>
      <c r="M22" s="155"/>
      <c r="N22" s="155"/>
      <c r="O22" s="155"/>
      <c r="P22" s="155"/>
      <c r="Q22" s="155"/>
    </row>
    <row r="23" spans="1:17" ht="38.25">
      <c r="A23" s="16" t="s">
        <v>43</v>
      </c>
      <c r="B23" s="12" t="s">
        <v>44</v>
      </c>
      <c r="C23" s="13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</row>
    <row r="24" spans="1:17" ht="15">
      <c r="A24" s="16" t="s">
        <v>45</v>
      </c>
      <c r="B24" s="12" t="s">
        <v>15</v>
      </c>
      <c r="C24" s="13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</row>
    <row r="25" spans="1:17" ht="15">
      <c r="A25" s="16" t="s">
        <v>46</v>
      </c>
      <c r="B25" s="12" t="s">
        <v>15</v>
      </c>
      <c r="C25" s="13"/>
      <c r="E25" s="29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</row>
    <row r="26" spans="1:17">
      <c r="A26" s="16" t="s">
        <v>47</v>
      </c>
      <c r="B26" s="12" t="s">
        <v>15</v>
      </c>
      <c r="C26" s="1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</row>
    <row r="27" spans="1:17" ht="15">
      <c r="A27" s="16" t="s">
        <v>48</v>
      </c>
      <c r="B27" s="12" t="s">
        <v>15</v>
      </c>
      <c r="C27" s="13"/>
      <c r="E27" s="34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</row>
    <row r="28" spans="1:17" ht="15">
      <c r="A28" s="16" t="s">
        <v>49</v>
      </c>
      <c r="B28" s="12" t="s">
        <v>15</v>
      </c>
      <c r="C28" s="13"/>
      <c r="E28" s="35"/>
      <c r="F28" s="35"/>
      <c r="G28" s="35"/>
      <c r="H28" s="35"/>
      <c r="I28" s="35"/>
      <c r="J28" s="35"/>
      <c r="K28" s="35"/>
      <c r="L28" s="35"/>
      <c r="M28" s="39"/>
      <c r="N28" s="5"/>
      <c r="O28" s="5"/>
      <c r="P28" s="5"/>
      <c r="Q28" s="5"/>
    </row>
    <row r="29" spans="1:17" ht="15">
      <c r="A29" s="16" t="s">
        <v>50</v>
      </c>
      <c r="B29" s="12" t="s">
        <v>15</v>
      </c>
      <c r="C29" s="13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</row>
    <row r="30" spans="1:17" ht="15">
      <c r="A30" s="16" t="s">
        <v>51</v>
      </c>
      <c r="B30" s="12" t="s">
        <v>15</v>
      </c>
      <c r="C30" s="13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</row>
    <row r="31" spans="1:17" ht="38.25">
      <c r="A31" s="16" t="s">
        <v>52</v>
      </c>
      <c r="B31" s="12" t="s">
        <v>53</v>
      </c>
      <c r="C31" s="13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</row>
    <row r="32" spans="1:17" ht="15">
      <c r="A32" s="6" t="s">
        <v>54</v>
      </c>
      <c r="B32" s="30"/>
      <c r="C32" s="31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</row>
    <row r="33" spans="1:3">
      <c r="A33" s="16" t="s">
        <v>55</v>
      </c>
      <c r="B33" s="12" t="s">
        <v>15</v>
      </c>
      <c r="C33" s="13"/>
    </row>
    <row r="34" spans="1:3">
      <c r="A34" s="16" t="s">
        <v>56</v>
      </c>
      <c r="B34" s="12" t="s">
        <v>15</v>
      </c>
      <c r="C34" s="13"/>
    </row>
    <row r="35" spans="1:3">
      <c r="A35" s="16" t="s">
        <v>57</v>
      </c>
      <c r="B35" s="12" t="s">
        <v>15</v>
      </c>
      <c r="C35" s="13"/>
    </row>
    <row r="36" spans="1:3">
      <c r="A36" s="16" t="s">
        <v>58</v>
      </c>
      <c r="B36" s="12" t="s">
        <v>15</v>
      </c>
      <c r="C36" s="13"/>
    </row>
    <row r="37" spans="1:3" ht="76.5">
      <c r="A37" s="16" t="s">
        <v>59</v>
      </c>
      <c r="B37" s="12" t="s">
        <v>15</v>
      </c>
      <c r="C37" s="24" t="s">
        <v>60</v>
      </c>
    </row>
    <row r="38" spans="1:3" ht="38.25">
      <c r="A38" s="16" t="s">
        <v>61</v>
      </c>
      <c r="B38" s="12" t="s">
        <v>15</v>
      </c>
      <c r="C38" s="24" t="s">
        <v>62</v>
      </c>
    </row>
    <row r="39" spans="1:3">
      <c r="A39" s="6" t="s">
        <v>63</v>
      </c>
      <c r="B39" s="30"/>
      <c r="C39" s="31"/>
    </row>
    <row r="40" spans="1:3" ht="25.5">
      <c r="A40" s="16" t="s">
        <v>64</v>
      </c>
      <c r="B40" s="12" t="s">
        <v>15</v>
      </c>
      <c r="C40" s="13"/>
    </row>
    <row r="41" spans="1:3">
      <c r="A41" s="16" t="s">
        <v>65</v>
      </c>
      <c r="B41" s="12" t="s">
        <v>15</v>
      </c>
      <c r="C41" s="13"/>
    </row>
    <row r="42" spans="1:3" ht="25.5">
      <c r="A42" s="16" t="s">
        <v>66</v>
      </c>
      <c r="B42" s="12" t="s">
        <v>15</v>
      </c>
      <c r="C42" s="13"/>
    </row>
    <row r="43" spans="1:3" ht="25.5">
      <c r="A43" s="16" t="s">
        <v>67</v>
      </c>
      <c r="B43" s="12" t="s">
        <v>15</v>
      </c>
      <c r="C43" s="13"/>
    </row>
    <row r="44" spans="1:3">
      <c r="A44" s="16" t="s">
        <v>68</v>
      </c>
      <c r="B44" s="12" t="s">
        <v>15</v>
      </c>
      <c r="C44" s="13"/>
    </row>
    <row r="45" spans="1:3" ht="25.5">
      <c r="A45" s="16" t="s">
        <v>69</v>
      </c>
      <c r="B45" s="12" t="s">
        <v>15</v>
      </c>
      <c r="C45" s="13"/>
    </row>
    <row r="46" spans="1:3">
      <c r="A46" s="6" t="s">
        <v>70</v>
      </c>
      <c r="B46" s="30"/>
      <c r="C46" s="31"/>
    </row>
    <row r="47" spans="1:3">
      <c r="A47" s="16" t="s">
        <v>1</v>
      </c>
      <c r="B47" s="12" t="s">
        <v>15</v>
      </c>
      <c r="C47" s="13"/>
    </row>
    <row r="48" spans="1:3">
      <c r="A48" s="16" t="s">
        <v>2</v>
      </c>
      <c r="B48" s="12" t="s">
        <v>15</v>
      </c>
      <c r="C48" s="13"/>
    </row>
    <row r="49" spans="1:3">
      <c r="A49" s="16" t="s">
        <v>3</v>
      </c>
      <c r="B49" s="12" t="s">
        <v>15</v>
      </c>
      <c r="C49" s="13"/>
    </row>
    <row r="50" spans="1:3">
      <c r="A50" s="16" t="s">
        <v>4</v>
      </c>
      <c r="B50" s="12" t="s">
        <v>15</v>
      </c>
      <c r="C50" s="13"/>
    </row>
    <row r="51" spans="1:3" ht="38.25">
      <c r="A51" s="16" t="s">
        <v>5</v>
      </c>
      <c r="B51" s="12" t="s">
        <v>44</v>
      </c>
      <c r="C51" s="13"/>
    </row>
    <row r="52" spans="1:3" ht="25.5">
      <c r="A52" s="16" t="s">
        <v>6</v>
      </c>
      <c r="B52" s="12" t="s">
        <v>15</v>
      </c>
      <c r="C52" s="36" t="s">
        <v>71</v>
      </c>
    </row>
    <row r="53" spans="1:3">
      <c r="A53" s="16" t="s">
        <v>7</v>
      </c>
      <c r="B53" s="12" t="s">
        <v>15</v>
      </c>
      <c r="C53" s="13"/>
    </row>
    <row r="54" spans="1:3" ht="38.25">
      <c r="A54" s="16" t="s">
        <v>8</v>
      </c>
      <c r="B54" s="12" t="s">
        <v>53</v>
      </c>
      <c r="C54" s="13"/>
    </row>
    <row r="55" spans="1:3" ht="25.5">
      <c r="A55" s="6" t="s">
        <v>72</v>
      </c>
      <c r="B55" s="30"/>
      <c r="C55" s="31"/>
    </row>
    <row r="56" spans="1:3" ht="25.5">
      <c r="A56" s="16" t="s">
        <v>73</v>
      </c>
      <c r="B56" s="12" t="s">
        <v>15</v>
      </c>
      <c r="C56" s="13"/>
    </row>
    <row r="57" spans="1:3" ht="25.5">
      <c r="A57" s="16" t="s">
        <v>74</v>
      </c>
      <c r="B57" s="12" t="s">
        <v>15</v>
      </c>
      <c r="C57" s="13"/>
    </row>
    <row r="58" spans="1:3" ht="25.5">
      <c r="A58" s="16" t="s">
        <v>75</v>
      </c>
      <c r="B58" s="12" t="s">
        <v>15</v>
      </c>
      <c r="C58" s="13"/>
    </row>
    <row r="59" spans="1:3" ht="25.5">
      <c r="A59" s="16" t="s">
        <v>76</v>
      </c>
      <c r="B59" s="12" t="s">
        <v>15</v>
      </c>
      <c r="C59" s="13"/>
    </row>
    <row r="60" spans="1:3">
      <c r="A60" s="16" t="s">
        <v>77</v>
      </c>
      <c r="B60" s="12" t="s">
        <v>78</v>
      </c>
      <c r="C60" s="13"/>
    </row>
    <row r="61" spans="1:3">
      <c r="A61" s="16" t="s">
        <v>79</v>
      </c>
      <c r="B61" s="12" t="s">
        <v>78</v>
      </c>
      <c r="C61" s="13"/>
    </row>
    <row r="62" spans="1:3" ht="63.75">
      <c r="A62" s="16" t="s">
        <v>80</v>
      </c>
      <c r="B62" s="12" t="s">
        <v>81</v>
      </c>
      <c r="C62" s="13"/>
    </row>
    <row r="63" spans="1:3" ht="25.5">
      <c r="A63" s="16" t="s">
        <v>82</v>
      </c>
      <c r="B63" s="12" t="s">
        <v>15</v>
      </c>
      <c r="C63" s="13"/>
    </row>
    <row r="64" spans="1:3" ht="25.5">
      <c r="A64" s="6" t="s">
        <v>83</v>
      </c>
      <c r="B64" s="30"/>
      <c r="C64" s="31"/>
    </row>
    <row r="65" spans="1:3" ht="25.5">
      <c r="A65" s="16" t="s">
        <v>84</v>
      </c>
      <c r="B65" s="12" t="s">
        <v>15</v>
      </c>
      <c r="C65" s="13"/>
    </row>
    <row r="66" spans="1:3" ht="25.5">
      <c r="A66" s="16" t="s">
        <v>85</v>
      </c>
      <c r="B66" s="12" t="s">
        <v>15</v>
      </c>
      <c r="C66" s="13"/>
    </row>
    <row r="67" spans="1:3" ht="25.5">
      <c r="A67" s="16" t="s">
        <v>86</v>
      </c>
      <c r="B67" s="12" t="s">
        <v>15</v>
      </c>
      <c r="C67" s="13"/>
    </row>
    <row r="68" spans="1:3" ht="25.5">
      <c r="A68" s="16" t="s">
        <v>87</v>
      </c>
      <c r="B68" s="12" t="s">
        <v>15</v>
      </c>
      <c r="C68" s="13"/>
    </row>
    <row r="69" spans="1:3">
      <c r="A69" s="16" t="s">
        <v>88</v>
      </c>
      <c r="B69" s="12" t="s">
        <v>78</v>
      </c>
      <c r="C69" s="13"/>
    </row>
    <row r="70" spans="1:3">
      <c r="A70" s="16" t="s">
        <v>89</v>
      </c>
      <c r="B70" s="12" t="s">
        <v>78</v>
      </c>
      <c r="C70" s="13"/>
    </row>
    <row r="71" spans="1:3" ht="63.75">
      <c r="A71" s="16" t="s">
        <v>90</v>
      </c>
      <c r="B71" s="12" t="s">
        <v>81</v>
      </c>
      <c r="C71" s="13"/>
    </row>
    <row r="72" spans="1:3" ht="25.5">
      <c r="A72" s="16" t="s">
        <v>91</v>
      </c>
      <c r="B72" s="12" t="s">
        <v>15</v>
      </c>
      <c r="C72" s="13"/>
    </row>
    <row r="73" spans="1:3">
      <c r="A73" s="6" t="s">
        <v>92</v>
      </c>
      <c r="B73" s="30"/>
      <c r="C73" s="31"/>
    </row>
    <row r="74" spans="1:3">
      <c r="A74" s="16" t="s">
        <v>93</v>
      </c>
      <c r="B74" s="12" t="s">
        <v>78</v>
      </c>
      <c r="C74" s="13"/>
    </row>
    <row r="75" spans="1:3" ht="51">
      <c r="A75" s="16" t="s">
        <v>94</v>
      </c>
      <c r="B75" s="12" t="s">
        <v>78</v>
      </c>
      <c r="C75" s="24" t="s">
        <v>95</v>
      </c>
    </row>
    <row r="76" spans="1:3">
      <c r="A76" s="16" t="s">
        <v>96</v>
      </c>
      <c r="B76" s="12" t="s">
        <v>78</v>
      </c>
      <c r="C76" s="13"/>
    </row>
    <row r="77" spans="1:3">
      <c r="A77" s="16" t="s">
        <v>97</v>
      </c>
      <c r="B77" s="12" t="s">
        <v>78</v>
      </c>
      <c r="C77" s="13"/>
    </row>
    <row r="78" spans="1:3">
      <c r="A78" s="16" t="s">
        <v>98</v>
      </c>
      <c r="B78" s="12" t="s">
        <v>78</v>
      </c>
      <c r="C78" s="13"/>
    </row>
    <row r="79" spans="1:3">
      <c r="A79" s="6" t="s">
        <v>99</v>
      </c>
      <c r="B79" s="30"/>
      <c r="C79" s="31"/>
    </row>
    <row r="80" spans="1:3">
      <c r="A80" s="16" t="s">
        <v>100</v>
      </c>
      <c r="B80" s="12" t="s">
        <v>78</v>
      </c>
      <c r="C80" s="13"/>
    </row>
    <row r="81" spans="1:3" ht="63.75">
      <c r="A81" s="16" t="s">
        <v>101</v>
      </c>
      <c r="B81" s="12" t="s">
        <v>78</v>
      </c>
      <c r="C81" s="24" t="s">
        <v>102</v>
      </c>
    </row>
    <row r="82" spans="1:3">
      <c r="A82" s="16" t="s">
        <v>103</v>
      </c>
      <c r="B82" s="12" t="s">
        <v>78</v>
      </c>
      <c r="C82" s="13"/>
    </row>
    <row r="83" spans="1:3" ht="25.5">
      <c r="A83" s="16" t="s">
        <v>104</v>
      </c>
      <c r="B83" s="12" t="s">
        <v>78</v>
      </c>
      <c r="C83" s="24" t="s">
        <v>105</v>
      </c>
    </row>
    <row r="84" spans="1:3">
      <c r="A84" s="16" t="s">
        <v>106</v>
      </c>
      <c r="B84" s="12" t="s">
        <v>78</v>
      </c>
      <c r="C84" s="13"/>
    </row>
    <row r="85" spans="1:3">
      <c r="A85" s="16" t="s">
        <v>107</v>
      </c>
      <c r="B85" s="12" t="s">
        <v>78</v>
      </c>
      <c r="C85" s="13"/>
    </row>
    <row r="86" spans="1:3">
      <c r="A86" s="16" t="s">
        <v>108</v>
      </c>
      <c r="B86" s="12" t="s">
        <v>78</v>
      </c>
      <c r="C86" s="13"/>
    </row>
    <row r="87" spans="1:3">
      <c r="A87" s="16" t="s">
        <v>109</v>
      </c>
      <c r="B87" s="12" t="s">
        <v>78</v>
      </c>
      <c r="C87" s="13"/>
    </row>
    <row r="88" spans="1:3">
      <c r="A88" s="16" t="s">
        <v>110</v>
      </c>
      <c r="B88" s="12" t="s">
        <v>78</v>
      </c>
      <c r="C88" s="13"/>
    </row>
    <row r="89" spans="1:3">
      <c r="A89" s="16" t="s">
        <v>111</v>
      </c>
      <c r="B89" s="12" t="s">
        <v>78</v>
      </c>
      <c r="C89" s="13"/>
    </row>
    <row r="90" spans="1:3">
      <c r="A90" s="16" t="s">
        <v>112</v>
      </c>
      <c r="B90" s="12" t="s">
        <v>78</v>
      </c>
      <c r="C90" s="13"/>
    </row>
    <row r="91" spans="1:3">
      <c r="A91" s="16" t="s">
        <v>113</v>
      </c>
      <c r="B91" s="12" t="s">
        <v>78</v>
      </c>
      <c r="C91" s="13"/>
    </row>
    <row r="92" spans="1:3">
      <c r="A92" s="16" t="s">
        <v>114</v>
      </c>
      <c r="B92" s="12" t="s">
        <v>78</v>
      </c>
      <c r="C92" s="13"/>
    </row>
    <row r="93" spans="1:3" ht="25.5">
      <c r="A93" s="16" t="s">
        <v>115</v>
      </c>
      <c r="B93" s="12" t="s">
        <v>78</v>
      </c>
      <c r="C93" s="13"/>
    </row>
    <row r="94" spans="1:3" ht="25.5">
      <c r="A94" s="16" t="s">
        <v>116</v>
      </c>
      <c r="B94" s="12" t="s">
        <v>78</v>
      </c>
      <c r="C94" s="13"/>
    </row>
    <row r="95" spans="1:3" ht="25.5">
      <c r="A95" s="16" t="s">
        <v>117</v>
      </c>
      <c r="B95" s="12" t="s">
        <v>78</v>
      </c>
      <c r="C95" s="24" t="s">
        <v>118</v>
      </c>
    </row>
    <row r="96" spans="1:3">
      <c r="A96" s="6" t="s">
        <v>119</v>
      </c>
      <c r="B96" s="30"/>
      <c r="C96" s="31"/>
    </row>
    <row r="97" spans="1:3">
      <c r="A97" s="16" t="s">
        <v>120</v>
      </c>
      <c r="B97" s="12" t="s">
        <v>78</v>
      </c>
      <c r="C97" s="13"/>
    </row>
    <row r="98" spans="1:3">
      <c r="A98" s="16" t="s">
        <v>121</v>
      </c>
      <c r="B98" s="12" t="s">
        <v>78</v>
      </c>
      <c r="C98" s="13"/>
    </row>
    <row r="99" spans="1:3">
      <c r="A99" s="16" t="s">
        <v>122</v>
      </c>
      <c r="B99" s="12" t="s">
        <v>78</v>
      </c>
      <c r="C99" s="13"/>
    </row>
    <row r="100" spans="1:3">
      <c r="A100" s="16" t="s">
        <v>123</v>
      </c>
      <c r="B100" s="12" t="s">
        <v>78</v>
      </c>
      <c r="C100" s="13"/>
    </row>
    <row r="101" spans="1:3">
      <c r="A101" s="16" t="s">
        <v>124</v>
      </c>
      <c r="B101" s="12" t="s">
        <v>78</v>
      </c>
      <c r="C101" s="13"/>
    </row>
    <row r="102" spans="1:3">
      <c r="A102" s="6" t="s">
        <v>125</v>
      </c>
      <c r="B102" s="30"/>
      <c r="C102" s="31"/>
    </row>
    <row r="103" spans="1:3">
      <c r="A103" s="16" t="s">
        <v>126</v>
      </c>
      <c r="B103" s="12" t="s">
        <v>78</v>
      </c>
      <c r="C103" s="13"/>
    </row>
    <row r="104" spans="1:3">
      <c r="A104" s="16" t="s">
        <v>127</v>
      </c>
      <c r="B104" s="12" t="s">
        <v>15</v>
      </c>
      <c r="C104" s="13"/>
    </row>
    <row r="105" spans="1:3">
      <c r="A105" s="6" t="s">
        <v>128</v>
      </c>
      <c r="B105" s="30"/>
      <c r="C105" s="31"/>
    </row>
    <row r="106" spans="1:3">
      <c r="A106" s="16" t="s">
        <v>129</v>
      </c>
      <c r="B106" s="12" t="s">
        <v>15</v>
      </c>
      <c r="C106" s="13"/>
    </row>
    <row r="107" spans="1:3">
      <c r="A107" s="16" t="s">
        <v>130</v>
      </c>
      <c r="B107" s="12" t="s">
        <v>15</v>
      </c>
      <c r="C107" s="13"/>
    </row>
    <row r="108" spans="1:3">
      <c r="A108" s="16" t="s">
        <v>131</v>
      </c>
      <c r="B108" s="12" t="s">
        <v>15</v>
      </c>
      <c r="C108" s="13"/>
    </row>
    <row r="109" spans="1:3">
      <c r="A109" s="16" t="s">
        <v>132</v>
      </c>
      <c r="B109" s="12" t="s">
        <v>15</v>
      </c>
      <c r="C109" s="13"/>
    </row>
    <row r="110" spans="1:3">
      <c r="A110" s="16" t="s">
        <v>133</v>
      </c>
      <c r="B110" s="12" t="s">
        <v>15</v>
      </c>
      <c r="C110" s="13"/>
    </row>
    <row r="111" spans="1:3">
      <c r="A111" s="16" t="s">
        <v>134</v>
      </c>
      <c r="B111" s="12" t="s">
        <v>15</v>
      </c>
      <c r="C111" s="13"/>
    </row>
    <row r="112" spans="1:3">
      <c r="A112" s="6" t="s">
        <v>135</v>
      </c>
      <c r="B112" s="30"/>
      <c r="C112" s="31"/>
    </row>
    <row r="113" spans="1:3">
      <c r="A113" s="16" t="s">
        <v>136</v>
      </c>
      <c r="B113" s="12" t="s">
        <v>15</v>
      </c>
      <c r="C113" s="13"/>
    </row>
    <row r="114" spans="1:3">
      <c r="A114" s="16" t="s">
        <v>137</v>
      </c>
      <c r="B114" s="12" t="s">
        <v>15</v>
      </c>
      <c r="C114" s="13"/>
    </row>
    <row r="115" spans="1:3">
      <c r="A115" s="16" t="s">
        <v>138</v>
      </c>
      <c r="B115" s="12" t="s">
        <v>15</v>
      </c>
      <c r="C115" s="13"/>
    </row>
    <row r="116" spans="1:3">
      <c r="A116" s="6" t="s">
        <v>139</v>
      </c>
      <c r="B116" s="30"/>
      <c r="C116" s="31"/>
    </row>
    <row r="117" spans="1:3" ht="25.5">
      <c r="A117" s="16" t="s">
        <v>140</v>
      </c>
      <c r="B117" s="12" t="s">
        <v>15</v>
      </c>
      <c r="C117" s="13"/>
    </row>
    <row r="118" spans="1:3">
      <c r="A118" s="16" t="s">
        <v>141</v>
      </c>
      <c r="B118" s="12" t="s">
        <v>15</v>
      </c>
      <c r="C118" s="13"/>
    </row>
    <row r="119" spans="1:3">
      <c r="A119" s="16" t="s">
        <v>142</v>
      </c>
      <c r="B119" s="12" t="s">
        <v>15</v>
      </c>
      <c r="C119" s="13"/>
    </row>
    <row r="120" spans="1:3">
      <c r="A120" s="6" t="s">
        <v>143</v>
      </c>
      <c r="B120" s="30"/>
      <c r="C120" s="31"/>
    </row>
    <row r="121" spans="1:3">
      <c r="A121" s="16" t="s">
        <v>144</v>
      </c>
      <c r="B121" s="12" t="s">
        <v>145</v>
      </c>
      <c r="C121" s="13"/>
    </row>
    <row r="122" spans="1:3">
      <c r="A122" s="16" t="s">
        <v>146</v>
      </c>
      <c r="B122" s="12" t="s">
        <v>147</v>
      </c>
      <c r="C122" s="13"/>
    </row>
    <row r="123" spans="1:3">
      <c r="A123" s="6" t="s">
        <v>148</v>
      </c>
      <c r="B123" s="30"/>
      <c r="C123" s="31"/>
    </row>
    <row r="124" spans="1:3">
      <c r="A124" s="16" t="s">
        <v>149</v>
      </c>
      <c r="B124" s="12" t="s">
        <v>78</v>
      </c>
      <c r="C124" s="13"/>
    </row>
    <row r="125" spans="1:3">
      <c r="A125" s="16" t="s">
        <v>150</v>
      </c>
      <c r="B125" s="12" t="s">
        <v>78</v>
      </c>
      <c r="C125" s="13"/>
    </row>
    <row r="126" spans="1:3" ht="25.5">
      <c r="A126" s="6" t="s">
        <v>151</v>
      </c>
      <c r="B126" s="30"/>
      <c r="C126" s="31"/>
    </row>
    <row r="127" spans="1:3">
      <c r="A127" s="16" t="s">
        <v>152</v>
      </c>
      <c r="B127" s="12" t="s">
        <v>78</v>
      </c>
      <c r="C127" s="13"/>
    </row>
    <row r="128" spans="1:3">
      <c r="A128" s="16" t="s">
        <v>153</v>
      </c>
      <c r="B128" s="12" t="s">
        <v>78</v>
      </c>
      <c r="C128" s="13"/>
    </row>
    <row r="129" spans="1:3">
      <c r="A129" s="6" t="s">
        <v>154</v>
      </c>
      <c r="B129" s="30"/>
      <c r="C129" s="31"/>
    </row>
    <row r="130" spans="1:3" ht="51">
      <c r="A130" s="16" t="s">
        <v>155</v>
      </c>
      <c r="B130" s="45" t="s">
        <v>156</v>
      </c>
      <c r="C130" s="13"/>
    </row>
    <row r="131" spans="1:3" ht="51">
      <c r="A131" s="16" t="s">
        <v>157</v>
      </c>
      <c r="B131" s="45" t="s">
        <v>156</v>
      </c>
      <c r="C131" s="13"/>
    </row>
    <row r="132" spans="1:3" ht="51">
      <c r="A132" s="16" t="s">
        <v>158</v>
      </c>
      <c r="B132" s="45" t="s">
        <v>156</v>
      </c>
      <c r="C132" s="13"/>
    </row>
    <row r="133" spans="1:3" ht="38.25">
      <c r="A133" s="16" t="s">
        <v>159</v>
      </c>
      <c r="B133" s="45" t="s">
        <v>160</v>
      </c>
      <c r="C133" s="13"/>
    </row>
    <row r="134" spans="1:3">
      <c r="A134" s="16" t="s">
        <v>161</v>
      </c>
      <c r="B134" s="45" t="s">
        <v>162</v>
      </c>
      <c r="C134" s="13"/>
    </row>
    <row r="135" spans="1:3">
      <c r="A135" s="16" t="s">
        <v>163</v>
      </c>
      <c r="B135" s="45" t="s">
        <v>164</v>
      </c>
      <c r="C135" s="13"/>
    </row>
    <row r="136" spans="1:3">
      <c r="A136" s="16" t="s">
        <v>165</v>
      </c>
      <c r="B136" s="45" t="s">
        <v>166</v>
      </c>
      <c r="C136" s="13"/>
    </row>
    <row r="137" spans="1:3">
      <c r="A137" s="16" t="s">
        <v>167</v>
      </c>
      <c r="B137" s="45" t="s">
        <v>168</v>
      </c>
      <c r="C137" s="13"/>
    </row>
    <row r="138" spans="1:3">
      <c r="A138" s="16" t="s">
        <v>169</v>
      </c>
      <c r="B138" s="45" t="s">
        <v>170</v>
      </c>
      <c r="C138" s="13"/>
    </row>
    <row r="139" spans="1:3">
      <c r="A139" s="16" t="s">
        <v>171</v>
      </c>
      <c r="B139" s="45" t="s">
        <v>170</v>
      </c>
      <c r="C139" s="13"/>
    </row>
    <row r="140" spans="1:3">
      <c r="A140" s="16" t="s">
        <v>172</v>
      </c>
      <c r="B140" s="45" t="s">
        <v>170</v>
      </c>
      <c r="C140" s="13"/>
    </row>
    <row r="141" spans="1:3">
      <c r="A141" s="6" t="s">
        <v>173</v>
      </c>
      <c r="B141" s="30"/>
      <c r="C141" s="31"/>
    </row>
    <row r="142" spans="1:3">
      <c r="A142" s="16" t="s">
        <v>174</v>
      </c>
      <c r="B142" s="12" t="s">
        <v>15</v>
      </c>
      <c r="C142" s="13"/>
    </row>
    <row r="143" spans="1:3">
      <c r="A143" s="16" t="s">
        <v>175</v>
      </c>
      <c r="B143" s="12" t="s">
        <v>15</v>
      </c>
      <c r="C143" s="13"/>
    </row>
    <row r="144" spans="1:3">
      <c r="A144" s="6" t="s">
        <v>176</v>
      </c>
      <c r="B144" s="30"/>
      <c r="C144" s="31"/>
    </row>
    <row r="145" spans="1:3">
      <c r="A145" s="16" t="s">
        <v>177</v>
      </c>
      <c r="B145" s="12" t="s">
        <v>15</v>
      </c>
      <c r="C145" s="13"/>
    </row>
    <row r="146" spans="1:3">
      <c r="A146" s="16" t="s">
        <v>178</v>
      </c>
      <c r="B146" s="12" t="s">
        <v>15</v>
      </c>
      <c r="C146" s="13"/>
    </row>
    <row r="147" spans="1:3">
      <c r="A147" s="16" t="s">
        <v>179</v>
      </c>
      <c r="B147" s="12" t="s">
        <v>15</v>
      </c>
      <c r="C147" s="13"/>
    </row>
    <row r="148" spans="1:3">
      <c r="A148" s="16" t="s">
        <v>180</v>
      </c>
      <c r="B148" s="12" t="s">
        <v>15</v>
      </c>
      <c r="C148" s="13"/>
    </row>
    <row r="149" spans="1:3">
      <c r="A149" s="16" t="s">
        <v>181</v>
      </c>
      <c r="B149" s="12" t="s">
        <v>15</v>
      </c>
      <c r="C149" s="13"/>
    </row>
    <row r="150" spans="1:3">
      <c r="A150" s="16" t="s">
        <v>182</v>
      </c>
      <c r="B150" s="12" t="s">
        <v>15</v>
      </c>
      <c r="C150" s="13"/>
    </row>
    <row r="151" spans="1:3">
      <c r="A151" s="16" t="s">
        <v>183</v>
      </c>
      <c r="B151" s="12" t="s">
        <v>15</v>
      </c>
      <c r="C151" s="13"/>
    </row>
    <row r="152" spans="1:3">
      <c r="A152" s="16" t="s">
        <v>184</v>
      </c>
      <c r="B152" s="12" t="s">
        <v>15</v>
      </c>
      <c r="C152" s="13"/>
    </row>
    <row r="153" spans="1:3">
      <c r="A153" s="16" t="s">
        <v>185</v>
      </c>
      <c r="B153" s="12" t="s">
        <v>15</v>
      </c>
      <c r="C153" s="13"/>
    </row>
    <row r="154" spans="1:3">
      <c r="A154" s="16" t="s">
        <v>186</v>
      </c>
      <c r="B154" s="12" t="s">
        <v>15</v>
      </c>
      <c r="C154" s="13"/>
    </row>
    <row r="155" spans="1:3" ht="25.5">
      <c r="A155" s="16" t="s">
        <v>187</v>
      </c>
      <c r="B155" s="12" t="s">
        <v>15</v>
      </c>
      <c r="C155" s="13"/>
    </row>
    <row r="156" spans="1:3">
      <c r="A156" s="16" t="s">
        <v>188</v>
      </c>
      <c r="B156" s="12" t="s">
        <v>15</v>
      </c>
      <c r="C156" s="13"/>
    </row>
    <row r="241" spans="5:7" ht="15">
      <c r="E241" s="5"/>
      <c r="F241" s="5"/>
      <c r="G241" s="5"/>
    </row>
    <row r="242" spans="5:7" ht="15">
      <c r="E242" s="5"/>
      <c r="F242" s="5"/>
      <c r="G242" s="5"/>
    </row>
    <row r="243" spans="5:7" ht="15">
      <c r="E243" s="5"/>
      <c r="F243" s="5"/>
      <c r="G243" s="46"/>
    </row>
    <row r="244" spans="5:7" ht="15">
      <c r="E244" s="5"/>
      <c r="F244" s="5"/>
      <c r="G244" s="46"/>
    </row>
    <row r="245" spans="5:7" ht="15">
      <c r="E245" s="5"/>
      <c r="F245" s="5"/>
      <c r="G245" s="46"/>
    </row>
    <row r="246" spans="5:7" ht="15">
      <c r="E246" s="5"/>
      <c r="F246" s="5"/>
      <c r="G246" s="46"/>
    </row>
    <row r="247" spans="5:7" ht="15">
      <c r="E247" s="5"/>
      <c r="F247" s="5"/>
      <c r="G247" s="46"/>
    </row>
    <row r="248" spans="5:7" ht="15">
      <c r="E248" s="5"/>
      <c r="F248" s="5"/>
      <c r="G248" s="46"/>
    </row>
    <row r="249" spans="5:7" ht="15">
      <c r="E249" s="5"/>
      <c r="F249" s="5"/>
      <c r="G249" s="46"/>
    </row>
    <row r="250" spans="5:7" ht="15">
      <c r="E250" s="5"/>
      <c r="F250" s="5"/>
      <c r="G250" s="46"/>
    </row>
    <row r="251" spans="5:7" ht="15">
      <c r="E251" s="5"/>
      <c r="F251" s="5"/>
      <c r="G251" s="46"/>
    </row>
    <row r="252" spans="5:7" ht="15">
      <c r="E252" s="5"/>
      <c r="F252" s="5"/>
      <c r="G252" s="46"/>
    </row>
    <row r="253" spans="5:7" ht="15">
      <c r="E253" s="5"/>
      <c r="F253" s="5"/>
      <c r="G253" s="46"/>
    </row>
    <row r="254" spans="5:7" ht="15">
      <c r="E254" s="5"/>
      <c r="F254" s="5"/>
      <c r="G254" s="46"/>
    </row>
    <row r="255" spans="5:7" ht="15">
      <c r="E255" s="5"/>
      <c r="F255" s="5"/>
      <c r="G255" s="46"/>
    </row>
    <row r="256" spans="5:7" ht="15">
      <c r="E256" s="5"/>
      <c r="F256" s="5"/>
      <c r="G256" s="46"/>
    </row>
    <row r="257" spans="5:7" ht="15">
      <c r="E257" s="5"/>
      <c r="F257" s="5"/>
      <c r="G257" s="46"/>
    </row>
    <row r="258" spans="5:7" ht="15">
      <c r="E258" s="5"/>
      <c r="F258" s="5"/>
      <c r="G258" s="46"/>
    </row>
    <row r="259" spans="5:7" ht="15">
      <c r="E259" s="5"/>
      <c r="F259" s="5"/>
      <c r="G259" s="46"/>
    </row>
    <row r="260" spans="5:7" ht="15">
      <c r="E260" s="5"/>
      <c r="F260" s="5"/>
      <c r="G260" s="46"/>
    </row>
    <row r="261" spans="5:7" ht="15">
      <c r="E261" s="5"/>
      <c r="F261" s="5"/>
      <c r="G261" s="46"/>
    </row>
    <row r="262" spans="5:7" ht="15">
      <c r="E262" s="5"/>
      <c r="F262" s="5"/>
      <c r="G262" s="46"/>
    </row>
    <row r="263" spans="5:7" ht="15">
      <c r="E263" s="5"/>
      <c r="F263" s="5"/>
      <c r="G263" s="46"/>
    </row>
    <row r="264" spans="5:7" ht="15">
      <c r="E264" s="5"/>
      <c r="F264" s="5"/>
      <c r="G264" s="46"/>
    </row>
    <row r="265" spans="5:7" ht="15">
      <c r="E265" s="5"/>
      <c r="F265" s="5"/>
      <c r="G265" s="46"/>
    </row>
    <row r="266" spans="5:7" ht="15">
      <c r="E266" s="5"/>
      <c r="F266" s="5"/>
      <c r="G266" s="5"/>
    </row>
    <row r="267" spans="5:7" ht="15">
      <c r="E267" s="5"/>
      <c r="F267" s="5"/>
      <c r="G267" s="5"/>
    </row>
    <row r="268" spans="5:7" ht="15">
      <c r="E268" s="5"/>
      <c r="F268" s="5"/>
      <c r="G268" s="5"/>
    </row>
    <row r="269" spans="5:7" ht="15">
      <c r="E269" s="5"/>
      <c r="F269" s="5"/>
      <c r="G269" s="5"/>
    </row>
    <row r="270" spans="5:7" ht="15">
      <c r="E270" s="5"/>
      <c r="F270" s="5"/>
      <c r="G270" s="5"/>
    </row>
    <row r="271" spans="5:7" ht="15">
      <c r="E271" s="5"/>
      <c r="F271" s="5"/>
      <c r="G271" s="5"/>
    </row>
    <row r="272" spans="5:7" ht="15">
      <c r="E272" s="5"/>
      <c r="F272" s="5"/>
      <c r="G272" s="5"/>
    </row>
    <row r="353" spans="5:5" ht="15">
      <c r="E353" s="5"/>
    </row>
    <row r="354" spans="5:5" ht="15">
      <c r="E354" s="5"/>
    </row>
    <row r="355" spans="5:5" ht="15">
      <c r="E355" s="5"/>
    </row>
    <row r="356" spans="5:5" ht="15">
      <c r="E356" s="5"/>
    </row>
    <row r="358" spans="5:5" ht="15">
      <c r="E358" s="5"/>
    </row>
    <row r="360" spans="5:5" ht="15">
      <c r="E360" s="5"/>
    </row>
    <row r="362" spans="5:5" ht="15">
      <c r="E362" s="5"/>
    </row>
    <row r="365" spans="5:5" ht="15">
      <c r="E365" s="5"/>
    </row>
    <row r="366" spans="5:5" ht="15">
      <c r="E366" s="5"/>
    </row>
    <row r="367" spans="5:5" ht="15">
      <c r="E367" s="5"/>
    </row>
    <row r="368" spans="5:5" ht="15">
      <c r="E368" s="5"/>
    </row>
  </sheetData>
  <mergeCells count="2">
    <mergeCell ref="E19:Q22"/>
    <mergeCell ref="E5:Q9"/>
  </mergeCells>
  <hyperlinks>
    <hyperlink ref="M14" r:id="rId1"/>
  </hyperlinks>
  <pageMargins left="0.69930555555555995" right="0.69930555555555995" top="0.75" bottom="0.75" header="0.3" footer="0.3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CB2FA32736C43AC084F52A14A15D9" ma:contentTypeVersion="14" ma:contentTypeDescription="Create a new document." ma:contentTypeScope="" ma:versionID="1a6720ead80e480c91f34080a39462cc">
  <xsd:schema xmlns:xsd="http://www.w3.org/2001/XMLSchema" xmlns:xs="http://www.w3.org/2001/XMLSchema" xmlns:p="http://schemas.microsoft.com/office/2006/metadata/properties" xmlns:ns2="b26cac7a-f046-4518-bb94-83afcd16cb5c" xmlns:ns3="19f101f2-dc01-4042-8e40-12d7763a2d52" targetNamespace="http://schemas.microsoft.com/office/2006/metadata/properties" ma:root="true" ma:fieldsID="52d9d806f04e3e810ee04ea678d81a94" ns2:_="" ns3:_="">
    <xsd:import namespace="b26cac7a-f046-4518-bb94-83afcd16cb5c"/>
    <xsd:import namespace="19f101f2-dc01-4042-8e40-12d7763a2d5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cac7a-f046-4518-bb94-83afcd16cb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101f2-dc01-4042-8e40-12d7763a2d5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19f101f2-dc01-4042-8e40-12d7763a2d52">
      <UserInfo>
        <DisplayName>Kumaran KV</DisplayName>
        <AccountId>227</AccountId>
        <AccountType/>
      </UserInfo>
      <UserInfo>
        <DisplayName>Kalpesh Jain</DisplayName>
        <AccountId>1933</AccountId>
        <AccountType/>
      </UserInfo>
      <UserInfo>
        <DisplayName>Logeswaran C</DisplayName>
        <AccountId>176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0A7A392F-F524-4A60-8A38-C11F214F628B}">
  <ds:schemaRefs/>
</ds:datastoreItem>
</file>

<file path=customXml/itemProps2.xml><?xml version="1.0" encoding="utf-8"?>
<ds:datastoreItem xmlns:ds="http://schemas.openxmlformats.org/officeDocument/2006/customXml" ds:itemID="{E0CA5442-C2DA-43F1-A162-45733585A7FC}">
  <ds:schemaRefs/>
</ds:datastoreItem>
</file>

<file path=customXml/itemProps3.xml><?xml version="1.0" encoding="utf-8"?>
<ds:datastoreItem xmlns:ds="http://schemas.openxmlformats.org/officeDocument/2006/customXml" ds:itemID="{02797C48-CC81-4B8D-8032-B370D450D1E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Stock Item</vt:lpstr>
      <vt:lpstr>NLBS-DATA</vt:lpstr>
      <vt:lpstr>Result</vt:lpstr>
      <vt:lpstr>Stock Item (Read Me)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Dang</dc:creator>
  <cp:lastModifiedBy>Brijesh</cp:lastModifiedBy>
  <dcterms:created xsi:type="dcterms:W3CDTF">2023-07-04T06:39:00Z</dcterms:created>
  <dcterms:modified xsi:type="dcterms:W3CDTF">2025-03-29T09:16:06Z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0x010100CDDCB2FA32736C43AC084F52A14A15D9</vt:lpwstr>
  </property>
  <property fmtid="{D5CDD505-2E9C-101B-9397-08002B2CF9AE}" pid="3" name="KSOProductBuildVer">
    <vt:lpwstr>1033-...</vt:lpwstr>
  </property>
</Properties>
</file>
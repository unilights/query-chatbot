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Result!$A$1:$N$14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9" i="23" l="1"/>
  <c r="M17" i="23" l="1"/>
  <c r="L9" i="23"/>
  <c r="M16" i="23" l="1"/>
  <c r="L12" i="23"/>
  <c r="M12" i="23" s="1"/>
  <c r="M10" i="23"/>
  <c r="M9" i="23"/>
  <c r="Q8" i="23"/>
  <c r="L8" i="23" s="1"/>
  <c r="M8" i="23" s="1"/>
  <c r="Q7" i="23"/>
  <c r="M7" i="23" s="1"/>
  <c r="M15" i="23"/>
  <c r="L14" i="23"/>
  <c r="M14" i="23" s="1"/>
  <c r="M11" i="23"/>
  <c r="Q2" i="23"/>
  <c r="L2" i="23" s="1"/>
  <c r="M2" i="23" s="1"/>
  <c r="C3" i="24" l="1"/>
  <c r="D4" i="24" l="1"/>
  <c r="H5" i="24" l="1"/>
  <c r="D15" i="23" s="1"/>
  <c r="F12" i="23" s="1"/>
  <c r="G3" i="24"/>
  <c r="G4" i="24" s="1"/>
  <c r="H3" i="24" l="1"/>
  <c r="H4" i="24" s="1"/>
  <c r="F3" i="24"/>
  <c r="A2" i="23" l="1"/>
  <c r="A15" i="23" s="1"/>
  <c r="E3" i="24"/>
  <c r="D3" i="24"/>
  <c r="H8" i="24" l="1"/>
  <c r="I3" i="24"/>
  <c r="I7" i="24" s="1"/>
  <c r="H7" i="24" l="1"/>
  <c r="H6" i="24"/>
  <c r="F13" i="23" s="1"/>
  <c r="I6" i="24"/>
  <c r="I8" i="24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<sst xmlns="http://schemas.openxmlformats.org/spreadsheetml/2006/main" count="583" uniqueCount="300">
  <si>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</si>
  <si>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</si>
  <si>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</si>
  <si>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</si>
  <si>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</si>
  <si>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</si>
  <si>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</si>
  <si>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</si>
  <si>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</si>
  <si>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</si>
  <si>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</si>
  <si>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</si>
  <si>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</si>
  <si>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</si>
  <si>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</si>
  <si>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</si>
  <si>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</si>
  <si>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</si>
  <si>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</si>
  <si>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</si>
  <si>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</si>
  <si>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</si>
  <si>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</si>
  <si>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</si>
  <si>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</si>
  <si>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</si>
  <si>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</si>
  <si>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</si>
  <si>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</si>
  <si>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</si>
  <si>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</si>
  <si>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</si>
  <si>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</si>
  <si>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</si>
  <si>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</si>
  <si>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</si>
  <si>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</si>
  <si>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</si>
  <si>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</si>
  <si>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</si>
  <si>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</si>
  <si>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</si>
  <si>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</si>
  <si>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</si>
  <si>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</si>
  <si>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</si>
  <si>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</si>
  <si>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</si>
  <si>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</si>
  <si>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</si>
  <si>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</si>
  <si>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</si>
  <si>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</si>
  <si>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</si>
  <si>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</si>
  <si>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</si>
  <si>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</si>
  <si>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</si>
  <si>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</si>
  <si>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</si>
  <si>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</si>
  <si>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</si>
  <si>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</si>
  <si>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</si>
  <si>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</si>
  <si>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</si>
  <si>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</si>
  <si>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</si>
  <si>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</si>
  <si>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</si>
  <si>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</si>
  <si>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</si>
  <si>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</si>
  <si>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</si>
  <si>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</si>
  <si>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</si>
  <si>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</si>
  <si>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</si>
  <si>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</si>
  <si>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</si>
  <si>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</si>
  <si>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</si>
  <si>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</si>
  <si>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</si>
  <si>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</si>
  <si>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</si>
  <si>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</si>
  <si>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</si>
  <si>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</si>
  <si>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</si>
  <si>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</si>
  <si>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</si>
  <si>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</si>
  <si>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</si>
  <si>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</si>
  <si>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</si>
  <si>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</si>
  <si>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</si>
  <si>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</si>
  <si>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</si>
  <si>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</si>
  <si>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</si>
  <si>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</si>
  <si>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</si>
  <si>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</si>
  <si>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</si>
  <si>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</si>
  <si>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</si>
  <si>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</si>
  <si>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</si>
  <si>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</si>
  <si>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</si>
  <si>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</si>
  <si>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</si>
  <si>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</si>
  <si>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</si>
  <si>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</si>
  <si>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</si>
  <si>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</si>
  <si>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</si>
  <si>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</si>
  <si>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</si>
  <si>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</si>
  <si>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</si>
  <si>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</si>
  <si>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</si>
  <si>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</si>
  <si>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</si>
  <si>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</si>
  <si>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</si>
  <si>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</si>
  <si>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</si>
  <si>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</si>
  <si>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</si>
  <si>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</si>
  <si>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</si>
  <si>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</si>
  <si>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</si>
  <si>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</si>
  <si>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</si>
  <si>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</si>
  <si>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</si>
  <si>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</si>
  <si>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</si>
  <si>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</si>
  <si>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</si>
  <si>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</si>
  <si>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</si>
  <si>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</si>
  <si>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</si>
  <si>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</si>
  <si>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</si>
  <si>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</si>
  <si>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</si>
  <si>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</si>
  <si>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</si>
  <si>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</si>
  <si>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</si>
  <si>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</si>
  <si>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</si>
  <si>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</si>
  <si>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</si>
  <si>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</si>
  <si>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</si>
  <si>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</si>
  <si>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</si>
  <si>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</si>
  <si>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</si>
  <si>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</si>
  <si>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</si>
  <si>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</si>
  <si>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</si>
  <si>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</si>
  <si>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</si>
  <si>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</si>
  <si>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</si>
  <si>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</si>
  <si>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</si>
  <si>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</si>
  <si>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</si>
  <si>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</si>
  <si>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</si>
  <si>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</si>
  <si>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</si>
  <si>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</si>
  <si>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</si>
  <si>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</si>
  <si>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</si>
  <si>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</si>
  <si>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</si>
  <si>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</si>
  <si>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</si>
  <si>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</si>
  <si>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</si>
  <si>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</si>
  <si>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</si>
  <si>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</si>
  <si>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</si>
  <si>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</si>
  <si>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</si>
  <si>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</si>
  <si>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</si>
  <si>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</si>
  <si>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</si>
  <si>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</si>
  <si>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</si>
  <si>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</si>
  <si>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M</t>
  </si>
  <si>
    <t>Mechanical Store</t>
  </si>
  <si>
    <t>-</t>
  </si>
  <si>
    <t>-I</t>
  </si>
  <si>
    <t>MOUNTING TRIM</t>
  </si>
  <si>
    <t>Electronics Store</t>
  </si>
  <si>
    <t>50-</t>
  </si>
  <si>
    <t>27-</t>
  </si>
  <si>
    <t>30-</t>
  </si>
  <si>
    <t>40-</t>
  </si>
  <si>
    <t>-T</t>
  </si>
  <si>
    <t>-BT</t>
  </si>
  <si>
    <t>Refl. OD-90 ID-80 H-29mm</t>
  </si>
  <si>
    <t>Diff. OD-90 T-1mm</t>
  </si>
  <si>
    <t>End Cap-OD-116 H-15.3 Les-10mm</t>
  </si>
  <si>
    <t>60-</t>
  </si>
  <si>
    <t>Down Light Series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</si>
  <si>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</si>
  <si>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</si>
  <si>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</si>
  <si>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</si>
  <si>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</si>
  <si>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</si>
  <si>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</si>
  <si>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</si>
  <si>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</si>
  <si>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</si>
  <si>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Fixture</t>
  </si>
  <si>
    <t>Beam Angle</t>
  </si>
  <si>
    <t>Color Temp</t>
  </si>
  <si>
    <t>Driving System</t>
  </si>
  <si>
    <t>DSDR15F60</t>
  </si>
  <si>
    <t>White</t>
  </si>
  <si>
    <t>Flood - 95°</t>
  </si>
  <si>
    <t>6000K</t>
  </si>
  <si>
    <t>Constant Current</t>
  </si>
  <si>
    <t>DSDR15F40</t>
  </si>
  <si>
    <t>4000K</t>
  </si>
  <si>
    <t>DSDR15F30</t>
  </si>
  <si>
    <t>3000K</t>
  </si>
  <si>
    <t>DSDR15F60T</t>
  </si>
  <si>
    <t>TRIAC Dimming</t>
  </si>
  <si>
    <t>DSDR15F40T</t>
  </si>
  <si>
    <t>DSDR15F30T</t>
  </si>
  <si>
    <t>DSDR15F60BT</t>
  </si>
  <si>
    <t>Bluetooth Dimming</t>
  </si>
  <si>
    <t>DSDR15F40BT</t>
  </si>
  <si>
    <t>DSDR15F30BT</t>
  </si>
  <si>
    <t>DSDR15F60I</t>
  </si>
  <si>
    <t>DALI Dimming</t>
  </si>
  <si>
    <t>DSDR15F40I</t>
  </si>
  <si>
    <t>DSDR15F30I</t>
  </si>
  <si>
    <t>HS Surface 20W Round White (Gumi) DSDR15W</t>
  </si>
  <si>
    <t>Screw No. 4X6.5mm Self Pan Combi. PH - SS</t>
  </si>
  <si>
    <t>PS 15W 225mA 60V Maxic(PCB LT-MX-20W-V2)</t>
  </si>
  <si>
    <t>Sleeve  M4mm fiber glass white</t>
  </si>
  <si>
    <t>PS -15W  45V  260mA-DALI</t>
  </si>
  <si>
    <t>PS -15W  45V  260mA-TRAIC</t>
  </si>
  <si>
    <t>PS -15W  45V  260mA -BT</t>
  </si>
  <si>
    <t>Conn. 2pin Ass.wire Black Male (Small)</t>
  </si>
  <si>
    <t>LED SMD 2835-100mA 9V 6000K</t>
  </si>
  <si>
    <t>LED SMD 2835-100mA 9V 4000K</t>
  </si>
  <si>
    <t>LED SMD 2835-100mA 9V 3000K</t>
  </si>
  <si>
    <t>LED SMD 2835 100mA 9V 2700K</t>
  </si>
  <si>
    <t>Wire  0.5sqmm 2 core wire L -200mm</t>
  </si>
  <si>
    <t>Gromment 133</t>
  </si>
  <si>
    <t>Screw M3x6mm CSK Head SS</t>
  </si>
  <si>
    <t>LED SMD 2835-100mA 9V 5000K</t>
  </si>
  <si>
    <t>DSDR15F50</t>
  </si>
  <si>
    <t>5000K</t>
  </si>
  <si>
    <t>PCB DCLR15N-30</t>
  </si>
  <si>
    <t>DSDB15F60</t>
  </si>
  <si>
    <t>DSDB15F40</t>
  </si>
  <si>
    <t>DSDB15F30</t>
  </si>
  <si>
    <t>DSDB15F50</t>
  </si>
  <si>
    <t>DSDB15F60T</t>
  </si>
  <si>
    <t>DSDB15F40T</t>
  </si>
  <si>
    <t>DSDB15F30T</t>
  </si>
  <si>
    <t>DSDB15F60BT</t>
  </si>
  <si>
    <t>DSDB15F40BT</t>
  </si>
  <si>
    <t>DSDB15F30BT</t>
  </si>
  <si>
    <t>DSDB15F60I</t>
  </si>
  <si>
    <t>DSDB15F40I</t>
  </si>
  <si>
    <t>DSDB15F30I</t>
  </si>
  <si>
    <t>R</t>
  </si>
  <si>
    <t>HS Surface 20W Round Black (Gumi) DSDR15W</t>
  </si>
  <si>
    <t>Unit Price</t>
  </si>
  <si>
    <t>USD</t>
  </si>
  <si>
    <t>INS&amp;FRED</t>
  </si>
  <si>
    <t>BCD</t>
  </si>
  <si>
    <t>Total Cost</t>
  </si>
  <si>
    <t>PS Rate Mention with Total Amt</t>
  </si>
  <si>
    <t>DSDR15-CC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</si>
</sst>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&quot;$&quot;#,##0.000"/>
    <numFmt numFmtId="166" formatCode="_ [$Rs.-4009]\ * #,##0.00_ ;_ [$Rs.-4009]\ * \-#,##0.00_ ;_ [$Rs.-4009]\ * &quot;-&quot;??_ ;_ @_ "/>
    <numFmt numFmtId="167" formatCode="_-[$Rs-420]* #,##0.00_-;_-[$Rs-420]* #,##0.00\-;_-[$Rs-420]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23" fillId="0" borderId="0"/>
  </cellStyleXfs>
  <cellXfs count="128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0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49" fontId="3" fillId="0" borderId="14" xfId="2" applyNumberFormat="1" applyBorder="1"/>
    <xf numFmtId="0" fontId="3" fillId="10" borderId="1" xfId="0" applyFont="1" applyFill="1" applyBorder="1"/>
    <xf numFmtId="0" fontId="0" fillId="10" borderId="1" xfId="0" applyFill="1" applyBorder="1"/>
    <xf numFmtId="0" fontId="23" fillId="0" borderId="0" xfId="4"/>
    <xf numFmtId="0" fontId="3" fillId="9" borderId="1" xfId="0" applyFont="1" applyFill="1" applyBorder="1"/>
    <xf numFmtId="0" fontId="22" fillId="10" borderId="0" xfId="0" applyFont="1" applyFill="1" applyAlignment="1">
      <alignment vertical="center" wrapText="1"/>
    </xf>
    <xf numFmtId="0" fontId="0" fillId="0" borderId="1" xfId="0" applyBorder="1" applyAlignment="1"/>
    <xf numFmtId="0" fontId="0" fillId="10" borderId="1" xfId="0" applyFill="1" applyBorder="1" applyAlignment="1"/>
    <xf numFmtId="0" fontId="0" fillId="0" borderId="0" xfId="0" applyAlignment="1"/>
    <xf numFmtId="0" fontId="3" fillId="6" borderId="1" xfId="0" applyFont="1" applyFill="1" applyBorder="1"/>
    <xf numFmtId="0" fontId="3" fillId="0" borderId="1" xfId="4" applyFont="1" applyBorder="1" applyAlignment="1">
      <alignment horizontal="left"/>
    </xf>
    <xf numFmtId="0" fontId="21" fillId="0" borderId="0" xfId="4" applyFont="1"/>
    <xf numFmtId="0" fontId="2" fillId="0" borderId="1" xfId="2" applyFont="1" applyBorder="1"/>
    <xf numFmtId="0" fontId="0" fillId="0" borderId="1" xfId="0" applyBorder="1" applyAlignment="1">
      <alignment horizont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166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66" fontId="25" fillId="0" borderId="1" xfId="0" applyNumberFormat="1" applyFont="1" applyBorder="1" applyAlignment="1">
      <alignment horizontal="center" vertical="center"/>
    </xf>
    <xf numFmtId="0" fontId="25" fillId="0" borderId="0" xfId="0" applyFont="1" applyBorder="1"/>
    <xf numFmtId="165" fontId="25" fillId="0" borderId="17" xfId="0" applyNumberFormat="1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9" fontId="25" fillId="0" borderId="17" xfId="0" applyNumberFormat="1" applyFont="1" applyBorder="1" applyAlignment="1">
      <alignment horizontal="center" vertical="center"/>
    </xf>
    <xf numFmtId="9" fontId="25" fillId="0" borderId="15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164" fontId="25" fillId="0" borderId="17" xfId="0" applyNumberFormat="1" applyFont="1" applyBorder="1" applyAlignment="1">
      <alignment horizontal="center" vertical="center"/>
    </xf>
    <xf numFmtId="164" fontId="25" fillId="0" borderId="15" xfId="0" applyNumberFormat="1" applyFont="1" applyBorder="1" applyAlignment="1">
      <alignment horizontal="center" vertical="center"/>
    </xf>
    <xf numFmtId="164" fontId="25" fillId="0" borderId="6" xfId="0" applyNumberFormat="1" applyFont="1" applyBorder="1" applyAlignment="1">
      <alignment horizontal="center" vertical="center"/>
    </xf>
    <xf numFmtId="166" fontId="26" fillId="0" borderId="17" xfId="0" applyNumberFormat="1" applyFont="1" applyBorder="1" applyAlignment="1">
      <alignment horizontal="center" vertical="center"/>
    </xf>
    <xf numFmtId="166" fontId="26" fillId="0" borderId="15" xfId="0" applyNumberFormat="1" applyFont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166" fontId="26" fillId="0" borderId="1" xfId="0" applyNumberFormat="1" applyFont="1" applyBorder="1"/>
    <xf numFmtId="166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27" fillId="6" borderId="18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right" vertical="center"/>
    </xf>
    <xf numFmtId="0" fontId="9" fillId="11" borderId="14" xfId="0" applyFont="1" applyFill="1" applyBorder="1" applyAlignment="1">
      <alignment horizontal="right" vertical="center"/>
    </xf>
    <xf numFmtId="167" fontId="24" fillId="11" borderId="1" xfId="0" applyNumberFormat="1" applyFont="1" applyFill="1" applyBorder="1" applyAlignment="1">
      <alignment horizontal="center" vertical="center"/>
    </xf>
    <xf numFmtId="0" fontId="1" fillId="0" borderId="1" xfId="0" applyFont="1" applyBorder="1"/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G1" zoomScale="96" zoomScaleNormal="96" workbookViewId="0">
      <selection activeCell="L20" sqref="L20"/>
    </sheetView>
  </sheetViews>
  <sheetFormatPr defaultColWidth="9" defaultRowHeight="15"/>
  <cols>
    <col min="1" max="1" width="14.7109375" customWidth="1"/>
    <col min="2" max="2" width="17.28515625" customWidth="1"/>
    <col min="3" max="3" width="8.28515625" customWidth="1"/>
    <col min="4" max="4" width="24.42578125" style="82" customWidth="1"/>
    <col min="5" max="5" width="20.42578125" customWidth="1"/>
    <col min="6" max="6" width="42.28515625" customWidth="1"/>
    <col min="7" max="7" width="28" customWidth="1"/>
    <col min="8" max="8" width="27.7109375" hidden="1" customWidth="1"/>
    <col min="9" max="9" width="31.28515625" hidden="1" customWidth="1"/>
    <col min="10" max="10" width="27.7109375" hidden="1" customWidth="1"/>
    <col min="11" max="11" width="27.7109375" customWidth="1"/>
    <col min="12" max="13" width="11.5703125" customWidth="1"/>
    <col min="15" max="15" width="11" customWidth="1"/>
    <col min="17" max="17" width="9.71093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7" t="s">
        <v>293</v>
      </c>
      <c r="M1" s="97" t="s">
        <v>193</v>
      </c>
      <c r="N1" s="98" t="s">
        <v>294</v>
      </c>
      <c r="O1" s="99" t="s">
        <v>295</v>
      </c>
      <c r="P1" s="99" t="s">
        <v>296</v>
      </c>
      <c r="Q1" s="98" t="s">
        <v>297</v>
      </c>
    </row>
    <row r="2" spans="1:17">
      <c r="A2" s="49" t="str">
        <f>$D$2</f>
        <v>DSDR15F30</v>
      </c>
      <c r="B2" s="49" t="s">
        <v>206</v>
      </c>
      <c r="C2" s="49" t="s">
        <v>189</v>
      </c>
      <c r="D2" s="79" t="s">
        <v>245</v>
      </c>
      <c r="E2" s="49">
        <v>1</v>
      </c>
      <c r="F2" s="60" t="str">
        <f>'Backend data'!C6</f>
        <v>HS Surface 20W Round White (Gumi) DSDR15W</v>
      </c>
      <c r="G2" s="104">
        <v>1</v>
      </c>
      <c r="H2" s="49" t="s">
        <v>208</v>
      </c>
      <c r="I2" s="49" t="s">
        <v>9</v>
      </c>
      <c r="J2" s="49"/>
      <c r="K2" s="49"/>
      <c r="L2" s="117">
        <f>Q2*87</f>
        <v>352.35000000000008</v>
      </c>
      <c r="M2" s="117">
        <f>G2*L2</f>
        <v>352.35000000000008</v>
      </c>
      <c r="N2" s="108">
        <v>2.7</v>
      </c>
      <c r="O2" s="111">
        <v>0.5</v>
      </c>
      <c r="P2" s="111"/>
      <c r="Q2" s="114">
        <f t="shared" ref="Q2" si="0">N2+(N2*(O2+P2))</f>
        <v>4.0500000000000007</v>
      </c>
    </row>
    <row r="3" spans="1:17">
      <c r="A3" s="49"/>
      <c r="B3" s="49"/>
      <c r="C3" s="49"/>
      <c r="D3" s="80"/>
      <c r="E3" s="49"/>
      <c r="F3" s="83" t="s">
        <v>219</v>
      </c>
      <c r="G3" s="87">
        <v>1</v>
      </c>
      <c r="H3" s="49" t="s">
        <v>208</v>
      </c>
      <c r="I3" s="49" t="s">
        <v>9</v>
      </c>
      <c r="J3" s="49"/>
      <c r="K3" s="49"/>
      <c r="L3" s="118"/>
      <c r="M3" s="118"/>
      <c r="N3" s="109"/>
      <c r="O3" s="112"/>
      <c r="P3" s="112"/>
      <c r="Q3" s="115"/>
    </row>
    <row r="4" spans="1:17">
      <c r="A4" s="49"/>
      <c r="B4" s="49"/>
      <c r="C4" s="49"/>
      <c r="D4" s="80"/>
      <c r="E4" s="49"/>
      <c r="F4" s="83" t="s">
        <v>220</v>
      </c>
      <c r="G4" s="87">
        <v>1</v>
      </c>
      <c r="H4" s="49" t="s">
        <v>208</v>
      </c>
      <c r="I4" s="49" t="s">
        <v>9</v>
      </c>
      <c r="J4" s="49"/>
      <c r="K4" s="49"/>
      <c r="L4" s="118"/>
      <c r="M4" s="118"/>
      <c r="N4" s="109"/>
      <c r="O4" s="112"/>
      <c r="P4" s="112"/>
      <c r="Q4" s="115"/>
    </row>
    <row r="5" spans="1:17">
      <c r="A5" s="49"/>
      <c r="B5" s="49"/>
      <c r="C5" s="49"/>
      <c r="D5" s="80"/>
      <c r="E5" s="49"/>
      <c r="F5" s="83" t="s">
        <v>221</v>
      </c>
      <c r="G5" s="87">
        <v>1</v>
      </c>
      <c r="H5" s="49" t="s">
        <v>208</v>
      </c>
      <c r="I5" s="49" t="s">
        <v>9</v>
      </c>
      <c r="J5" s="49"/>
      <c r="K5" s="49"/>
      <c r="L5" s="118"/>
      <c r="M5" s="118"/>
      <c r="N5" s="109"/>
      <c r="O5" s="112"/>
      <c r="P5" s="112"/>
      <c r="Q5" s="115"/>
    </row>
    <row r="6" spans="1:17">
      <c r="A6" s="49"/>
      <c r="B6" s="49"/>
      <c r="C6" s="49"/>
      <c r="D6" s="80"/>
      <c r="E6" s="49"/>
      <c r="F6" s="83" t="s">
        <v>271</v>
      </c>
      <c r="G6" s="87">
        <v>0.2</v>
      </c>
      <c r="H6" s="49" t="s">
        <v>208</v>
      </c>
      <c r="I6" s="49" t="s">
        <v>9</v>
      </c>
      <c r="J6" s="49"/>
      <c r="K6" s="49"/>
      <c r="L6" s="119"/>
      <c r="M6" s="119"/>
      <c r="N6" s="110"/>
      <c r="O6" s="113"/>
      <c r="P6" s="113"/>
      <c r="Q6" s="116"/>
    </row>
    <row r="7" spans="1:17">
      <c r="A7" s="49"/>
      <c r="B7" s="49"/>
      <c r="C7" s="49"/>
      <c r="D7" s="80"/>
      <c r="E7" s="49"/>
      <c r="F7" s="60" t="s">
        <v>272</v>
      </c>
      <c r="G7" s="87">
        <v>1</v>
      </c>
      <c r="H7" s="49" t="s">
        <v>208</v>
      </c>
      <c r="I7" s="49" t="s">
        <v>9</v>
      </c>
      <c r="J7" s="49"/>
      <c r="K7" s="49"/>
      <c r="L7" s="120">
        <v>0.85</v>
      </c>
      <c r="M7" s="120">
        <f t="shared" ref="M3:M16" si="1">G7*L7</f>
        <v>0.85</v>
      </c>
      <c r="N7" s="100">
        <v>0</v>
      </c>
      <c r="O7" s="101">
        <v>0.5</v>
      </c>
      <c r="P7" s="101"/>
      <c r="Q7" s="102">
        <f t="shared" ref="Q3:Q16" si="2">N7+(N7*(O7+P7))</f>
        <v>0</v>
      </c>
    </row>
    <row r="8" spans="1:17">
      <c r="A8" s="49"/>
      <c r="B8" s="49"/>
      <c r="C8" s="49"/>
      <c r="D8" s="80"/>
      <c r="E8" s="49"/>
      <c r="F8" s="60" t="s">
        <v>266</v>
      </c>
      <c r="G8" s="87">
        <v>1</v>
      </c>
      <c r="H8" s="49" t="s">
        <v>208</v>
      </c>
      <c r="I8" s="49" t="s">
        <v>9</v>
      </c>
      <c r="J8" s="49"/>
      <c r="K8" s="49"/>
      <c r="L8" s="120">
        <f t="shared" ref="L3:L16" si="3">Q8*87</f>
        <v>3.915</v>
      </c>
      <c r="M8" s="120">
        <f t="shared" si="1"/>
        <v>3.915</v>
      </c>
      <c r="N8" s="100">
        <v>0.03</v>
      </c>
      <c r="O8" s="101">
        <v>0.5</v>
      </c>
      <c r="P8" s="101"/>
      <c r="Q8" s="102">
        <f t="shared" si="2"/>
        <v>4.4999999999999998E-2</v>
      </c>
    </row>
    <row r="9" spans="1:17">
      <c r="A9" s="49"/>
      <c r="B9" s="49"/>
      <c r="C9" s="49"/>
      <c r="D9" s="80"/>
      <c r="E9" s="49"/>
      <c r="F9" s="60" t="s">
        <v>262</v>
      </c>
      <c r="G9" s="87">
        <v>0.15</v>
      </c>
      <c r="H9" s="49" t="s">
        <v>208</v>
      </c>
      <c r="I9" s="49" t="s">
        <v>9</v>
      </c>
      <c r="J9" s="49"/>
      <c r="K9" s="49"/>
      <c r="L9" s="106">
        <f>5.7/1000*120</f>
        <v>0.68400000000000005</v>
      </c>
      <c r="M9" s="120">
        <f t="shared" si="1"/>
        <v>0.10260000000000001</v>
      </c>
    </row>
    <row r="10" spans="1:17">
      <c r="A10" s="49"/>
      <c r="B10" s="49"/>
      <c r="C10" s="49"/>
      <c r="D10" s="80"/>
      <c r="E10" s="49"/>
      <c r="F10" s="60" t="s">
        <v>273</v>
      </c>
      <c r="G10" s="87">
        <v>3</v>
      </c>
      <c r="H10" s="49" t="s">
        <v>208</v>
      </c>
      <c r="I10" s="49" t="s">
        <v>9</v>
      </c>
      <c r="J10" s="49"/>
      <c r="K10" s="49"/>
      <c r="L10" s="120">
        <v>0.48</v>
      </c>
      <c r="M10" s="120">
        <f t="shared" si="1"/>
        <v>1.44</v>
      </c>
    </row>
    <row r="11" spans="1:17">
      <c r="A11" s="49"/>
      <c r="B11" s="49"/>
      <c r="C11" s="49"/>
      <c r="D11" s="80"/>
      <c r="E11" s="49"/>
      <c r="F11" s="60" t="s">
        <v>260</v>
      </c>
      <c r="G11" s="87">
        <v>1</v>
      </c>
      <c r="H11" s="49" t="s">
        <v>208</v>
      </c>
      <c r="I11" s="49" t="s">
        <v>9</v>
      </c>
      <c r="J11" s="49"/>
      <c r="K11" s="49"/>
      <c r="L11" s="120">
        <v>0.21</v>
      </c>
      <c r="M11" s="120">
        <f t="shared" si="1"/>
        <v>0.21</v>
      </c>
    </row>
    <row r="12" spans="1:17">
      <c r="A12" s="49"/>
      <c r="B12" s="49"/>
      <c r="C12" s="49"/>
      <c r="D12" s="80"/>
      <c r="E12" s="49"/>
      <c r="F12" s="78" t="str">
        <f>D15</f>
        <v>DSDR15F30  BOM LED PCB</v>
      </c>
      <c r="G12" s="87">
        <v>1</v>
      </c>
      <c r="H12" s="49" t="s">
        <v>208</v>
      </c>
      <c r="I12" s="49" t="s">
        <v>9</v>
      </c>
      <c r="J12" s="49"/>
      <c r="K12" s="49"/>
      <c r="L12" s="120">
        <f t="shared" si="3"/>
        <v>0</v>
      </c>
      <c r="M12" s="120">
        <f t="shared" si="1"/>
        <v>0</v>
      </c>
    </row>
    <row r="13" spans="1:17">
      <c r="A13" s="49"/>
      <c r="B13" s="49"/>
      <c r="C13" s="49"/>
      <c r="D13" s="80"/>
      <c r="E13" s="49"/>
      <c r="F13" s="75" t="str">
        <f>'Backend data'!H6</f>
        <v>PS 15W 225mA 60V Maxic(PCB LT-MX-20W-V2)</v>
      </c>
      <c r="G13" s="87">
        <v>1</v>
      </c>
      <c r="H13" s="49" t="s">
        <v>208</v>
      </c>
      <c r="I13" s="49" t="s">
        <v>9</v>
      </c>
      <c r="J13" s="49"/>
      <c r="K13" s="49"/>
      <c r="L13" s="103"/>
      <c r="M13" s="103"/>
      <c r="N13" s="107" t="s">
        <v>298</v>
      </c>
    </row>
    <row r="14" spans="1:17">
      <c r="A14" s="49"/>
      <c r="B14" s="49"/>
      <c r="C14" s="49"/>
      <c r="D14" s="80"/>
      <c r="E14" s="49"/>
      <c r="F14" s="60"/>
      <c r="G14" s="87"/>
      <c r="H14" s="49"/>
      <c r="I14" s="49"/>
      <c r="J14" s="49"/>
      <c r="K14" s="49"/>
      <c r="L14" s="121">
        <f t="shared" si="3"/>
        <v>0</v>
      </c>
      <c r="M14" s="121">
        <f t="shared" si="1"/>
        <v>0</v>
      </c>
    </row>
    <row r="15" spans="1:17">
      <c r="A15" s="76" t="str">
        <f>CONCATENATE(A2)</f>
        <v>DSDR15F30</v>
      </c>
      <c r="B15" s="76" t="s">
        <v>223</v>
      </c>
      <c r="C15" s="76"/>
      <c r="D15" s="81" t="str">
        <f>CONCATENATE('Backend data'!$H$5,"  ",'Backend data'!H10)</f>
        <v>DSDR15F30  BOM LED PCB</v>
      </c>
      <c r="E15" s="76">
        <v>1</v>
      </c>
      <c r="F15" s="75" t="str">
        <f>'Backend data'!G6</f>
        <v>LED SMD 2835-100mA 9V 3000K</v>
      </c>
      <c r="G15" s="87">
        <v>28</v>
      </c>
      <c r="H15" s="49" t="s">
        <v>212</v>
      </c>
      <c r="I15" s="49" t="s">
        <v>9</v>
      </c>
      <c r="J15" s="49"/>
      <c r="K15" s="49"/>
      <c r="L15" s="121">
        <v>0.28999999999999998</v>
      </c>
      <c r="M15" s="121">
        <f t="shared" si="1"/>
        <v>8.1199999999999992</v>
      </c>
    </row>
    <row r="16" spans="1:17">
      <c r="A16" s="49"/>
      <c r="B16" s="49"/>
      <c r="C16" s="49"/>
      <c r="D16" s="80"/>
      <c r="E16" s="49"/>
      <c r="F16" s="76" t="s">
        <v>277</v>
      </c>
      <c r="G16" s="105">
        <v>1</v>
      </c>
      <c r="H16" s="49" t="s">
        <v>212</v>
      </c>
      <c r="I16" s="49" t="s">
        <v>9</v>
      </c>
      <c r="J16" s="49"/>
      <c r="K16" s="49"/>
      <c r="L16" s="121">
        <v>9.5399999999999991</v>
      </c>
      <c r="M16" s="121">
        <f t="shared" si="1"/>
        <v>9.5399999999999991</v>
      </c>
    </row>
    <row r="17" spans="11:13" ht="21.75" customHeight="1" thickBot="1">
      <c r="L17" s="122"/>
      <c r="M17" s="123">
        <f>SUM(M2:M16)</f>
        <v>376.52760000000012</v>
      </c>
    </row>
    <row r="18" spans="11:13" ht="15.75" thickTop="1"/>
    <row r="19" spans="11:13" ht="21" customHeight="1">
      <c r="K19" s="124" t="s">
        <v>299</v>
      </c>
      <c r="L19" s="125"/>
      <c r="M19" s="126">
        <f>M17+98</f>
        <v>474.52760000000012</v>
      </c>
    </row>
  </sheetData>
  <mergeCells count="7">
    <mergeCell ref="K19:L19"/>
    <mergeCell ref="L2:L6"/>
    <mergeCell ref="M2:M6"/>
    <mergeCell ref="N2:N6"/>
    <mergeCell ref="O2:O6"/>
    <mergeCell ref="P2:P6"/>
    <mergeCell ref="Q2:Q6"/>
  </mergeCells>
  <conditionalFormatting sqref="F1 F28:F1048576">
    <cfRule type="containsText" dxfId="7" priority="16" operator="containsText" text="PS-">
      <formula>NOT(ISERROR(SEARCH("PS-",F1)))</formula>
    </cfRule>
    <cfRule type="containsText" dxfId="6" priority="19" operator="containsText" text="COB-">
      <formula>NOT(ISERROR(SEARCH("COB-",F1)))</formula>
    </cfRule>
    <cfRule type="containsText" dxfId="5" priority="21" operator="containsText" text="TRIM">
      <formula>NOT(ISERROR(SEARCH("TRIM",F1)))</formula>
    </cfRule>
  </conditionalFormatting>
  <conditionalFormatting sqref="F1:G1 F28:G1048576">
    <cfRule type="containsText" dxfId="4" priority="15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F28:G1048576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Result!$B$2:$B$27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89" t="s">
        <v>20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1:17" ht="12.6" customHeight="1">
      <c r="A6" s="16" t="s">
        <v>21</v>
      </c>
      <c r="B6" s="12" t="s">
        <v>15</v>
      </c>
      <c r="C6" s="13"/>
      <c r="E6" s="89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1"/>
    </row>
    <row r="7" spans="1:17" ht="12.6" customHeight="1">
      <c r="A7" s="16" t="s">
        <v>22</v>
      </c>
      <c r="B7" s="12" t="s">
        <v>15</v>
      </c>
      <c r="C7" s="13"/>
      <c r="E7" s="8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1"/>
    </row>
    <row r="8" spans="1:17" ht="12.6" customHeight="1">
      <c r="A8" s="16" t="s">
        <v>23</v>
      </c>
      <c r="B8" s="12" t="s">
        <v>15</v>
      </c>
      <c r="C8" s="13"/>
      <c r="E8" s="89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1"/>
    </row>
    <row r="9" spans="1:17" ht="12.95" customHeight="1">
      <c r="A9" s="16" t="s">
        <v>24</v>
      </c>
      <c r="B9" s="12" t="s">
        <v>15</v>
      </c>
      <c r="C9" s="13"/>
      <c r="E9" s="8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1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</row>
    <row r="20" spans="1:17" ht="25.5">
      <c r="A20" s="16" t="s">
        <v>40</v>
      </c>
      <c r="B20" s="12" t="s">
        <v>15</v>
      </c>
      <c r="C20" s="13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</row>
    <row r="21" spans="1:17">
      <c r="A21" s="16" t="s">
        <v>41</v>
      </c>
      <c r="B21" s="12" t="s">
        <v>15</v>
      </c>
      <c r="C21" s="13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</row>
    <row r="22" spans="1:17">
      <c r="A22" s="6" t="s">
        <v>42</v>
      </c>
      <c r="B22" s="30"/>
      <c r="C22" s="31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U17" zoomScale="89" zoomScaleNormal="89" workbookViewId="0">
      <selection activeCell="W38" sqref="W3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0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33.5703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63" t="str">
        <f>MID('Stock Item'!$D$2,4,1)</f>
        <v>R</v>
      </c>
      <c r="D3" s="52" t="str">
        <f>MID('Stock Item'!$D$2,6,2)</f>
        <v>5F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S</v>
      </c>
    </row>
    <row r="4" spans="2:9">
      <c r="D4" s="64" t="str">
        <f>CONCATENATE(C3)</f>
        <v>R</v>
      </c>
      <c r="G4" s="64" t="str">
        <f>CONCATENATE($G$3,("-"))</f>
        <v>30-</v>
      </c>
      <c r="H4" s="51" t="str">
        <f>CONCATENATE("-",H3)</f>
        <v>-</v>
      </c>
    </row>
    <row r="5" spans="2:9">
      <c r="H5" s="51" t="str">
        <f>CONCATENATE('Stock Item'!D2)</f>
        <v>DSDR15F30</v>
      </c>
    </row>
    <row r="6" spans="2:9">
      <c r="B6" s="54" t="s">
        <v>199</v>
      </c>
      <c r="C6" s="58" t="str">
        <f>VLOOKUP($C$3,$B$23:$E$72,2,0)</f>
        <v>HS Surface 20W Round White (Gumi) DSDR15W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SMD 2835-100mA 9V 3000K</v>
      </c>
      <c r="H6" s="56" t="str">
        <f>VLOOKUP($H$4,$AA$23:$AD$72,2,0)</f>
        <v>PS 15W 225mA 60V Maxic(PCB LT-MX-20W-V2)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204</v>
      </c>
    </row>
    <row r="19" spans="2:35" ht="13.9" customHeight="1"/>
    <row r="21" spans="2:35">
      <c r="B21" s="95" t="s">
        <v>194</v>
      </c>
      <c r="C21" s="96"/>
      <c r="D21" s="96"/>
      <c r="E21" s="96"/>
      <c r="G21" s="95" t="s">
        <v>211</v>
      </c>
      <c r="H21" s="96"/>
      <c r="I21" s="96"/>
      <c r="J21" s="96"/>
      <c r="L21" s="95" t="s">
        <v>195</v>
      </c>
      <c r="M21" s="96"/>
      <c r="N21" s="96"/>
      <c r="O21" s="96"/>
      <c r="Q21" s="95" t="s">
        <v>196</v>
      </c>
      <c r="R21" s="96"/>
      <c r="S21" s="96"/>
      <c r="T21" s="96"/>
      <c r="V21" s="95" t="s">
        <v>205</v>
      </c>
      <c r="W21" s="96"/>
      <c r="X21" s="96"/>
      <c r="Y21" s="96"/>
      <c r="AA21" s="92" t="s">
        <v>197</v>
      </c>
      <c r="AB21" s="93"/>
      <c r="AC21" s="93"/>
      <c r="AD21" s="94"/>
      <c r="AF21" s="92" t="s">
        <v>203</v>
      </c>
      <c r="AG21" s="93"/>
      <c r="AH21" s="93"/>
      <c r="AI21" s="94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86" t="s">
        <v>291</v>
      </c>
      <c r="C23" s="60" t="s">
        <v>259</v>
      </c>
      <c r="D23" s="70"/>
      <c r="E23" s="70"/>
      <c r="G23" s="72"/>
      <c r="H23" s="71"/>
      <c r="L23" s="69"/>
      <c r="M23" s="68"/>
      <c r="Q23" s="72" t="s">
        <v>207</v>
      </c>
      <c r="R23" s="73"/>
      <c r="V23" s="71" t="s">
        <v>214</v>
      </c>
      <c r="W23" s="84" t="s">
        <v>270</v>
      </c>
      <c r="X23" s="49"/>
      <c r="AA23" s="72" t="s">
        <v>209</v>
      </c>
      <c r="AB23" s="127" t="s">
        <v>261</v>
      </c>
      <c r="AF23" s="60"/>
      <c r="AG23" s="60"/>
    </row>
    <row r="24" spans="2:35">
      <c r="B24" s="86" t="s">
        <v>19</v>
      </c>
      <c r="C24" s="60" t="s">
        <v>292</v>
      </c>
      <c r="D24" s="70"/>
      <c r="E24" s="70"/>
      <c r="G24" s="72"/>
      <c r="H24" s="60"/>
      <c r="L24" s="65"/>
      <c r="M24" s="49"/>
      <c r="Q24" s="72"/>
      <c r="R24" s="73"/>
      <c r="V24" s="71" t="s">
        <v>215</v>
      </c>
      <c r="W24" s="84" t="s">
        <v>269</v>
      </c>
      <c r="X24" s="49"/>
      <c r="AA24" s="74" t="s">
        <v>210</v>
      </c>
      <c r="AB24" s="60" t="s">
        <v>263</v>
      </c>
      <c r="AF24" s="60"/>
      <c r="AG24" s="60"/>
    </row>
    <row r="25" spans="2:35">
      <c r="B25" s="49"/>
      <c r="C25" s="49"/>
      <c r="D25" s="70"/>
      <c r="E25" s="70"/>
      <c r="L25" s="65"/>
      <c r="M25" s="66"/>
      <c r="V25" s="71" t="s">
        <v>216</v>
      </c>
      <c r="W25" s="84" t="s">
        <v>268</v>
      </c>
      <c r="X25" s="49"/>
      <c r="AA25" s="74" t="s">
        <v>217</v>
      </c>
      <c r="AB25" s="60" t="s">
        <v>264</v>
      </c>
      <c r="AF25" s="49"/>
      <c r="AG25" s="60"/>
    </row>
    <row r="26" spans="2:35">
      <c r="L26" s="65"/>
      <c r="M26" s="49"/>
      <c r="V26" s="71" t="s">
        <v>213</v>
      </c>
      <c r="W26" s="84" t="s">
        <v>274</v>
      </c>
      <c r="X26" s="49"/>
      <c r="AA26" s="74" t="s">
        <v>218</v>
      </c>
      <c r="AB26" s="60" t="s">
        <v>265</v>
      </c>
      <c r="AF26" s="49"/>
      <c r="AG26" s="60"/>
    </row>
    <row r="27" spans="2:35">
      <c r="H27"/>
      <c r="V27" s="71" t="s">
        <v>222</v>
      </c>
      <c r="W27" s="84" t="s">
        <v>267</v>
      </c>
      <c r="X27" s="49"/>
      <c r="AA27" s="74"/>
      <c r="AB27" s="49"/>
    </row>
    <row r="28" spans="2:35">
      <c r="AA28" s="49"/>
      <c r="AB28" s="4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5 W27">
    <cfRule type="duplicateValues" dxfId="2" priority="5"/>
  </conditionalFormatting>
  <conditionalFormatting sqref="W23">
    <cfRule type="duplicateValues" dxfId="1" priority="3"/>
  </conditionalFormatting>
  <conditionalFormatting sqref="W2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B25" sqref="B25"/>
    </sheetView>
  </sheetViews>
  <sheetFormatPr defaultRowHeight="15"/>
  <cols>
    <col min="1" max="1" width="9.140625" style="77"/>
    <col min="2" max="2" width="30" style="77" customWidth="1"/>
    <col min="3" max="16384" width="9.140625" style="77"/>
  </cols>
  <sheetData>
    <row r="1" spans="1:14">
      <c r="A1" s="77" t="s">
        <v>224</v>
      </c>
      <c r="B1" s="77" t="s">
        <v>225</v>
      </c>
      <c r="C1" s="77" t="s">
        <v>226</v>
      </c>
      <c r="D1" s="77" t="s">
        <v>227</v>
      </c>
      <c r="E1" s="77" t="s">
        <v>228</v>
      </c>
      <c r="F1" s="77" t="s">
        <v>229</v>
      </c>
      <c r="G1" s="77" t="s">
        <v>230</v>
      </c>
      <c r="H1" s="77" t="s">
        <v>231</v>
      </c>
      <c r="I1" s="77" t="s">
        <v>232</v>
      </c>
      <c r="J1" s="77" t="s">
        <v>233</v>
      </c>
      <c r="K1" s="77" t="s">
        <v>234</v>
      </c>
      <c r="L1" s="77" t="s">
        <v>235</v>
      </c>
      <c r="M1" s="77" t="s">
        <v>236</v>
      </c>
      <c r="N1" s="77" t="s">
        <v>237</v>
      </c>
    </row>
    <row r="2" spans="1:14">
      <c r="A2" s="77">
        <v>149002</v>
      </c>
      <c r="B2" s="77" t="s">
        <v>238</v>
      </c>
      <c r="D2" s="77">
        <v>0</v>
      </c>
      <c r="E2" s="77">
        <v>0</v>
      </c>
      <c r="F2" s="77">
        <v>1362</v>
      </c>
      <c r="G2" s="77">
        <v>0</v>
      </c>
      <c r="H2" s="77">
        <v>0</v>
      </c>
      <c r="I2" s="77">
        <v>0</v>
      </c>
      <c r="J2" s="77">
        <v>0</v>
      </c>
      <c r="K2" s="77" t="s">
        <v>239</v>
      </c>
      <c r="L2" s="77" t="s">
        <v>240</v>
      </c>
      <c r="M2" s="77" t="s">
        <v>241</v>
      </c>
      <c r="N2" s="77" t="s">
        <v>242</v>
      </c>
    </row>
    <row r="3" spans="1:14">
      <c r="A3" s="77">
        <v>149003</v>
      </c>
      <c r="B3" s="77" t="s">
        <v>243</v>
      </c>
      <c r="D3" s="77">
        <v>0</v>
      </c>
      <c r="E3" s="77">
        <v>0</v>
      </c>
      <c r="F3" s="77">
        <v>1362</v>
      </c>
      <c r="G3" s="77">
        <v>0</v>
      </c>
      <c r="H3" s="77">
        <v>0</v>
      </c>
      <c r="I3" s="77">
        <v>0</v>
      </c>
      <c r="J3" s="77">
        <v>0</v>
      </c>
      <c r="K3" s="77" t="s">
        <v>239</v>
      </c>
      <c r="L3" s="77" t="s">
        <v>240</v>
      </c>
      <c r="M3" s="77" t="s">
        <v>244</v>
      </c>
      <c r="N3" s="77" t="s">
        <v>242</v>
      </c>
    </row>
    <row r="4" spans="1:14">
      <c r="A4" s="77">
        <v>149004</v>
      </c>
      <c r="B4" s="77" t="s">
        <v>245</v>
      </c>
      <c r="D4" s="77">
        <v>0</v>
      </c>
      <c r="E4" s="77">
        <v>0</v>
      </c>
      <c r="F4" s="77">
        <v>1362</v>
      </c>
      <c r="G4" s="77">
        <v>0</v>
      </c>
      <c r="H4" s="77">
        <v>0</v>
      </c>
      <c r="I4" s="77">
        <v>0</v>
      </c>
      <c r="J4" s="77">
        <v>0</v>
      </c>
      <c r="K4" s="77" t="s">
        <v>239</v>
      </c>
      <c r="L4" s="77" t="s">
        <v>240</v>
      </c>
      <c r="M4" s="77" t="s">
        <v>246</v>
      </c>
      <c r="N4" s="77" t="s">
        <v>242</v>
      </c>
    </row>
    <row r="5" spans="1:14">
      <c r="A5" s="77">
        <v>149005</v>
      </c>
      <c r="B5" s="85" t="s">
        <v>275</v>
      </c>
      <c r="D5" s="77">
        <v>0</v>
      </c>
      <c r="E5" s="77">
        <v>0</v>
      </c>
      <c r="F5" s="77">
        <v>1362</v>
      </c>
      <c r="G5" s="77">
        <v>0</v>
      </c>
      <c r="H5" s="77">
        <v>0</v>
      </c>
      <c r="I5" s="77">
        <v>0</v>
      </c>
      <c r="J5" s="77">
        <v>0</v>
      </c>
      <c r="K5" s="77" t="s">
        <v>239</v>
      </c>
      <c r="L5" s="77" t="s">
        <v>240</v>
      </c>
      <c r="M5" s="85" t="s">
        <v>276</v>
      </c>
      <c r="N5" s="77" t="s">
        <v>242</v>
      </c>
    </row>
    <row r="6" spans="1:14">
      <c r="A6" s="77">
        <v>149006</v>
      </c>
      <c r="B6" s="77" t="s">
        <v>247</v>
      </c>
      <c r="D6" s="77">
        <v>0</v>
      </c>
      <c r="E6" s="77">
        <v>0</v>
      </c>
      <c r="F6" s="77">
        <v>1952</v>
      </c>
      <c r="G6" s="77">
        <v>0</v>
      </c>
      <c r="H6" s="77">
        <v>0</v>
      </c>
      <c r="I6" s="77">
        <v>0</v>
      </c>
      <c r="J6" s="77">
        <v>0</v>
      </c>
      <c r="K6" s="77" t="s">
        <v>239</v>
      </c>
      <c r="L6" s="77" t="s">
        <v>240</v>
      </c>
      <c r="M6" s="77" t="s">
        <v>241</v>
      </c>
      <c r="N6" s="77" t="s">
        <v>248</v>
      </c>
    </row>
    <row r="7" spans="1:14">
      <c r="A7" s="77">
        <v>149007</v>
      </c>
      <c r="B7" s="77" t="s">
        <v>249</v>
      </c>
      <c r="D7" s="77">
        <v>0</v>
      </c>
      <c r="E7" s="77">
        <v>0</v>
      </c>
      <c r="F7" s="77">
        <v>1952</v>
      </c>
      <c r="G7" s="77">
        <v>0</v>
      </c>
      <c r="H7" s="77">
        <v>0</v>
      </c>
      <c r="I7" s="77">
        <v>0</v>
      </c>
      <c r="J7" s="77">
        <v>0</v>
      </c>
      <c r="K7" s="77" t="s">
        <v>239</v>
      </c>
      <c r="L7" s="77" t="s">
        <v>240</v>
      </c>
      <c r="M7" s="77" t="s">
        <v>244</v>
      </c>
      <c r="N7" s="77" t="s">
        <v>248</v>
      </c>
    </row>
    <row r="8" spans="1:14">
      <c r="A8" s="77">
        <v>149008</v>
      </c>
      <c r="B8" s="77" t="s">
        <v>250</v>
      </c>
      <c r="D8" s="77">
        <v>0</v>
      </c>
      <c r="E8" s="77">
        <v>0</v>
      </c>
      <c r="F8" s="77">
        <v>1952</v>
      </c>
      <c r="G8" s="77">
        <v>0</v>
      </c>
      <c r="H8" s="77">
        <v>0</v>
      </c>
      <c r="I8" s="77">
        <v>0</v>
      </c>
      <c r="J8" s="77">
        <v>0</v>
      </c>
      <c r="K8" s="77" t="s">
        <v>239</v>
      </c>
      <c r="L8" s="77" t="s">
        <v>240</v>
      </c>
      <c r="M8" s="77" t="s">
        <v>246</v>
      </c>
      <c r="N8" s="77" t="s">
        <v>248</v>
      </c>
    </row>
    <row r="9" spans="1:14">
      <c r="A9" s="77">
        <v>149009</v>
      </c>
      <c r="B9" s="77" t="s">
        <v>251</v>
      </c>
      <c r="D9" s="77">
        <v>0</v>
      </c>
      <c r="E9" s="77">
        <v>0</v>
      </c>
      <c r="F9" s="77">
        <v>2257</v>
      </c>
      <c r="G9" s="77">
        <v>0</v>
      </c>
      <c r="H9" s="77">
        <v>0</v>
      </c>
      <c r="I9" s="77">
        <v>0</v>
      </c>
      <c r="J9" s="77">
        <v>0</v>
      </c>
      <c r="K9" s="77" t="s">
        <v>239</v>
      </c>
      <c r="L9" s="77" t="s">
        <v>240</v>
      </c>
      <c r="M9" s="77" t="s">
        <v>241</v>
      </c>
      <c r="N9" s="77" t="s">
        <v>252</v>
      </c>
    </row>
    <row r="10" spans="1:14">
      <c r="A10" s="77">
        <v>149010</v>
      </c>
      <c r="B10" s="77" t="s">
        <v>253</v>
      </c>
      <c r="D10" s="77">
        <v>0</v>
      </c>
      <c r="E10" s="77">
        <v>0</v>
      </c>
      <c r="F10" s="77">
        <v>2257</v>
      </c>
      <c r="G10" s="77">
        <v>0</v>
      </c>
      <c r="H10" s="77">
        <v>0</v>
      </c>
      <c r="I10" s="77">
        <v>0</v>
      </c>
      <c r="J10" s="77">
        <v>0</v>
      </c>
      <c r="K10" s="77" t="s">
        <v>239</v>
      </c>
      <c r="L10" s="77" t="s">
        <v>240</v>
      </c>
      <c r="M10" s="77" t="s">
        <v>244</v>
      </c>
      <c r="N10" s="77" t="s">
        <v>252</v>
      </c>
    </row>
    <row r="11" spans="1:14">
      <c r="A11" s="77">
        <v>149011</v>
      </c>
      <c r="B11" s="77" t="s">
        <v>254</v>
      </c>
      <c r="D11" s="77">
        <v>0</v>
      </c>
      <c r="E11" s="77">
        <v>0</v>
      </c>
      <c r="F11" s="77">
        <v>2257</v>
      </c>
      <c r="G11" s="77">
        <v>0</v>
      </c>
      <c r="H11" s="77">
        <v>0</v>
      </c>
      <c r="I11" s="77">
        <v>0</v>
      </c>
      <c r="J11" s="77">
        <v>0</v>
      </c>
      <c r="K11" s="77" t="s">
        <v>239</v>
      </c>
      <c r="L11" s="77" t="s">
        <v>240</v>
      </c>
      <c r="M11" s="77" t="s">
        <v>246</v>
      </c>
      <c r="N11" s="77" t="s">
        <v>252</v>
      </c>
    </row>
    <row r="12" spans="1:14">
      <c r="A12" s="77">
        <v>149012</v>
      </c>
      <c r="B12" s="77" t="s">
        <v>255</v>
      </c>
      <c r="D12" s="77">
        <v>0</v>
      </c>
      <c r="E12" s="77">
        <v>0</v>
      </c>
      <c r="F12" s="77">
        <v>3524</v>
      </c>
      <c r="G12" s="77">
        <v>0</v>
      </c>
      <c r="H12" s="77">
        <v>0</v>
      </c>
      <c r="I12" s="77">
        <v>0</v>
      </c>
      <c r="J12" s="77">
        <v>0</v>
      </c>
      <c r="K12" s="77" t="s">
        <v>239</v>
      </c>
      <c r="L12" s="77" t="s">
        <v>240</v>
      </c>
      <c r="M12" s="77" t="s">
        <v>241</v>
      </c>
      <c r="N12" s="77" t="s">
        <v>256</v>
      </c>
    </row>
    <row r="13" spans="1:14">
      <c r="A13" s="77">
        <v>149013</v>
      </c>
      <c r="B13" s="77" t="s">
        <v>257</v>
      </c>
      <c r="D13" s="77">
        <v>0</v>
      </c>
      <c r="E13" s="77">
        <v>0</v>
      </c>
      <c r="F13" s="77">
        <v>3524</v>
      </c>
      <c r="G13" s="77">
        <v>0</v>
      </c>
      <c r="H13" s="77">
        <v>0</v>
      </c>
      <c r="I13" s="77">
        <v>0</v>
      </c>
      <c r="J13" s="77">
        <v>0</v>
      </c>
      <c r="K13" s="77" t="s">
        <v>239</v>
      </c>
      <c r="L13" s="77" t="s">
        <v>240</v>
      </c>
      <c r="M13" s="77" t="s">
        <v>244</v>
      </c>
      <c r="N13" s="77" t="s">
        <v>256</v>
      </c>
    </row>
    <row r="14" spans="1:14">
      <c r="A14" s="77">
        <v>149014</v>
      </c>
      <c r="B14" s="77" t="s">
        <v>258</v>
      </c>
      <c r="D14" s="77">
        <v>0</v>
      </c>
      <c r="E14" s="77">
        <v>0</v>
      </c>
      <c r="F14" s="77">
        <v>3524</v>
      </c>
      <c r="G14" s="77">
        <v>0</v>
      </c>
      <c r="H14" s="77">
        <v>0</v>
      </c>
      <c r="I14" s="77">
        <v>0</v>
      </c>
      <c r="J14" s="77">
        <v>0</v>
      </c>
      <c r="K14" s="77" t="s">
        <v>239</v>
      </c>
      <c r="L14" s="77" t="s">
        <v>240</v>
      </c>
      <c r="M14" s="77" t="s">
        <v>246</v>
      </c>
      <c r="N14" s="77" t="s">
        <v>256</v>
      </c>
    </row>
    <row r="15" spans="1:14">
      <c r="A15" s="77">
        <v>149015</v>
      </c>
      <c r="B15" s="85" t="s">
        <v>278</v>
      </c>
      <c r="D15" s="77">
        <v>0</v>
      </c>
      <c r="E15" s="77">
        <v>0</v>
      </c>
      <c r="F15" s="77">
        <v>1362</v>
      </c>
      <c r="G15" s="77">
        <v>0</v>
      </c>
      <c r="H15" s="77">
        <v>0</v>
      </c>
      <c r="I15" s="77">
        <v>0</v>
      </c>
      <c r="J15" s="77">
        <v>0</v>
      </c>
      <c r="K15" s="77" t="s">
        <v>239</v>
      </c>
      <c r="L15" s="77" t="s">
        <v>240</v>
      </c>
      <c r="M15" s="77" t="s">
        <v>241</v>
      </c>
      <c r="N15" s="77" t="s">
        <v>242</v>
      </c>
    </row>
    <row r="16" spans="1:14">
      <c r="A16" s="77">
        <v>149016</v>
      </c>
      <c r="B16" s="85" t="s">
        <v>279</v>
      </c>
      <c r="D16" s="77">
        <v>0</v>
      </c>
      <c r="E16" s="77">
        <v>0</v>
      </c>
      <c r="F16" s="77">
        <v>1362</v>
      </c>
      <c r="G16" s="77">
        <v>0</v>
      </c>
      <c r="H16" s="77">
        <v>0</v>
      </c>
      <c r="I16" s="77">
        <v>0</v>
      </c>
      <c r="J16" s="77">
        <v>0</v>
      </c>
      <c r="K16" s="77" t="s">
        <v>239</v>
      </c>
      <c r="L16" s="77" t="s">
        <v>240</v>
      </c>
      <c r="M16" s="77" t="s">
        <v>244</v>
      </c>
      <c r="N16" s="77" t="s">
        <v>242</v>
      </c>
    </row>
    <row r="17" spans="1:14">
      <c r="A17" s="77">
        <v>149017</v>
      </c>
      <c r="B17" s="85" t="s">
        <v>280</v>
      </c>
      <c r="D17" s="77">
        <v>0</v>
      </c>
      <c r="E17" s="77">
        <v>0</v>
      </c>
      <c r="F17" s="77">
        <v>1362</v>
      </c>
      <c r="G17" s="77">
        <v>0</v>
      </c>
      <c r="H17" s="77">
        <v>0</v>
      </c>
      <c r="I17" s="77">
        <v>0</v>
      </c>
      <c r="J17" s="77">
        <v>0</v>
      </c>
      <c r="K17" s="77" t="s">
        <v>239</v>
      </c>
      <c r="L17" s="77" t="s">
        <v>240</v>
      </c>
      <c r="M17" s="77" t="s">
        <v>246</v>
      </c>
      <c r="N17" s="77" t="s">
        <v>242</v>
      </c>
    </row>
    <row r="18" spans="1:14">
      <c r="A18" s="77">
        <v>149018</v>
      </c>
      <c r="B18" s="85" t="s">
        <v>281</v>
      </c>
      <c r="D18" s="77">
        <v>0</v>
      </c>
      <c r="E18" s="77">
        <v>0</v>
      </c>
      <c r="F18" s="77">
        <v>1362</v>
      </c>
      <c r="G18" s="77">
        <v>0</v>
      </c>
      <c r="H18" s="77">
        <v>0</v>
      </c>
      <c r="I18" s="77">
        <v>0</v>
      </c>
      <c r="J18" s="77">
        <v>0</v>
      </c>
      <c r="K18" s="77" t="s">
        <v>239</v>
      </c>
      <c r="L18" s="77" t="s">
        <v>240</v>
      </c>
      <c r="M18" s="85" t="s">
        <v>276</v>
      </c>
      <c r="N18" s="77" t="s">
        <v>242</v>
      </c>
    </row>
    <row r="19" spans="1:14">
      <c r="A19" s="77">
        <v>149019</v>
      </c>
      <c r="B19" s="85" t="s">
        <v>282</v>
      </c>
      <c r="D19" s="77">
        <v>0</v>
      </c>
      <c r="E19" s="77">
        <v>0</v>
      </c>
      <c r="F19" s="77">
        <v>1952</v>
      </c>
      <c r="G19" s="77">
        <v>0</v>
      </c>
      <c r="H19" s="77">
        <v>0</v>
      </c>
      <c r="I19" s="77">
        <v>0</v>
      </c>
      <c r="J19" s="77">
        <v>0</v>
      </c>
      <c r="K19" s="77" t="s">
        <v>239</v>
      </c>
      <c r="L19" s="77" t="s">
        <v>240</v>
      </c>
      <c r="M19" s="77" t="s">
        <v>241</v>
      </c>
      <c r="N19" s="77" t="s">
        <v>248</v>
      </c>
    </row>
    <row r="20" spans="1:14">
      <c r="A20" s="77">
        <v>149020</v>
      </c>
      <c r="B20" s="85" t="s">
        <v>283</v>
      </c>
      <c r="D20" s="77">
        <v>0</v>
      </c>
      <c r="E20" s="77">
        <v>0</v>
      </c>
      <c r="F20" s="77">
        <v>1952</v>
      </c>
      <c r="G20" s="77">
        <v>0</v>
      </c>
      <c r="H20" s="77">
        <v>0</v>
      </c>
      <c r="I20" s="77">
        <v>0</v>
      </c>
      <c r="J20" s="77">
        <v>0</v>
      </c>
      <c r="K20" s="77" t="s">
        <v>239</v>
      </c>
      <c r="L20" s="77" t="s">
        <v>240</v>
      </c>
      <c r="M20" s="77" t="s">
        <v>244</v>
      </c>
      <c r="N20" s="77" t="s">
        <v>248</v>
      </c>
    </row>
    <row r="21" spans="1:14">
      <c r="A21" s="77">
        <v>149021</v>
      </c>
      <c r="B21" s="85" t="s">
        <v>284</v>
      </c>
      <c r="D21" s="77">
        <v>0</v>
      </c>
      <c r="E21" s="77">
        <v>0</v>
      </c>
      <c r="F21" s="77">
        <v>1952</v>
      </c>
      <c r="G21" s="77">
        <v>0</v>
      </c>
      <c r="H21" s="77">
        <v>0</v>
      </c>
      <c r="I21" s="77">
        <v>0</v>
      </c>
      <c r="J21" s="77">
        <v>0</v>
      </c>
      <c r="K21" s="77" t="s">
        <v>239</v>
      </c>
      <c r="L21" s="77" t="s">
        <v>240</v>
      </c>
      <c r="M21" s="77" t="s">
        <v>246</v>
      </c>
      <c r="N21" s="77" t="s">
        <v>248</v>
      </c>
    </row>
    <row r="22" spans="1:14">
      <c r="A22" s="77">
        <v>149022</v>
      </c>
      <c r="B22" s="85" t="s">
        <v>285</v>
      </c>
      <c r="D22" s="77">
        <v>0</v>
      </c>
      <c r="E22" s="77">
        <v>0</v>
      </c>
      <c r="F22" s="77">
        <v>2257</v>
      </c>
      <c r="G22" s="77">
        <v>0</v>
      </c>
      <c r="H22" s="77">
        <v>0</v>
      </c>
      <c r="I22" s="77">
        <v>0</v>
      </c>
      <c r="J22" s="77">
        <v>0</v>
      </c>
      <c r="K22" s="77" t="s">
        <v>239</v>
      </c>
      <c r="L22" s="77" t="s">
        <v>240</v>
      </c>
      <c r="M22" s="77" t="s">
        <v>241</v>
      </c>
      <c r="N22" s="77" t="s">
        <v>252</v>
      </c>
    </row>
    <row r="23" spans="1:14">
      <c r="A23" s="77">
        <v>149023</v>
      </c>
      <c r="B23" s="85" t="s">
        <v>286</v>
      </c>
      <c r="D23" s="77">
        <v>0</v>
      </c>
      <c r="E23" s="77">
        <v>0</v>
      </c>
      <c r="F23" s="77">
        <v>2257</v>
      </c>
      <c r="G23" s="77">
        <v>0</v>
      </c>
      <c r="H23" s="77">
        <v>0</v>
      </c>
      <c r="I23" s="77">
        <v>0</v>
      </c>
      <c r="J23" s="77">
        <v>0</v>
      </c>
      <c r="K23" s="77" t="s">
        <v>239</v>
      </c>
      <c r="L23" s="77" t="s">
        <v>240</v>
      </c>
      <c r="M23" s="77" t="s">
        <v>244</v>
      </c>
      <c r="N23" s="77" t="s">
        <v>252</v>
      </c>
    </row>
    <row r="24" spans="1:14">
      <c r="A24" s="77">
        <v>149024</v>
      </c>
      <c r="B24" s="85" t="s">
        <v>287</v>
      </c>
      <c r="D24" s="77">
        <v>0</v>
      </c>
      <c r="E24" s="77">
        <v>0</v>
      </c>
      <c r="F24" s="77">
        <v>2257</v>
      </c>
      <c r="G24" s="77">
        <v>0</v>
      </c>
      <c r="H24" s="77">
        <v>0</v>
      </c>
      <c r="I24" s="77">
        <v>0</v>
      </c>
      <c r="J24" s="77">
        <v>0</v>
      </c>
      <c r="K24" s="77" t="s">
        <v>239</v>
      </c>
      <c r="L24" s="77" t="s">
        <v>240</v>
      </c>
      <c r="M24" s="77" t="s">
        <v>246</v>
      </c>
      <c r="N24" s="77" t="s">
        <v>252</v>
      </c>
    </row>
    <row r="25" spans="1:14">
      <c r="A25" s="77">
        <v>149025</v>
      </c>
      <c r="B25" s="85" t="s">
        <v>288</v>
      </c>
      <c r="D25" s="77">
        <v>0</v>
      </c>
      <c r="E25" s="77">
        <v>0</v>
      </c>
      <c r="F25" s="77">
        <v>3524</v>
      </c>
      <c r="G25" s="77">
        <v>0</v>
      </c>
      <c r="H25" s="77">
        <v>0</v>
      </c>
      <c r="I25" s="77">
        <v>0</v>
      </c>
      <c r="J25" s="77">
        <v>0</v>
      </c>
      <c r="K25" s="77" t="s">
        <v>239</v>
      </c>
      <c r="L25" s="77" t="s">
        <v>240</v>
      </c>
      <c r="M25" s="77" t="s">
        <v>241</v>
      </c>
      <c r="N25" s="77" t="s">
        <v>256</v>
      </c>
    </row>
    <row r="26" spans="1:14">
      <c r="A26" s="77">
        <v>149026</v>
      </c>
      <c r="B26" s="85" t="s">
        <v>289</v>
      </c>
      <c r="D26" s="77">
        <v>0</v>
      </c>
      <c r="E26" s="77">
        <v>0</v>
      </c>
      <c r="F26" s="77">
        <v>3524</v>
      </c>
      <c r="G26" s="77">
        <v>0</v>
      </c>
      <c r="H26" s="77">
        <v>0</v>
      </c>
      <c r="I26" s="77">
        <v>0</v>
      </c>
      <c r="J26" s="77">
        <v>0</v>
      </c>
      <c r="K26" s="77" t="s">
        <v>239</v>
      </c>
      <c r="L26" s="77" t="s">
        <v>240</v>
      </c>
      <c r="M26" s="77" t="s">
        <v>244</v>
      </c>
      <c r="N26" s="77" t="s">
        <v>256</v>
      </c>
    </row>
    <row r="27" spans="1:14">
      <c r="A27" s="77">
        <v>149027</v>
      </c>
      <c r="B27" s="85" t="s">
        <v>290</v>
      </c>
      <c r="D27" s="77">
        <v>0</v>
      </c>
      <c r="E27" s="77">
        <v>0</v>
      </c>
      <c r="F27" s="77">
        <v>3524</v>
      </c>
      <c r="G27" s="77">
        <v>0</v>
      </c>
      <c r="H27" s="77">
        <v>0</v>
      </c>
      <c r="I27" s="77">
        <v>0</v>
      </c>
      <c r="J27" s="77">
        <v>0</v>
      </c>
      <c r="K27" s="77" t="s">
        <v>239</v>
      </c>
      <c r="L27" s="77" t="s">
        <v>240</v>
      </c>
      <c r="M27" s="77" t="s">
        <v>246</v>
      </c>
      <c r="N27" s="77" t="s">
        <v>256</v>
      </c>
    </row>
  </sheetData>
  <autoFilter ref="A1:N1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
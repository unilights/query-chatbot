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0" windowWidth="15600" windowHeight="11040" tabRatio="597"/>
  </bookViews>
  <sheets>
    <sheet name="Stock Item" sheetId="23" r:id="rId1"/>
    <sheet name="Stock Item (Read Me)" sheetId="10" state="hidden" r:id="rId2"/>
    <sheet name="Backend data" sheetId="24" r:id="rId3"/>
    <sheet name="Result" sheetId="27" r:id="rId4"/>
  </sheets>
  <externalReferences>
    <externalReference r:id="rId5"/>
  </externalReferences>
  <definedNames>
    <definedName name="_xlnm._FilterDatabase" localSheetId="3" hidden="1">Result!$A$1:$O$43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5" i="23" l="1"/>
  <c r="L15" i="23" s="1"/>
  <c r="M15" i="23" s="1"/>
  <c r="M14" i="23"/>
  <c r="M17" i="23" s="1"/>
  <c r="L10" i="23"/>
  <c r="Q13" i="23"/>
  <c r="Q12" i="23"/>
  <c r="Q11" i="23"/>
  <c r="Q10" i="23"/>
  <c r="Q9" i="23"/>
  <c r="Q8" i="23"/>
  <c r="Q7" i="23"/>
  <c r="Q6" i="23"/>
  <c r="L6" i="23" s="1"/>
  <c r="M6" i="23" s="1"/>
  <c r="Q4" i="23"/>
  <c r="Q3" i="23"/>
  <c r="L3" i="23" s="1"/>
  <c r="M3" i="23" s="1"/>
  <c r="M13" i="23"/>
  <c r="M12" i="23"/>
  <c r="M11" i="23"/>
  <c r="M10" i="23"/>
  <c r="M9" i="23"/>
  <c r="M8" i="23"/>
  <c r="L7" i="23"/>
  <c r="M7" i="23" s="1"/>
  <c r="L4" i="23"/>
  <c r="M4" i="23" s="1"/>
  <c r="Q23" i="23" l="1"/>
  <c r="R23" i="23" s="1"/>
  <c r="Q21" i="23"/>
  <c r="R21" i="23" s="1"/>
  <c r="Q2" i="23"/>
  <c r="L2" i="23" s="1"/>
  <c r="M2" i="23" s="1"/>
  <c r="M22" i="23" l="1"/>
  <c r="M19" i="23"/>
  <c r="M24" i="23"/>
  <c r="M20" i="23"/>
  <c r="M21" i="23"/>
  <c r="M23" i="23"/>
  <c r="G3" i="24"/>
  <c r="D3" i="24"/>
  <c r="D4" i="24" s="1"/>
  <c r="F3" i="24"/>
  <c r="H3" i="24"/>
  <c r="H4" i="24" s="1"/>
  <c r="G4" i="24" l="1"/>
  <c r="H5" i="24"/>
  <c r="A2" i="23" l="1"/>
  <c r="E3" i="24"/>
  <c r="H8" i="24" l="1"/>
  <c r="I3" i="24"/>
  <c r="I7" i="24" s="1"/>
  <c r="H7" i="24" l="1"/>
  <c r="H6" i="24"/>
  <c r="F16" i="23" s="1"/>
  <c r="I6" i="24"/>
  <c r="I8" i="24"/>
  <c r="C3" i="24"/>
  <c r="E7" i="24" l="1"/>
  <c r="E8" i="24"/>
  <c r="C8" i="24"/>
  <c r="C6" i="24"/>
  <c r="F2" i="23" s="1"/>
  <c r="F7" i="24"/>
  <c r="F8" i="24"/>
  <c r="C7" i="24"/>
  <c r="G6" i="24"/>
  <c r="F15" i="23" s="1"/>
  <c r="E6" i="24"/>
  <c r="F6" i="24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<sst xmlns="http://schemas.openxmlformats.org/spreadsheetml/2006/main" count="758" uniqueCount="354">
  <si>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</si>
  <si>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</si>
  <si>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</si>
  <si>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</si>
  <si>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</si>
  <si>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</si>
  <si>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</si>
  <si>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</si>
  <si>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</si>
  <si>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</si>
  <si>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</si>
  <si>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</si>
  <si>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</si>
  <si>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</si>
  <si>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</si>
  <si>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</si>
  <si>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</si>
  <si>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</si>
  <si>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</si>
  <si>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</si>
  <si>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</si>
  <si>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</si>
  <si>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</si>
  <si>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</si>
  <si>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</si>
  <si>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</si>
  <si>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</si>
  <si>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</si>
  <si>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</si>
  <si>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</si>
  <si>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</si>
  <si>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</si>
  <si>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</si>
  <si>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</si>
  <si>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</si>
  <si>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</si>
  <si>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</si>
  <si>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</si>
  <si>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</si>
  <si>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</si>
  <si>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</si>
  <si>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</si>
  <si>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</si>
  <si>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</si>
  <si>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</si>
  <si>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</si>
  <si>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</si>
  <si>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</si>
  <si>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</si>
  <si>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</si>
  <si>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</si>
  <si>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</si>
  <si>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</si>
  <si>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</si>
  <si>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</si>
  <si>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</si>
  <si>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</si>
  <si>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</si>
  <si>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</si>
  <si>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</si>
  <si>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</si>
  <si>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</si>
  <si>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</si>
  <si>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</si>
  <si>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</si>
  <si>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</si>
  <si>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</si>
  <si>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</si>
  <si>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</si>
  <si>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</si>
  <si>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</si>
  <si>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</si>
  <si>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</si>
  <si>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</si>
  <si>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</si>
  <si>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</si>
  <si>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</si>
  <si>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</si>
  <si>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</si>
  <si>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</si>
  <si>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</si>
  <si>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</si>
  <si>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</si>
  <si>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</si>
  <si>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</si>
  <si>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</si>
  <si>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</si>
  <si>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</si>
  <si>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</si>
  <si>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</si>
  <si>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</si>
  <si>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</si>
  <si>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</si>
  <si>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</si>
  <si>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</si>
  <si>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</si>
  <si>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</si>
  <si>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</si>
  <si>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</si>
  <si>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</si>
  <si>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</si>
  <si>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</si>
  <si>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</si>
  <si>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</si>
  <si>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</si>
  <si>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</si>
  <si>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</si>
  <si>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</si>
  <si>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</si>
  <si>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</si>
  <si>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</si>
  <si>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</si>
  <si>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</si>
  <si>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</si>
  <si>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</si>
  <si>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</si>
  <si>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</si>
  <si>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</si>
  <si>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</si>
  <si>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</si>
  <si>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</si>
  <si>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</si>
  <si>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</si>
  <si>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</si>
  <si>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</si>
  <si>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</si>
  <si>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</si>
  <si>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</si>
  <si>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</si>
  <si>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</si>
  <si>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</si>
  <si>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</si>
  <si>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</si>
  <si>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</si>
  <si>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</si>
  <si>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</si>
  <si>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</si>
  <si>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</si>
  <si>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</si>
  <si>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</si>
  <si>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</si>
  <si>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</si>
  <si>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</si>
  <si>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</si>
  <si>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</si>
  <si>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</si>
  <si>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</si>
  <si>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</si>
  <si>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</si>
  <si>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</si>
  <si>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</si>
  <si>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</si>
  <si>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</si>
  <si>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</si>
  <si>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</si>
  <si>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</si>
  <si>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</si>
  <si>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</si>
  <si>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</si>
  <si>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</si>
  <si>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</si>
  <si>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</si>
  <si>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</si>
  <si>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</si>
  <si>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</si>
  <si>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</si>
  <si>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</si>
  <si>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</si>
  <si>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</si>
  <si>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</si>
  <si>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</si>
  <si>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</si>
  <si>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</si>
  <si>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</si>
  <si>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</si>
  <si>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</si>
  <si>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</si>
  <si>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</si>
  <si>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</si>
  <si>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</si>
  <si>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</si>
  <si>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</si>
  <si>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</si>
  <si>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</si>
  <si>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</si>
  <si>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</si>
  <si>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</si>
  <si>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</si>
  <si>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</si>
  <si>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</si>
  <si>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</si>
  <si>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</si>
  <si>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</si>
  <si>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</si>
  <si>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</si>
  <si>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</si>
  <si>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</si>
  <si>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</si>
  <si>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COLOR TEMPERATURE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</si>
  <si>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</si>
  <si>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</si>
  <si>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</si>
  <si>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</si>
  <si>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</si>
  <si>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</si>
  <si>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</si>
  <si>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R</t>
  </si>
  <si>
    <t>30-</t>
  </si>
  <si>
    <t>40-</t>
  </si>
  <si>
    <t>60-</t>
  </si>
  <si>
    <t>T</t>
  </si>
  <si>
    <t>-</t>
  </si>
  <si>
    <t>BOM LED PCB</t>
  </si>
  <si>
    <t xml:space="preserve">Electronics Store </t>
  </si>
  <si>
    <t>Wire Clip-M3-MS</t>
  </si>
  <si>
    <t>27-</t>
  </si>
  <si>
    <t>50-</t>
  </si>
  <si>
    <t>T-</t>
  </si>
  <si>
    <t>I-</t>
  </si>
  <si>
    <t>BT-</t>
  </si>
  <si>
    <t>ID-</t>
  </si>
  <si>
    <t>BTD-</t>
  </si>
  <si>
    <t>27T-</t>
  </si>
  <si>
    <t>30T-</t>
  </si>
  <si>
    <t>40T-</t>
  </si>
  <si>
    <t>50T-</t>
  </si>
  <si>
    <t>60T-</t>
  </si>
  <si>
    <t>30I-</t>
  </si>
  <si>
    <t>40I-</t>
  </si>
  <si>
    <t>50I-</t>
  </si>
  <si>
    <t>60I-</t>
  </si>
  <si>
    <t>27BT-</t>
  </si>
  <si>
    <t>30BT-</t>
  </si>
  <si>
    <t>40BT-</t>
  </si>
  <si>
    <t>50BT-</t>
  </si>
  <si>
    <t>60BT-</t>
  </si>
  <si>
    <t>27I-</t>
  </si>
  <si>
    <t>26BTD-</t>
  </si>
  <si>
    <t>26ID-</t>
  </si>
  <si>
    <t>White</t>
  </si>
  <si>
    <t>4000K</t>
  </si>
  <si>
    <t>Constant Current</t>
  </si>
  <si>
    <t>08W</t>
  </si>
  <si>
    <t>5000K</t>
  </si>
  <si>
    <t>3000K</t>
  </si>
  <si>
    <t>Black</t>
  </si>
  <si>
    <t>Two Color</t>
  </si>
  <si>
    <t>TRIAC Dimming</t>
  </si>
  <si>
    <t>DALI Dimming</t>
  </si>
  <si>
    <t>2700K - 6000K</t>
  </si>
  <si>
    <t>DALI Dual</t>
  </si>
  <si>
    <t>Bluetooth Dimming</t>
  </si>
  <si>
    <t>Bluetooth Dual</t>
  </si>
  <si>
    <t>Screw No. 4X6.5mm Self Pan Combi. PH - SS</t>
  </si>
  <si>
    <t>Screw M3X6mm CSK PH - SS</t>
  </si>
  <si>
    <t>R08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</si>
  <si>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</si>
  <si>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</si>
  <si>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</si>
  <si>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</si>
  <si>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</si>
  <si>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</si>
  <si>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</si>
  <si>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</si>
  <si>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</si>
  <si>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</si>
  <si>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Trim</t>
  </si>
  <si>
    <t>Beam Angle</t>
  </si>
  <si>
    <t>Color Temperature</t>
  </si>
  <si>
    <t>Driving System</t>
  </si>
  <si>
    <t>Watt</t>
  </si>
  <si>
    <t>VN</t>
  </si>
  <si>
    <t>HS 50X24mm 8W DR-NR-SR</t>
  </si>
  <si>
    <t>NRLR08VN30</t>
  </si>
  <si>
    <t>Very Narrow</t>
  </si>
  <si>
    <t>NRLR08VN40</t>
  </si>
  <si>
    <t>NRLR08VN50</t>
  </si>
  <si>
    <t>NRLB08VN30</t>
  </si>
  <si>
    <t>NRLB08VN40</t>
  </si>
  <si>
    <t>NRLB08VN50</t>
  </si>
  <si>
    <t>NRLT08VN30</t>
  </si>
  <si>
    <t>NRLT08VN40</t>
  </si>
  <si>
    <t>NRLT08VN50</t>
  </si>
  <si>
    <t>NRLR08VN30T</t>
  </si>
  <si>
    <t>NRLR08VN40T</t>
  </si>
  <si>
    <t>NRLR08VN50T</t>
  </si>
  <si>
    <t>NRLB08VN30T</t>
  </si>
  <si>
    <t>NRLB08VN40T</t>
  </si>
  <si>
    <t>NRLB08VN50T</t>
  </si>
  <si>
    <t>NRLT08VN30T</t>
  </si>
  <si>
    <t>NRLT08VN40T</t>
  </si>
  <si>
    <t>NRLT08VN50T</t>
  </si>
  <si>
    <t>NRLR08VN30I</t>
  </si>
  <si>
    <t>NRLR08VN40I</t>
  </si>
  <si>
    <t>NRLR08VN50I</t>
  </si>
  <si>
    <t>NRLB08VN30I</t>
  </si>
  <si>
    <t>NRLB08VN40I</t>
  </si>
  <si>
    <t>NRLB08VN50I</t>
  </si>
  <si>
    <t>NRLT08VN30I</t>
  </si>
  <si>
    <t>NRLT08VN40I</t>
  </si>
  <si>
    <t>NRLT08VN50I</t>
  </si>
  <si>
    <t>NRLR08VN26ID</t>
  </si>
  <si>
    <t>NRLB08VN26ID</t>
  </si>
  <si>
    <t>NRLT08VN26ID</t>
  </si>
  <si>
    <t>NRLR08VN30BT</t>
  </si>
  <si>
    <t>NRLR08VN40BT</t>
  </si>
  <si>
    <t>NRLR08VN50BT</t>
  </si>
  <si>
    <t>NRLB08VN30BT</t>
  </si>
  <si>
    <t>NRLB08VN40BT</t>
  </si>
  <si>
    <t>NRLB08VN50BT</t>
  </si>
  <si>
    <t>NRLT08VN30BT</t>
  </si>
  <si>
    <t>NRLT08VN40BT</t>
  </si>
  <si>
    <t>NRLT08VN50BT</t>
  </si>
  <si>
    <t>NRLR08VN26BTD</t>
  </si>
  <si>
    <t>NRLB08VN26BTD</t>
  </si>
  <si>
    <t>NRLT08VN26BTD</t>
  </si>
  <si>
    <t>Down Light Series</t>
  </si>
  <si>
    <t>Lens GLC-O-50 L-13.4 H-13.4   15° PC ( Zhenglian)</t>
  </si>
  <si>
    <t>Trim-O-68 I-51 H-63mm White NRRR8-18W</t>
  </si>
  <si>
    <t>Trim-O-68 I-51 H-63mm Black NRRR8-18W</t>
  </si>
  <si>
    <t>Trim-O-68 I-51 H-63mm Inner Black NRRR8-18W</t>
  </si>
  <si>
    <t>Locking Spring  L-57 W-10mm T-0.2mm DR/NR-5/18W</t>
  </si>
  <si>
    <t>Conn. 2Pin Ass. Wire Black Male (Small)</t>
  </si>
  <si>
    <t>PBX-COB 8-15W</t>
  </si>
  <si>
    <t>SBX-COB 8-18W (12Nos)</t>
  </si>
  <si>
    <t>Sleeve M4mm Fiber Glass White</t>
  </si>
  <si>
    <t>Rivet 1/8" x 1/4" MS (Big)</t>
  </si>
  <si>
    <t>PS 8W 200MA 36V LPF (PCB MT43-8-12W-V2 LPF)</t>
  </si>
  <si>
    <t>PS 8W 200MA 36V Triac Dimming</t>
  </si>
  <si>
    <t>Dali Driver SC-10W PE19DA4240  (AI-Dimming)-25-40V</t>
  </si>
  <si>
    <t>PS CCT 8W 170MA 36V BT-SC (PCB LT 7-20W-CCT-V 1.1 REV-1)</t>
  </si>
  <si>
    <t>Dali Driver DC-10W PE694R4230(AI-Dimming)-25-40V</t>
  </si>
  <si>
    <t>PS CCT 8W 170MA 36V BT-DC (PCB LT 7-20W-CCT-V 1.1 REV-1)</t>
  </si>
  <si>
    <t>COB 12&amp;15W 3000K 12LED 36V 350mA 13.5x13.5mm CRI-90</t>
  </si>
  <si>
    <t>COB 12&amp;15W 4000K 12LED 36V 350mA 13.5x13.5mm CRI-90</t>
  </si>
  <si>
    <t>COB 12&amp;15W 5000K 12LED 36V 350mA 13.5x13.5mm CRI-90</t>
  </si>
  <si>
    <t>COB 12&amp;15W 6000K 12LED 36V 350mA 13.5x13.5mm CRI-90</t>
  </si>
  <si>
    <t>COB 12&amp;15W 2700-5000K 12LED 36V 350mA 13.5x13.5mm CRI-90</t>
  </si>
  <si>
    <t>COB 12&amp;15W 2700K 12LED 36V 350mA 13.5x13.5mm CRI-95</t>
  </si>
  <si>
    <t>COB Holder -OD-32 , L-11 ,H-3.2mm. 13X13 Locable GLC</t>
  </si>
  <si>
    <t>HS-50X24.5mm (SR-DR-NR-12W)</t>
  </si>
  <si>
    <t>Unit Price</t>
  </si>
  <si>
    <t>USD</t>
  </si>
  <si>
    <t>INS&amp;FRED</t>
  </si>
  <si>
    <t>BCD</t>
  </si>
  <si>
    <t>Total Cost</t>
  </si>
  <si>
    <t>PS Rate Mention with Total Amt</t>
  </si>
  <si>
    <t>NRLR08-CC</t>
  </si>
  <si>
    <t>NRLR08 Track Dimming</t>
  </si>
  <si>
    <t>NRLR08 Dali Single Color</t>
  </si>
  <si>
    <t>NRLR08 BT Single Color</t>
  </si>
  <si>
    <t>NRLR08  Dali Dual Color</t>
  </si>
  <si>
    <t>NRLR08  BT Dual Color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</si>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</sst>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&quot;$&quot;#,##0.0000"/>
    <numFmt numFmtId="165" formatCode="_ [$Rs.-4009]\ * #,##0.00_ ;_ [$Rs.-4009]\ * \-#,##0.00_ ;_ [$Rs.-4009]\ * &quot;-&quot;??_ ;_ @_ "/>
    <numFmt numFmtId="166" formatCode="_-[$Rs-420]* #,##0.00_-;_-[$Rs-420]* #,##0.00\-;_-[$Rs-420]* &quot;-&quot;??_-;_-@_-"/>
    <numFmt numFmtId="167" formatCode="&quot;$&quot;#,##0.000"/>
    <numFmt numFmtId="168" formatCode="_-[$$-409]* #,##0.000_ ;_-[$$-409]* \-#,##0.000\ ;_-[$$-409]* &quot;-&quot;??_ ;_-@_ "/>
    <numFmt numFmtId="169" formatCode="_-[$$-409]* #,##0.0000_ ;_-[$$-409]* \-#,##0.0000\ ;_-[$$-409]* &quot;-&quot;??_ ;_-@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facad-Regular"/>
    </font>
    <font>
      <sz val="11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7" fillId="0" borderId="0" applyNumberFormat="0" applyFill="0" applyBorder="0" applyAlignment="0" applyProtection="0"/>
    <xf numFmtId="0" fontId="4" fillId="0" borderId="0"/>
    <xf numFmtId="0" fontId="23" fillId="0" borderId="0"/>
  </cellStyleXfs>
  <cellXfs count="129">
    <xf numFmtId="0" fontId="0" fillId="0" borderId="0" xfId="0"/>
    <xf numFmtId="0" fontId="7" fillId="0" borderId="0" xfId="0" applyFont="1"/>
    <xf numFmtId="0" fontId="8" fillId="2" borderId="0" xfId="0" applyFont="1" applyFill="1"/>
    <xf numFmtId="0" fontId="9" fillId="3" borderId="1" xfId="0" applyFont="1" applyFill="1" applyBorder="1" applyAlignment="1">
      <alignment horizontal="center" wrapText="1"/>
    </xf>
    <xf numFmtId="0" fontId="10" fillId="2" borderId="0" xfId="0" applyFont="1" applyFill="1"/>
    <xf numFmtId="0" fontId="0" fillId="2" borderId="0" xfId="0" applyFill="1"/>
    <xf numFmtId="0" fontId="9" fillId="4" borderId="1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wrapText="1"/>
    </xf>
    <xf numFmtId="0" fontId="11" fillId="2" borderId="4" xfId="0" applyFont="1" applyFill="1" applyBorder="1"/>
    <xf numFmtId="0" fontId="7" fillId="2" borderId="5" xfId="0" applyFont="1" applyFill="1" applyBorder="1"/>
    <xf numFmtId="0" fontId="9" fillId="0" borderId="6" xfId="0" applyFont="1" applyBorder="1" applyAlignment="1">
      <alignment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/>
    <xf numFmtId="0" fontId="12" fillId="2" borderId="7" xfId="0" applyFont="1" applyFill="1" applyBorder="1" applyAlignment="1">
      <alignment horizontal="left" indent="2"/>
    </xf>
    <xf numFmtId="0" fontId="7" fillId="2" borderId="0" xfId="0" applyFont="1" applyFill="1" applyAlignment="1">
      <alignment horizontal="left" indent="2"/>
    </xf>
    <xf numFmtId="0" fontId="7" fillId="0" borderId="1" xfId="0" applyFont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indent="2"/>
    </xf>
    <xf numFmtId="0" fontId="7" fillId="2" borderId="7" xfId="0" applyFont="1" applyFill="1" applyBorder="1" applyAlignment="1">
      <alignment horizontal="left" indent="2"/>
    </xf>
    <xf numFmtId="0" fontId="13" fillId="2" borderId="7" xfId="0" applyFont="1" applyFill="1" applyBorder="1" applyAlignment="1">
      <alignment horizontal="left" indent="2"/>
    </xf>
    <xf numFmtId="0" fontId="13" fillId="2" borderId="0" xfId="0" applyFont="1" applyFill="1" applyAlignment="1">
      <alignment horizontal="left" indent="2"/>
    </xf>
    <xf numFmtId="0" fontId="13" fillId="2" borderId="7" xfId="0" applyFont="1" applyFill="1" applyBorder="1" applyAlignment="1">
      <alignment horizontal="left" indent="3"/>
    </xf>
    <xf numFmtId="0" fontId="14" fillId="2" borderId="7" xfId="0" applyFont="1" applyFill="1" applyBorder="1" applyAlignment="1">
      <alignment horizontal="left" indent="3"/>
    </xf>
    <xf numFmtId="0" fontId="15" fillId="2" borderId="0" xfId="0" applyFont="1" applyFill="1" applyAlignment="1">
      <alignment horizontal="left" indent="3"/>
    </xf>
    <xf numFmtId="0" fontId="16" fillId="0" borderId="3" xfId="0" applyFont="1" applyBorder="1" applyAlignment="1">
      <alignment wrapText="1"/>
    </xf>
    <xf numFmtId="0" fontId="7" fillId="2" borderId="7" xfId="0" applyFont="1" applyFill="1" applyBorder="1"/>
    <xf numFmtId="0" fontId="7" fillId="2" borderId="8" xfId="0" applyFont="1" applyFill="1" applyBorder="1"/>
    <xf numFmtId="0" fontId="7" fillId="2" borderId="9" xfId="0" applyFont="1" applyFill="1" applyBorder="1"/>
    <xf numFmtId="0" fontId="12" fillId="2" borderId="0" xfId="0" applyFont="1" applyFill="1"/>
    <xf numFmtId="0" fontId="9" fillId="2" borderId="0" xfId="0" applyFont="1" applyFill="1"/>
    <xf numFmtId="0" fontId="9" fillId="4" borderId="2" xfId="0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left" vertical="top" wrapText="1"/>
    </xf>
    <xf numFmtId="0" fontId="13" fillId="2" borderId="0" xfId="0" applyFont="1" applyFill="1" applyAlignment="1">
      <alignment wrapText="1"/>
    </xf>
    <xf numFmtId="0" fontId="13" fillId="2" borderId="0" xfId="0" applyFont="1" applyFill="1" applyAlignment="1">
      <alignment horizontal="left"/>
    </xf>
    <xf numFmtId="0" fontId="13" fillId="2" borderId="0" xfId="0" applyFont="1" applyFill="1" applyAlignment="1">
      <alignment horizontal="left" indent="1"/>
    </xf>
    <xf numFmtId="0" fontId="15" fillId="2" borderId="0" xfId="0" applyFont="1" applyFill="1" applyAlignment="1">
      <alignment horizontal="left" indent="1"/>
    </xf>
    <xf numFmtId="0" fontId="7" fillId="0" borderId="3" xfId="0" applyFont="1" applyBorder="1" applyAlignment="1">
      <alignment wrapText="1"/>
    </xf>
    <xf numFmtId="0" fontId="11" fillId="2" borderId="5" xfId="0" applyFont="1" applyFill="1" applyBorder="1"/>
    <xf numFmtId="0" fontId="17" fillId="2" borderId="0" xfId="1" applyFill="1" applyBorder="1" applyAlignment="1"/>
    <xf numFmtId="0" fontId="17" fillId="2" borderId="0" xfId="1" applyFill="1" applyBorder="1"/>
    <xf numFmtId="0" fontId="11" fillId="2" borderId="10" xfId="0" applyFont="1" applyFill="1" applyBorder="1"/>
    <xf numFmtId="0" fontId="7" fillId="2" borderId="11" xfId="0" applyFont="1" applyFill="1" applyBorder="1" applyAlignment="1">
      <alignment horizontal="left" indent="2"/>
    </xf>
    <xf numFmtId="0" fontId="13" fillId="2" borderId="11" xfId="0" applyFont="1" applyFill="1" applyBorder="1" applyAlignment="1">
      <alignment horizontal="left" indent="2"/>
    </xf>
    <xf numFmtId="0" fontId="7" fillId="2" borderId="11" xfId="0" applyFont="1" applyFill="1" applyBorder="1"/>
    <xf numFmtId="0" fontId="7" fillId="2" borderId="12" xfId="0" applyFont="1" applyFill="1" applyBorder="1"/>
    <xf numFmtId="0" fontId="8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8" fillId="5" borderId="1" xfId="0" applyFont="1" applyFill="1" applyBorder="1" applyAlignment="1">
      <alignment horizontal="center" vertical="center"/>
    </xf>
    <xf numFmtId="0" fontId="0" fillId="0" borderId="1" xfId="0" applyBorder="1"/>
    <xf numFmtId="0" fontId="20" fillId="6" borderId="1" xfId="0" applyFont="1" applyFill="1" applyBorder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20" fillId="6" borderId="1" xfId="0" applyFont="1" applyFill="1" applyBorder="1" applyAlignment="1">
      <alignment wrapText="1"/>
    </xf>
    <xf numFmtId="0" fontId="6" fillId="7" borderId="1" xfId="0" applyFont="1" applyFill="1" applyBorder="1" applyAlignment="1">
      <alignment wrapText="1"/>
    </xf>
    <xf numFmtId="0" fontId="6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4" fillId="0" borderId="1" xfId="0" applyFont="1" applyBorder="1"/>
    <xf numFmtId="0" fontId="4" fillId="7" borderId="1" xfId="0" applyFont="1" applyFill="1" applyBorder="1"/>
    <xf numFmtId="0" fontId="4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10" borderId="1" xfId="0" applyFill="1" applyBorder="1"/>
    <xf numFmtId="0" fontId="21" fillId="0" borderId="0" xfId="0" applyFont="1"/>
    <xf numFmtId="0" fontId="0" fillId="0" borderId="1" xfId="0" applyBorder="1" applyAlignment="1">
      <alignment horizontal="center"/>
    </xf>
    <xf numFmtId="0" fontId="0" fillId="9" borderId="1" xfId="0" applyFill="1" applyBorder="1"/>
    <xf numFmtId="0" fontId="0" fillId="12" borderId="1" xfId="0" applyFill="1" applyBorder="1"/>
    <xf numFmtId="0" fontId="4" fillId="0" borderId="6" xfId="2" applyBorder="1"/>
    <xf numFmtId="0" fontId="4" fillId="0" borderId="1" xfId="2" applyBorder="1"/>
    <xf numFmtId="49" fontId="4" fillId="0" borderId="16" xfId="2" applyNumberFormat="1" applyBorder="1"/>
    <xf numFmtId="49" fontId="4" fillId="0" borderId="14" xfId="2" applyNumberFormat="1" applyBorder="1"/>
    <xf numFmtId="0" fontId="4" fillId="0" borderId="17" xfId="2" applyBorder="1"/>
    <xf numFmtId="0" fontId="4" fillId="0" borderId="14" xfId="2" applyBorder="1"/>
    <xf numFmtId="0" fontId="4" fillId="0" borderId="0" xfId="2"/>
    <xf numFmtId="0" fontId="4" fillId="0" borderId="2" xfId="2" applyBorder="1"/>
    <xf numFmtId="0" fontId="0" fillId="0" borderId="15" xfId="0" applyFill="1" applyBorder="1" applyAlignment="1">
      <alignment horizontal="center"/>
    </xf>
    <xf numFmtId="0" fontId="4" fillId="11" borderId="1" xfId="0" applyFont="1" applyFill="1" applyBorder="1"/>
    <xf numFmtId="0" fontId="22" fillId="10" borderId="0" xfId="0" applyFont="1" applyFill="1" applyAlignment="1">
      <alignment horizontal="left" vertical="center" wrapText="1"/>
    </xf>
    <xf numFmtId="0" fontId="23" fillId="0" borderId="0" xfId="3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0" fillId="12" borderId="1" xfId="0" applyFont="1" applyFill="1" applyBorder="1"/>
    <xf numFmtId="0" fontId="0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0" fillId="6" borderId="1" xfId="0" applyFill="1" applyBorder="1"/>
    <xf numFmtId="0" fontId="24" fillId="0" borderId="1" xfId="0" applyNumberFormat="1" applyFont="1" applyBorder="1" applyAlignment="1">
      <alignment horizontal="center" vertical="center" wrapText="1"/>
    </xf>
    <xf numFmtId="164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166" fontId="24" fillId="8" borderId="1" xfId="0" applyNumberFormat="1" applyFont="1" applyFill="1" applyBorder="1" applyAlignment="1">
      <alignment horizontal="center" vertical="center"/>
    </xf>
    <xf numFmtId="166" fontId="10" fillId="8" borderId="1" xfId="0" applyNumberFormat="1" applyFont="1" applyFill="1" applyBorder="1" applyAlignment="1">
      <alignment horizontal="center" vertical="center"/>
    </xf>
    <xf numFmtId="167" fontId="25" fillId="0" borderId="0" xfId="0" applyNumberFormat="1" applyFont="1" applyBorder="1" applyAlignment="1">
      <alignment horizontal="center" vertical="center"/>
    </xf>
    <xf numFmtId="9" fontId="25" fillId="0" borderId="0" xfId="0" applyNumberFormat="1" applyFont="1" applyBorder="1" applyAlignment="1">
      <alignment horizontal="center" vertical="center"/>
    </xf>
    <xf numFmtId="164" fontId="25" fillId="0" borderId="0" xfId="0" applyNumberFormat="1" applyFont="1" applyBorder="1" applyAlignment="1">
      <alignment horizontal="center" vertical="center"/>
    </xf>
    <xf numFmtId="165" fontId="26" fillId="0" borderId="1" xfId="0" applyNumberFormat="1" applyFont="1" applyBorder="1"/>
    <xf numFmtId="9" fontId="26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0" xfId="0" applyFont="1"/>
    <xf numFmtId="165" fontId="27" fillId="6" borderId="1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68" fontId="26" fillId="0" borderId="1" xfId="0" applyNumberFormat="1" applyFont="1" applyBorder="1" applyAlignment="1">
      <alignment horizontal="center" vertical="center"/>
    </xf>
    <xf numFmtId="165" fontId="26" fillId="0" borderId="1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9" fontId="26" fillId="0" borderId="1" xfId="0" applyNumberFormat="1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165" fontId="26" fillId="0" borderId="19" xfId="0" applyNumberFormat="1" applyFont="1" applyBorder="1" applyAlignment="1">
      <alignment horizontal="center" vertical="center"/>
    </xf>
    <xf numFmtId="165" fontId="26" fillId="0" borderId="6" xfId="0" applyNumberFormat="1" applyFont="1" applyBorder="1" applyAlignment="1">
      <alignment horizontal="center" vertical="center"/>
    </xf>
    <xf numFmtId="168" fontId="26" fillId="0" borderId="19" xfId="0" applyNumberFormat="1" applyFont="1" applyBorder="1" applyAlignment="1">
      <alignment horizontal="center" vertical="center"/>
    </xf>
    <xf numFmtId="168" fontId="26" fillId="0" borderId="6" xfId="0" applyNumberFormat="1" applyFont="1" applyBorder="1" applyAlignment="1">
      <alignment horizontal="center" vertical="center"/>
    </xf>
    <xf numFmtId="9" fontId="26" fillId="0" borderId="19" xfId="0" applyNumberFormat="1" applyFont="1" applyBorder="1" applyAlignment="1">
      <alignment horizontal="center" vertical="center"/>
    </xf>
    <xf numFmtId="9" fontId="26" fillId="0" borderId="6" xfId="0" applyNumberFormat="1" applyFont="1" applyBorder="1" applyAlignment="1">
      <alignment horizontal="center" vertical="center"/>
    </xf>
    <xf numFmtId="0" fontId="27" fillId="8" borderId="2" xfId="0" applyFont="1" applyFill="1" applyBorder="1" applyAlignment="1">
      <alignment horizontal="right" vertical="center"/>
    </xf>
    <xf numFmtId="0" fontId="27" fillId="8" borderId="14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left" wrapText="1"/>
    </xf>
    <xf numFmtId="0" fontId="13" fillId="2" borderId="7" xfId="0" applyFont="1" applyFill="1" applyBorder="1" applyAlignment="1">
      <alignment horizontal="left" wrapText="1" indent="2"/>
    </xf>
    <xf numFmtId="0" fontId="13" fillId="2" borderId="0" xfId="0" applyFont="1" applyFill="1" applyAlignment="1">
      <alignment horizontal="left" wrapText="1" indent="2"/>
    </xf>
    <xf numFmtId="0" fontId="13" fillId="2" borderId="11" xfId="0" applyFont="1" applyFill="1" applyBorder="1" applyAlignment="1">
      <alignment horizontal="left" wrapText="1" indent="2"/>
    </xf>
    <xf numFmtId="0" fontId="20" fillId="0" borderId="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4">
    <cellStyle name="Hyperlink 2" xfId="1"/>
    <cellStyle name="Normal" xfId="0" builtinId="0"/>
    <cellStyle name="Normal 2" xfId="2"/>
    <cellStyle name="Normal 3" xfId="3"/>
  </cellStyles>
  <dxfs count="30"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ijesh-pc\d\SURYA-%20BOM\1)%20OK%20BOMs\7)%20NRRR\1)%20NRRR08W-F-%20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tock Item (Read Me)"/>
      <sheetName val="Backend data"/>
      <sheetName val="Resul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abSelected="1" topLeftCell="G1" zoomScale="96" zoomScaleNormal="96" workbookViewId="0">
      <selection activeCell="L15" sqref="L15"/>
    </sheetView>
  </sheetViews>
  <sheetFormatPr defaultColWidth="9" defaultRowHeight="15"/>
  <cols>
    <col min="1" max="1" width="14" customWidth="1"/>
    <col min="2" max="2" width="19.140625" customWidth="1"/>
    <col min="3" max="3" width="6.7109375" customWidth="1"/>
    <col min="4" max="4" width="16.7109375" customWidth="1"/>
    <col min="5" max="5" width="20.42578125" customWidth="1"/>
    <col min="6" max="6" width="57" customWidth="1"/>
    <col min="7" max="7" width="28" customWidth="1"/>
    <col min="8" max="8" width="27.7109375" hidden="1" customWidth="1"/>
    <col min="9" max="9" width="31.85546875" hidden="1" customWidth="1"/>
    <col min="10" max="10" width="27.7109375" hidden="1" customWidth="1"/>
    <col min="11" max="11" width="33" customWidth="1"/>
    <col min="12" max="13" width="14.140625" customWidth="1"/>
    <col min="15" max="15" width="11.7109375" customWidth="1"/>
    <col min="17" max="17" width="11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91" t="s">
        <v>341</v>
      </c>
      <c r="M1" s="91" t="s">
        <v>194</v>
      </c>
      <c r="N1" s="92" t="s">
        <v>342</v>
      </c>
      <c r="O1" s="93" t="s">
        <v>343</v>
      </c>
      <c r="P1" s="94" t="s">
        <v>344</v>
      </c>
      <c r="Q1" s="92" t="s">
        <v>345</v>
      </c>
    </row>
    <row r="2" spans="1:17">
      <c r="A2" s="49" t="str">
        <f>$D$2</f>
        <v>NRLR08VN30</v>
      </c>
      <c r="B2" s="49" t="s">
        <v>316</v>
      </c>
      <c r="C2" s="49" t="s">
        <v>190</v>
      </c>
      <c r="D2" s="80" t="s">
        <v>273</v>
      </c>
      <c r="E2" s="49">
        <v>1</v>
      </c>
      <c r="F2" s="69" t="str">
        <f>'Backend data'!C6</f>
        <v>Trim-O-68 I-51 H-63mm White NRRR8-18W</v>
      </c>
      <c r="G2" s="67">
        <v>1</v>
      </c>
      <c r="H2" s="49" t="s">
        <v>189</v>
      </c>
      <c r="I2" s="49" t="s">
        <v>9</v>
      </c>
      <c r="J2" s="49"/>
      <c r="K2" s="49"/>
      <c r="L2" s="100">
        <f>Q2*87</f>
        <v>55.984499999999997</v>
      </c>
      <c r="M2" s="100">
        <f>G2*L2</f>
        <v>55.984499999999997</v>
      </c>
      <c r="N2" s="106">
        <v>0.42899999999999999</v>
      </c>
      <c r="O2" s="101">
        <v>0.5</v>
      </c>
      <c r="P2" s="102"/>
      <c r="Q2" s="102">
        <f>N2+(N2*(O2+P2))</f>
        <v>0.64349999999999996</v>
      </c>
    </row>
    <row r="3" spans="1:17">
      <c r="A3" s="49"/>
      <c r="B3" s="49"/>
      <c r="C3" s="49"/>
      <c r="D3" s="49"/>
      <c r="E3" s="49"/>
      <c r="F3" s="89" t="s">
        <v>340</v>
      </c>
      <c r="G3" s="67">
        <v>1</v>
      </c>
      <c r="H3" s="49" t="s">
        <v>189</v>
      </c>
      <c r="I3" s="49" t="s">
        <v>9</v>
      </c>
      <c r="J3" s="49"/>
      <c r="K3" s="49"/>
      <c r="L3" s="100">
        <f t="shared" ref="L3:L15" si="0">Q3*87</f>
        <v>57.289499999999997</v>
      </c>
      <c r="M3" s="100">
        <f t="shared" ref="M3:M15" si="1">G3*L3</f>
        <v>57.289499999999997</v>
      </c>
      <c r="N3" s="106">
        <v>0.439</v>
      </c>
      <c r="O3" s="101">
        <v>0.5</v>
      </c>
      <c r="P3" s="102"/>
      <c r="Q3" s="102">
        <f t="shared" ref="Q3:Q13" si="2">N3+(N3*(O3+P3))</f>
        <v>0.65849999999999997</v>
      </c>
    </row>
    <row r="4" spans="1:17">
      <c r="A4" s="49"/>
      <c r="B4" s="49"/>
      <c r="C4" s="49"/>
      <c r="D4" s="49"/>
      <c r="E4" s="49"/>
      <c r="F4" s="88" t="s">
        <v>317</v>
      </c>
      <c r="G4" s="67">
        <v>1</v>
      </c>
      <c r="H4" s="49" t="s">
        <v>189</v>
      </c>
      <c r="I4" s="49" t="s">
        <v>9</v>
      </c>
      <c r="J4" s="49"/>
      <c r="K4" s="49"/>
      <c r="L4" s="112">
        <f t="shared" si="0"/>
        <v>25.839000000000002</v>
      </c>
      <c r="M4" s="112">
        <f t="shared" si="1"/>
        <v>25.839000000000002</v>
      </c>
      <c r="N4" s="114">
        <v>0.19800000000000001</v>
      </c>
      <c r="O4" s="116">
        <v>0.5</v>
      </c>
      <c r="P4" s="110"/>
      <c r="Q4" s="110">
        <f t="shared" si="2"/>
        <v>0.29700000000000004</v>
      </c>
    </row>
    <row r="5" spans="1:17">
      <c r="A5" s="49"/>
      <c r="B5" s="49"/>
      <c r="C5" s="49"/>
      <c r="D5" s="49"/>
      <c r="E5" s="49"/>
      <c r="F5" s="90" t="s">
        <v>339</v>
      </c>
      <c r="G5" s="84">
        <v>1</v>
      </c>
      <c r="H5" s="49" t="s">
        <v>189</v>
      </c>
      <c r="I5" s="49" t="s">
        <v>9</v>
      </c>
      <c r="J5" s="49"/>
      <c r="K5" s="49"/>
      <c r="L5" s="113"/>
      <c r="M5" s="113"/>
      <c r="N5" s="115"/>
      <c r="O5" s="117"/>
      <c r="P5" s="111"/>
      <c r="Q5" s="111"/>
    </row>
    <row r="6" spans="1:17">
      <c r="A6" s="49"/>
      <c r="B6" s="49"/>
      <c r="C6" s="49"/>
      <c r="D6" s="49"/>
      <c r="E6" s="49"/>
      <c r="F6" s="85" t="s">
        <v>321</v>
      </c>
      <c r="G6" s="67">
        <v>1</v>
      </c>
      <c r="H6" s="49" t="s">
        <v>189</v>
      </c>
      <c r="I6" s="49" t="s">
        <v>9</v>
      </c>
      <c r="J6" s="49"/>
      <c r="K6" s="49"/>
      <c r="L6" s="107">
        <f t="shared" si="0"/>
        <v>2.2185000000000001</v>
      </c>
      <c r="M6" s="107">
        <f t="shared" si="1"/>
        <v>2.2185000000000001</v>
      </c>
      <c r="N6" s="109">
        <v>1.7000000000000001E-2</v>
      </c>
      <c r="O6" s="101">
        <v>0.5</v>
      </c>
      <c r="P6" s="102"/>
      <c r="Q6" s="102">
        <f t="shared" si="2"/>
        <v>2.5500000000000002E-2</v>
      </c>
    </row>
    <row r="7" spans="1:17">
      <c r="A7" s="49"/>
      <c r="B7" s="49"/>
      <c r="C7" s="49"/>
      <c r="D7" s="49"/>
      <c r="E7" s="49"/>
      <c r="F7" s="87" t="s">
        <v>322</v>
      </c>
      <c r="G7" s="67">
        <v>1</v>
      </c>
      <c r="H7" s="49" t="s">
        <v>189</v>
      </c>
      <c r="I7" s="49" t="s">
        <v>9</v>
      </c>
      <c r="J7" s="49"/>
      <c r="K7" s="49"/>
      <c r="L7" s="107">
        <f t="shared" si="0"/>
        <v>3.915</v>
      </c>
      <c r="M7" s="107">
        <f t="shared" si="1"/>
        <v>3.915</v>
      </c>
      <c r="N7" s="106">
        <v>0.03</v>
      </c>
      <c r="O7" s="101">
        <v>0.5</v>
      </c>
      <c r="P7" s="102"/>
      <c r="Q7" s="102">
        <f t="shared" si="2"/>
        <v>4.4999999999999998E-2</v>
      </c>
    </row>
    <row r="8" spans="1:17">
      <c r="A8" s="49"/>
      <c r="B8" s="49"/>
      <c r="C8" s="49"/>
      <c r="D8" s="49"/>
      <c r="E8" s="49"/>
      <c r="F8" s="68" t="s">
        <v>323</v>
      </c>
      <c r="G8" s="67">
        <v>1</v>
      </c>
      <c r="H8" s="49" t="s">
        <v>189</v>
      </c>
      <c r="I8" s="49" t="s">
        <v>9</v>
      </c>
      <c r="J8" s="49"/>
      <c r="K8" s="49"/>
      <c r="L8" s="107">
        <v>8.5</v>
      </c>
      <c r="M8" s="107">
        <f t="shared" si="1"/>
        <v>8.5</v>
      </c>
      <c r="N8" s="106">
        <v>0</v>
      </c>
      <c r="O8" s="101">
        <v>0.5</v>
      </c>
      <c r="P8" s="102"/>
      <c r="Q8" s="102">
        <f t="shared" si="2"/>
        <v>0</v>
      </c>
    </row>
    <row r="9" spans="1:17">
      <c r="A9" s="49"/>
      <c r="B9" s="49"/>
      <c r="C9" s="49"/>
      <c r="D9" s="49"/>
      <c r="E9" s="49"/>
      <c r="F9" s="68" t="s">
        <v>324</v>
      </c>
      <c r="G9" s="78">
        <v>0.08</v>
      </c>
      <c r="H9" s="49" t="s">
        <v>189</v>
      </c>
      <c r="I9" s="49" t="s">
        <v>9</v>
      </c>
      <c r="J9" s="49"/>
      <c r="K9" s="49"/>
      <c r="L9" s="107">
        <v>27</v>
      </c>
      <c r="M9" s="107">
        <f t="shared" si="1"/>
        <v>2.16</v>
      </c>
      <c r="N9" s="106">
        <v>0</v>
      </c>
      <c r="O9" s="101">
        <v>0.5</v>
      </c>
      <c r="P9" s="102"/>
      <c r="Q9" s="102">
        <f t="shared" si="2"/>
        <v>0</v>
      </c>
    </row>
    <row r="10" spans="1:17">
      <c r="A10" s="49"/>
      <c r="B10" s="49"/>
      <c r="C10" s="49"/>
      <c r="D10" s="49"/>
      <c r="E10" s="49"/>
      <c r="F10" s="49" t="s">
        <v>325</v>
      </c>
      <c r="G10" s="67">
        <v>0.12</v>
      </c>
      <c r="H10" s="49" t="s">
        <v>189</v>
      </c>
      <c r="I10" s="49" t="s">
        <v>9</v>
      </c>
      <c r="J10" s="49"/>
      <c r="K10" s="49"/>
      <c r="L10" s="107">
        <f>5.7/1000*120</f>
        <v>0.68400000000000005</v>
      </c>
      <c r="M10" s="107">
        <f t="shared" si="1"/>
        <v>8.208E-2</v>
      </c>
      <c r="N10" s="106">
        <v>0</v>
      </c>
      <c r="O10" s="101">
        <v>0.5</v>
      </c>
      <c r="P10" s="102"/>
      <c r="Q10" s="102">
        <f t="shared" si="2"/>
        <v>0</v>
      </c>
    </row>
    <row r="11" spans="1:17">
      <c r="A11" s="49"/>
      <c r="B11" s="49"/>
      <c r="C11" s="49"/>
      <c r="D11" s="49"/>
      <c r="E11" s="49"/>
      <c r="F11" s="49" t="s">
        <v>214</v>
      </c>
      <c r="G11" s="67">
        <v>1</v>
      </c>
      <c r="H11" s="49" t="s">
        <v>189</v>
      </c>
      <c r="I11" s="49" t="s">
        <v>9</v>
      </c>
      <c r="J11" s="49"/>
      <c r="K11" s="49"/>
      <c r="L11" s="107">
        <v>0.6</v>
      </c>
      <c r="M11" s="107">
        <f t="shared" si="1"/>
        <v>0.6</v>
      </c>
      <c r="N11" s="106">
        <v>0</v>
      </c>
      <c r="O11" s="101">
        <v>0.5</v>
      </c>
      <c r="P11" s="102"/>
      <c r="Q11" s="102">
        <f t="shared" si="2"/>
        <v>0</v>
      </c>
    </row>
    <row r="12" spans="1:17">
      <c r="A12" s="49"/>
      <c r="B12" s="49"/>
      <c r="C12" s="49"/>
      <c r="D12" s="49"/>
      <c r="E12" s="49"/>
      <c r="F12" s="49" t="s">
        <v>253</v>
      </c>
      <c r="G12" s="67">
        <v>1</v>
      </c>
      <c r="H12" s="49" t="s">
        <v>189</v>
      </c>
      <c r="I12" s="49" t="s">
        <v>9</v>
      </c>
      <c r="J12" s="49"/>
      <c r="K12" s="49"/>
      <c r="L12" s="107">
        <v>0.21</v>
      </c>
      <c r="M12" s="107">
        <f t="shared" si="1"/>
        <v>0.21</v>
      </c>
      <c r="N12" s="106">
        <v>0</v>
      </c>
      <c r="O12" s="101">
        <v>0.5</v>
      </c>
      <c r="P12" s="102"/>
      <c r="Q12" s="102">
        <f t="shared" si="2"/>
        <v>0</v>
      </c>
    </row>
    <row r="13" spans="1:17">
      <c r="A13" s="49"/>
      <c r="B13" s="49"/>
      <c r="C13" s="49"/>
      <c r="D13" s="49"/>
      <c r="E13" s="49"/>
      <c r="F13" s="49" t="s">
        <v>254</v>
      </c>
      <c r="G13" s="82">
        <v>2</v>
      </c>
      <c r="H13" s="49" t="s">
        <v>189</v>
      </c>
      <c r="I13" s="49" t="s">
        <v>9</v>
      </c>
      <c r="J13" s="49"/>
      <c r="K13" s="49"/>
      <c r="L13" s="107">
        <v>0.48</v>
      </c>
      <c r="M13" s="107">
        <f t="shared" si="1"/>
        <v>0.96</v>
      </c>
      <c r="N13" s="106">
        <v>0</v>
      </c>
      <c r="O13" s="101">
        <v>0.5</v>
      </c>
      <c r="P13" s="102"/>
      <c r="Q13" s="102">
        <f t="shared" si="2"/>
        <v>0</v>
      </c>
    </row>
    <row r="14" spans="1:17">
      <c r="A14" s="49"/>
      <c r="B14" s="49"/>
      <c r="C14" s="49"/>
      <c r="D14" s="49"/>
      <c r="E14" s="49"/>
      <c r="F14" s="49" t="s">
        <v>326</v>
      </c>
      <c r="G14" s="67">
        <v>4</v>
      </c>
      <c r="H14" s="49" t="s">
        <v>189</v>
      </c>
      <c r="I14" s="49" t="s">
        <v>9</v>
      </c>
      <c r="J14" s="49"/>
      <c r="K14" s="49"/>
      <c r="L14" s="107">
        <v>0.26</v>
      </c>
      <c r="M14" s="107">
        <f t="shared" si="1"/>
        <v>1.04</v>
      </c>
      <c r="N14" s="106"/>
      <c r="O14" s="101"/>
      <c r="P14" s="102"/>
      <c r="Q14" s="102"/>
    </row>
    <row r="15" spans="1:17">
      <c r="A15" s="49"/>
      <c r="B15" s="49"/>
      <c r="C15" s="49"/>
      <c r="D15" s="49"/>
      <c r="E15" s="49"/>
      <c r="F15" s="65" t="str">
        <f>'Backend data'!G6</f>
        <v>COB 12&amp;15W 3000K 12LED 36V 350mA 13.5x13.5mm CRI-90</v>
      </c>
      <c r="G15" s="67">
        <v>1</v>
      </c>
      <c r="H15" s="49" t="s">
        <v>213</v>
      </c>
      <c r="I15" s="49" t="s">
        <v>9</v>
      </c>
      <c r="J15" s="49"/>
      <c r="K15" s="49"/>
      <c r="L15" s="107">
        <f t="shared" si="0"/>
        <v>41.76</v>
      </c>
      <c r="M15" s="107">
        <f t="shared" si="1"/>
        <v>41.76</v>
      </c>
      <c r="N15" s="106">
        <v>0.32</v>
      </c>
      <c r="O15" s="101">
        <v>0.5</v>
      </c>
      <c r="P15" s="102"/>
      <c r="Q15" s="102">
        <f t="shared" ref="Q15" si="3">N15+(N15*(O15+P15))</f>
        <v>0.48</v>
      </c>
    </row>
    <row r="16" spans="1:17">
      <c r="A16" s="49"/>
      <c r="B16" s="49"/>
      <c r="C16" s="49"/>
      <c r="D16" s="49"/>
      <c r="E16" s="49"/>
      <c r="F16" s="65" t="str">
        <f>'Backend data'!H6</f>
        <v>PS 8W 200MA 36V LPF (PCB MT43-8-12W-V2 LPF)</v>
      </c>
      <c r="G16" s="67">
        <v>1</v>
      </c>
      <c r="H16" s="49" t="s">
        <v>189</v>
      </c>
      <c r="I16" s="49" t="s">
        <v>9</v>
      </c>
      <c r="J16" s="49"/>
      <c r="K16" s="49"/>
      <c r="L16" s="107"/>
      <c r="M16" s="107"/>
      <c r="N16" s="103" t="s">
        <v>346</v>
      </c>
      <c r="O16" s="103"/>
      <c r="P16" s="103"/>
      <c r="Q16" s="103"/>
    </row>
    <row r="17" spans="11:18" ht="20.25" customHeight="1" thickBot="1">
      <c r="L17" s="108"/>
      <c r="M17" s="104">
        <f>SUM(M2:M16)</f>
        <v>200.55857999999998</v>
      </c>
      <c r="N17" s="103"/>
      <c r="O17" s="103"/>
      <c r="P17" s="103"/>
      <c r="Q17" s="103"/>
    </row>
    <row r="18" spans="11:18" ht="15.75" thickTop="1"/>
    <row r="19" spans="11:18" ht="21" customHeight="1">
      <c r="K19" s="118" t="s">
        <v>347</v>
      </c>
      <c r="L19" s="119"/>
      <c r="M19" s="95">
        <f>M17+42</f>
        <v>242.55857999999998</v>
      </c>
    </row>
    <row r="20" spans="11:18" ht="21" customHeight="1">
      <c r="K20" s="118" t="s">
        <v>348</v>
      </c>
      <c r="L20" s="119"/>
      <c r="M20" s="95">
        <f>M17+275</f>
        <v>475.55858000000001</v>
      </c>
      <c r="R20" s="105" t="s">
        <v>353</v>
      </c>
    </row>
    <row r="21" spans="11:18" ht="21" customHeight="1">
      <c r="K21" s="118" t="s">
        <v>349</v>
      </c>
      <c r="L21" s="119"/>
      <c r="M21" s="96">
        <f>((M17)+(Q21*87))</f>
        <v>858.27858000000003</v>
      </c>
      <c r="N21" s="97">
        <v>5.04</v>
      </c>
      <c r="O21" s="98">
        <v>0.5</v>
      </c>
      <c r="P21" s="98"/>
      <c r="Q21" s="99">
        <f>N21+(N21*(O21+P21))</f>
        <v>7.5600000000000005</v>
      </c>
      <c r="R21">
        <f>Q21*87</f>
        <v>657.72</v>
      </c>
    </row>
    <row r="22" spans="11:18" ht="21" customHeight="1">
      <c r="K22" s="118" t="s">
        <v>350</v>
      </c>
      <c r="L22" s="119"/>
      <c r="M22" s="95">
        <f>M17+330</f>
        <v>530.55858000000001</v>
      </c>
    </row>
    <row r="23" spans="11:18" ht="21" customHeight="1">
      <c r="K23" s="118" t="s">
        <v>351</v>
      </c>
      <c r="L23" s="119"/>
      <c r="M23" s="96">
        <f>((M17)+(Q23*87))</f>
        <v>915.04607999999985</v>
      </c>
      <c r="N23" s="97">
        <v>5.4749999999999996</v>
      </c>
      <c r="O23" s="98">
        <v>0.5</v>
      </c>
      <c r="P23" s="98"/>
      <c r="Q23" s="99">
        <f>N23+(N23*(O23+P23))</f>
        <v>8.2124999999999986</v>
      </c>
      <c r="R23">
        <f>Q23*87</f>
        <v>714.48749999999984</v>
      </c>
    </row>
    <row r="24" spans="11:18" ht="21" customHeight="1">
      <c r="K24" s="118" t="s">
        <v>352</v>
      </c>
      <c r="L24" s="119"/>
      <c r="M24" s="95">
        <f>M17+330</f>
        <v>530.55858000000001</v>
      </c>
    </row>
  </sheetData>
  <mergeCells count="12">
    <mergeCell ref="K24:L24"/>
    <mergeCell ref="K19:L19"/>
    <mergeCell ref="K20:L20"/>
    <mergeCell ref="K21:L21"/>
    <mergeCell ref="K22:L22"/>
    <mergeCell ref="K23:L23"/>
    <mergeCell ref="Q4:Q5"/>
    <mergeCell ref="L4:L5"/>
    <mergeCell ref="M4:M5"/>
    <mergeCell ref="N4:N5"/>
    <mergeCell ref="O4:O5"/>
    <mergeCell ref="P4:P5"/>
  </mergeCells>
  <conditionalFormatting sqref="F1 F24:F1048576">
    <cfRule type="containsText" dxfId="29" priority="24" operator="containsText" text="PS-">
      <formula>NOT(ISERROR(SEARCH("PS-",F1)))</formula>
    </cfRule>
    <cfRule type="containsText" dxfId="28" priority="27" operator="containsText" text="COB-">
      <formula>NOT(ISERROR(SEARCH("COB-",F1)))</formula>
    </cfRule>
    <cfRule type="containsText" dxfId="27" priority="29" operator="containsText" text="TRIM">
      <formula>NOT(ISERROR(SEARCH("TRIM",F1)))</formula>
    </cfRule>
  </conditionalFormatting>
  <conditionalFormatting sqref="F1:G1 F24:G1048576">
    <cfRule type="containsText" dxfId="26" priority="23" operator="containsText" text="REFLECTOR">
      <formula>NOT(ISERROR(SEARCH("REFLECTOR",F1)))</formula>
    </cfRule>
  </conditionalFormatting>
  <conditionalFormatting sqref="F6">
    <cfRule type="containsText" dxfId="25" priority="18" operator="containsText" text="PS-">
      <formula>NOT(ISERROR(SEARCH("PS-",F6)))</formula>
    </cfRule>
    <cfRule type="containsText" dxfId="24" priority="19" operator="containsText" text="COB-">
      <formula>NOT(ISERROR(SEARCH("COB-",F6)))</formula>
    </cfRule>
    <cfRule type="containsText" dxfId="23" priority="20" operator="containsText" text="TRIM">
      <formula>NOT(ISERROR(SEARCH("TRIM",F6)))</formula>
    </cfRule>
  </conditionalFormatting>
  <conditionalFormatting sqref="F6">
    <cfRule type="containsText" dxfId="22" priority="17" operator="containsText" text="REFLECTOR">
      <formula>NOT(ISERROR(SEARCH("REFLECTOR",F6)))</formula>
    </cfRule>
  </conditionalFormatting>
  <conditionalFormatting sqref="F7">
    <cfRule type="containsText" dxfId="21" priority="13" operator="containsText" text="PS-">
      <formula>NOT(ISERROR(SEARCH("PS-",F7)))</formula>
    </cfRule>
    <cfRule type="containsText" dxfId="20" priority="14" operator="containsText" text="COB-">
      <formula>NOT(ISERROR(SEARCH("COB-",F7)))</formula>
    </cfRule>
    <cfRule type="containsText" dxfId="19" priority="15" operator="containsText" text="TRIM">
      <formula>NOT(ISERROR(SEARCH("TRIM",F7)))</formula>
    </cfRule>
  </conditionalFormatting>
  <conditionalFormatting sqref="F7">
    <cfRule type="containsText" dxfId="18" priority="12" operator="containsText" text="REFLECTOR">
      <formula>NOT(ISERROR(SEARCH("REFLECTOR",F7)))</formula>
    </cfRule>
  </conditionalFormatting>
  <conditionalFormatting sqref="F8:F9">
    <cfRule type="containsText" dxfId="17" priority="8" operator="containsText" text="PS-">
      <formula>NOT(ISERROR(SEARCH("PS-",F8)))</formula>
    </cfRule>
    <cfRule type="containsText" dxfId="16" priority="9" operator="containsText" text="COB-">
      <formula>NOT(ISERROR(SEARCH("COB-",F8)))</formula>
    </cfRule>
    <cfRule type="containsText" dxfId="15" priority="10" operator="containsText" text="TRIM">
      <formula>NOT(ISERROR(SEARCH("TRIM",F8)))</formula>
    </cfRule>
  </conditionalFormatting>
  <conditionalFormatting sqref="F8:F9">
    <cfRule type="containsText" dxfId="14" priority="7" operator="containsText" text="REFLECTOR">
      <formula>NOT(ISERROR(SEARCH("REFLECTOR",F8)))</formula>
    </cfRule>
  </conditionalFormatting>
  <conditionalFormatting sqref="F11">
    <cfRule type="containsText" dxfId="13" priority="3" operator="containsText" text="PS-">
      <formula>NOT(ISERROR(SEARCH("PS-",F11)))</formula>
    </cfRule>
    <cfRule type="containsText" dxfId="12" priority="4" operator="containsText" text="COB-">
      <formula>NOT(ISERROR(SEARCH("COB-",F11)))</formula>
    </cfRule>
    <cfRule type="containsText" dxfId="11" priority="5" operator="containsText" text="TRIM">
      <formula>NOT(ISERROR(SEARCH("TRIM",F11)))</formula>
    </cfRule>
  </conditionalFormatting>
  <conditionalFormatting sqref="F11">
    <cfRule type="containsText" dxfId="10" priority="2" operator="containsText" text="REFLECTOR">
      <formula>NOT(ISERROR(SEARCH("REFLECTOR",F11)))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F24:G1048576 F1:G1</xm:sqref>
        </x14:conditionalFormatting>
        <x14:conditionalFormatting xmlns:xm="http://schemas.microsoft.com/office/excel/2006/main">
          <x14:cfRule type="expression" priority="16" id="{74F1F0F6-88FF-4D60-8317-46CA429F557A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expression" priority="11" id="{00D969EF-D787-43F9-8A29-A1955446A540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6" id="{C6C454E8-2BB0-4D8D-A8EE-FB6C15FED803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F8:F9</xm:sqref>
        </x14:conditionalFormatting>
        <x14:conditionalFormatting xmlns:xm="http://schemas.microsoft.com/office/excel/2006/main">
          <x14:cfRule type="expression" priority="1" id="{55E5E716-04DE-4194-A534-61549EDC0FD2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Result!$B$2:$B$43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21" t="s">
        <v>20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3"/>
    </row>
    <row r="6" spans="1:17" ht="12.6" customHeight="1">
      <c r="A6" s="16" t="s">
        <v>21</v>
      </c>
      <c r="B6" s="12" t="s">
        <v>15</v>
      </c>
      <c r="C6" s="13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3"/>
    </row>
    <row r="7" spans="1:17" ht="12.6" customHeight="1">
      <c r="A7" s="16" t="s">
        <v>22</v>
      </c>
      <c r="B7" s="12" t="s">
        <v>15</v>
      </c>
      <c r="C7" s="13"/>
      <c r="E7" s="121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3"/>
    </row>
    <row r="8" spans="1:17" ht="12.6" customHeight="1">
      <c r="A8" s="16" t="s">
        <v>23</v>
      </c>
      <c r="B8" s="12" t="s">
        <v>15</v>
      </c>
      <c r="C8" s="13"/>
      <c r="E8" s="121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3"/>
    </row>
    <row r="9" spans="1:17" ht="12.95" customHeight="1">
      <c r="A9" s="16" t="s">
        <v>24</v>
      </c>
      <c r="B9" s="12" t="s">
        <v>15</v>
      </c>
      <c r="C9" s="13"/>
      <c r="E9" s="121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3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</row>
    <row r="20" spans="1:17" ht="25.5">
      <c r="A20" s="16" t="s">
        <v>40</v>
      </c>
      <c r="B20" s="12" t="s">
        <v>15</v>
      </c>
      <c r="C20" s="13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</row>
    <row r="21" spans="1:17">
      <c r="A21" s="16" t="s">
        <v>41</v>
      </c>
      <c r="B21" s="12" t="s">
        <v>15</v>
      </c>
      <c r="C21" s="13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</row>
    <row r="22" spans="1:17">
      <c r="A22" s="6" t="s">
        <v>42</v>
      </c>
      <c r="B22" s="30"/>
      <c r="C22" s="31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50"/>
  <sheetViews>
    <sheetView topLeftCell="Y13" workbookViewId="0">
      <selection activeCell="AA23" sqref="AA23:AB28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10.85546875" customWidth="1"/>
    <col min="5" max="5" width="10.42578125" bestFit="1" customWidth="1"/>
    <col min="6" max="6" width="11.85546875" bestFit="1" customWidth="1"/>
    <col min="7" max="7" width="36" customWidth="1"/>
    <col min="8" max="8" width="33.140625" style="51" customWidth="1"/>
    <col min="9" max="9" width="12.7109375" customWidth="1"/>
    <col min="11" max="11" width="2.7109375" customWidth="1"/>
    <col min="13" max="13" width="24.85546875" style="51" customWidth="1"/>
    <col min="15" max="15" width="6.140625" customWidth="1"/>
    <col min="16" max="16" width="2.28515625" customWidth="1"/>
    <col min="18" max="18" width="45.85546875" style="51" customWidth="1"/>
    <col min="21" max="21" width="1.42578125" customWidth="1"/>
    <col min="22" max="22" width="8.140625" customWidth="1"/>
    <col min="23" max="23" width="54.140625" customWidth="1"/>
    <col min="24" max="24" width="14.140625" customWidth="1"/>
    <col min="26" max="26" width="1.28515625" customWidth="1"/>
    <col min="28" max="28" width="55.7109375" style="51" bestFit="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195</v>
      </c>
      <c r="D2" s="61" t="s">
        <v>204</v>
      </c>
      <c r="E2" s="55" t="s">
        <v>196</v>
      </c>
      <c r="F2" s="55" t="s">
        <v>197</v>
      </c>
      <c r="G2" s="55" t="s">
        <v>200</v>
      </c>
      <c r="H2" s="54" t="s">
        <v>199</v>
      </c>
      <c r="I2" s="62" t="s">
        <v>205</v>
      </c>
    </row>
    <row r="3" spans="2:9">
      <c r="C3" s="63" t="str">
        <f>MID('Stock Item'!$D$2,4,1)</f>
        <v>R</v>
      </c>
      <c r="D3" s="52" t="str">
        <f>MID('Stock Item'!$D$2,4,3)</f>
        <v>R08</v>
      </c>
      <c r="E3" s="63" t="str">
        <f>MID('Stock Item'!$D$2,3,1)</f>
        <v>L</v>
      </c>
      <c r="F3" s="63" t="str">
        <f>MID('Stock Item'!$D$2,7,2)</f>
        <v>VN</v>
      </c>
      <c r="G3" s="51" t="str">
        <f>MID('Stock Item'!$D$2,9,2)</f>
        <v>30</v>
      </c>
      <c r="H3" s="63" t="str">
        <f>MID('Stock Item'!$D$2,11,11)</f>
        <v/>
      </c>
      <c r="I3" t="str">
        <f>MID('Stock Item'!$D$2,2,1)</f>
        <v>R</v>
      </c>
    </row>
    <row r="4" spans="2:9">
      <c r="D4" s="64" t="str">
        <f>CONCATENATE($D$3)</f>
        <v>R08</v>
      </c>
      <c r="G4" s="64" t="str">
        <f>CONCATENATE($G$3,$H$4)</f>
        <v>30-</v>
      </c>
      <c r="H4" s="51" t="str">
        <f>CONCATENATE($H$3,"-")</f>
        <v>-</v>
      </c>
    </row>
    <row r="5" spans="2:9">
      <c r="H5" s="51" t="str">
        <f>CONCATENATE('Stock Item'!D2)</f>
        <v>NRLR08VN30</v>
      </c>
    </row>
    <row r="6" spans="2:9" ht="30">
      <c r="B6" s="54" t="s">
        <v>201</v>
      </c>
      <c r="C6" s="58" t="str">
        <f>VLOOKUP($C$3,$B$23:$E$73,2,0)</f>
        <v>Trim-O-68 I-51 H-63mm White NRRR8-18W</v>
      </c>
      <c r="D6" s="57" t="str">
        <f>VLOOKUP($D$4,G23:$J$101,2,0)</f>
        <v>HS 50X24mm 8W DR-NR-SR</v>
      </c>
      <c r="E6" s="57" t="e">
        <f>VLOOKUP($E$3,$L$23:$O$73,2,0)</f>
        <v>#N/A</v>
      </c>
      <c r="F6" s="57" t="str">
        <f>VLOOKUP($F$3,$Q$23:$T$73,2,0)</f>
        <v>Lens GLC-O-50 L-13.4 H-13.4   15° PC ( Zhenglian)</v>
      </c>
      <c r="G6" s="57" t="str">
        <f>VLOOKUP($G$4,$V$23:$Y$73,2,0)</f>
        <v>COB 12&amp;15W 3000K 12LED 36V 350mA 13.5x13.5mm CRI-90</v>
      </c>
      <c r="H6" s="56" t="str">
        <f>VLOOKUP($H$4,$AA$23:$AD$73,2,0)</f>
        <v>PS 8W 200MA 36V LPF (PCB MT43-8-12W-V2 LPF)</v>
      </c>
      <c r="I6" s="56" t="e">
        <f>VLOOKUP($I$3,AF23:$AI$101,2,0)</f>
        <v>#N/A</v>
      </c>
    </row>
    <row r="7" spans="2:9" ht="30">
      <c r="B7" s="54" t="s">
        <v>202</v>
      </c>
      <c r="C7" s="58">
        <f>VLOOKUP($C$3,$B$23:$E$73,4,0)</f>
        <v>0</v>
      </c>
      <c r="D7" s="57">
        <f>VLOOKUP($D$4,G23:$J$101,4,0)</f>
        <v>0</v>
      </c>
      <c r="E7" s="57" t="e">
        <f>VLOOKUP($E$3,$L$23:$O$73,4,0)</f>
        <v>#N/A</v>
      </c>
      <c r="F7" s="57">
        <f>VLOOKUP($F$3,$Q$23:$T$73,4,0)</f>
        <v>0</v>
      </c>
      <c r="G7" s="57">
        <f>VLOOKUP($G$4,$V$23:$Y$73,4,0)</f>
        <v>0</v>
      </c>
      <c r="H7" s="56">
        <f>VLOOKUP($H$4,$AA$23:$AD$73,4,0)</f>
        <v>0</v>
      </c>
      <c r="I7" s="56" t="e">
        <f>VLOOKUP($I$3,$AF$23:$AI$101,4,0)</f>
        <v>#N/A</v>
      </c>
    </row>
    <row r="8" spans="2:9" ht="45">
      <c r="B8" s="59" t="s">
        <v>203</v>
      </c>
      <c r="C8" s="58">
        <f>VLOOKUP($C$3,$B$23:$E$73,3,0)</f>
        <v>0</v>
      </c>
      <c r="D8" s="57">
        <f>VLOOKUP($D$4,G23:$J$101,3,0)</f>
        <v>0</v>
      </c>
      <c r="E8" s="57" t="e">
        <f>VLOOKUP($E$3,$L$23:$O$73,3,0)</f>
        <v>#N/A</v>
      </c>
      <c r="F8" s="57">
        <f>VLOOKUP($F$3,$Q$23:$T$73,3,0)</f>
        <v>0</v>
      </c>
      <c r="G8" s="57">
        <f>VLOOKUP($G$4,$V$23:$Y$73,3,0)</f>
        <v>0</v>
      </c>
      <c r="H8" s="56">
        <f>VLOOKUP($H$4,$AA$23:$AD$73,3,0)</f>
        <v>0</v>
      </c>
      <c r="I8" s="56" t="e">
        <f>VLOOKUP($I$3,$AF$23:$AI$101,3,0)</f>
        <v>#N/A</v>
      </c>
    </row>
    <row r="10" spans="2:9">
      <c r="H10" s="66" t="s">
        <v>212</v>
      </c>
    </row>
    <row r="19" spans="2:35" ht="13.9" customHeight="1"/>
    <row r="21" spans="2:35">
      <c r="B21" s="127" t="s">
        <v>195</v>
      </c>
      <c r="C21" s="128"/>
      <c r="D21" s="128"/>
      <c r="E21" s="128"/>
      <c r="G21" s="127" t="s">
        <v>204</v>
      </c>
      <c r="H21" s="128"/>
      <c r="I21" s="128"/>
      <c r="J21" s="128"/>
      <c r="L21" s="127" t="s">
        <v>196</v>
      </c>
      <c r="M21" s="128"/>
      <c r="N21" s="128"/>
      <c r="O21" s="128"/>
      <c r="Q21" s="127" t="s">
        <v>197</v>
      </c>
      <c r="R21" s="128"/>
      <c r="S21" s="128"/>
      <c r="T21" s="128"/>
      <c r="V21" s="127" t="s">
        <v>198</v>
      </c>
      <c r="W21" s="128"/>
      <c r="X21" s="128"/>
      <c r="Y21" s="128"/>
      <c r="AA21" s="124" t="s">
        <v>199</v>
      </c>
      <c r="AB21" s="125"/>
      <c r="AC21" s="125"/>
      <c r="AD21" s="126"/>
      <c r="AF21" s="124" t="s">
        <v>205</v>
      </c>
      <c r="AG21" s="125"/>
      <c r="AH21" s="125"/>
      <c r="AI21" s="126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>
      <c r="B23" s="70" t="s">
        <v>206</v>
      </c>
      <c r="C23" s="69" t="s">
        <v>318</v>
      </c>
      <c r="D23" s="70"/>
      <c r="E23" s="70"/>
      <c r="G23" s="49" t="s">
        <v>255</v>
      </c>
      <c r="H23" s="83" t="s">
        <v>272</v>
      </c>
      <c r="M23"/>
      <c r="Q23" s="60" t="s">
        <v>271</v>
      </c>
      <c r="R23" s="85" t="s">
        <v>317</v>
      </c>
      <c r="S23" s="60"/>
      <c r="T23" s="60"/>
      <c r="V23" s="49" t="s">
        <v>215</v>
      </c>
      <c r="W23" s="74" t="s">
        <v>338</v>
      </c>
      <c r="X23" s="49"/>
      <c r="Y23" s="49"/>
      <c r="AA23" s="72" t="s">
        <v>211</v>
      </c>
      <c r="AB23" s="49" t="s">
        <v>327</v>
      </c>
      <c r="AF23" s="60"/>
      <c r="AG23" s="60"/>
      <c r="AH23" s="60"/>
      <c r="AI23" s="60"/>
    </row>
    <row r="24" spans="2:35">
      <c r="B24" s="71" t="s">
        <v>19</v>
      </c>
      <c r="C24" s="86" t="s">
        <v>319</v>
      </c>
      <c r="D24" s="70"/>
      <c r="E24" s="70"/>
      <c r="M24"/>
      <c r="S24" s="60"/>
      <c r="T24" s="60"/>
      <c r="V24" s="49" t="s">
        <v>207</v>
      </c>
      <c r="W24" s="49" t="s">
        <v>333</v>
      </c>
      <c r="X24" s="49"/>
      <c r="Y24" s="49"/>
      <c r="AA24" s="73" t="s">
        <v>217</v>
      </c>
      <c r="AB24" s="87" t="s">
        <v>328</v>
      </c>
      <c r="AF24" s="60"/>
      <c r="AG24" s="60"/>
      <c r="AH24" s="60"/>
      <c r="AI24" s="60"/>
    </row>
    <row r="25" spans="2:35">
      <c r="B25" s="71" t="s">
        <v>210</v>
      </c>
      <c r="C25" s="86" t="s">
        <v>320</v>
      </c>
      <c r="D25" s="70"/>
      <c r="E25" s="70"/>
      <c r="M25"/>
      <c r="V25" s="49" t="s">
        <v>208</v>
      </c>
      <c r="W25" s="49" t="s">
        <v>334</v>
      </c>
      <c r="X25" s="49"/>
      <c r="Y25" s="49"/>
      <c r="AA25" s="73" t="s">
        <v>218</v>
      </c>
      <c r="AB25" s="87" t="s">
        <v>329</v>
      </c>
      <c r="AF25" s="49"/>
      <c r="AG25" s="60"/>
      <c r="AH25" s="60"/>
      <c r="AI25" s="60"/>
    </row>
    <row r="26" spans="2:35">
      <c r="M26"/>
      <c r="V26" s="49" t="s">
        <v>216</v>
      </c>
      <c r="W26" s="49" t="s">
        <v>335</v>
      </c>
      <c r="X26" s="49"/>
      <c r="Y26" s="49"/>
      <c r="AA26" s="73" t="s">
        <v>219</v>
      </c>
      <c r="AB26" s="87" t="s">
        <v>330</v>
      </c>
      <c r="AF26" s="49"/>
      <c r="AG26" s="60"/>
      <c r="AH26" s="60"/>
      <c r="AI26" s="60"/>
    </row>
    <row r="27" spans="2:35">
      <c r="H27"/>
      <c r="M27"/>
      <c r="V27" s="49" t="s">
        <v>209</v>
      </c>
      <c r="W27" s="49" t="s">
        <v>336</v>
      </c>
      <c r="X27" s="49"/>
      <c r="Y27" s="49"/>
      <c r="AA27" s="79" t="s">
        <v>220</v>
      </c>
      <c r="AB27" s="87" t="s">
        <v>331</v>
      </c>
    </row>
    <row r="28" spans="2:35">
      <c r="V28" s="49"/>
      <c r="W28" s="76"/>
      <c r="X28" s="49"/>
      <c r="Y28" s="49"/>
      <c r="AA28" s="79" t="s">
        <v>221</v>
      </c>
      <c r="AB28" s="87" t="s">
        <v>332</v>
      </c>
    </row>
    <row r="29" spans="2:35">
      <c r="V29" s="49" t="s">
        <v>222</v>
      </c>
      <c r="W29" s="74" t="s">
        <v>338</v>
      </c>
      <c r="X29" s="49"/>
      <c r="Y29" s="49"/>
    </row>
    <row r="30" spans="2:35">
      <c r="V30" s="49" t="s">
        <v>223</v>
      </c>
      <c r="W30" s="49" t="s">
        <v>333</v>
      </c>
      <c r="X30" s="49"/>
      <c r="Y30" s="49"/>
      <c r="AB30"/>
    </row>
    <row r="31" spans="2:35">
      <c r="V31" s="49" t="s">
        <v>224</v>
      </c>
      <c r="W31" s="49" t="s">
        <v>334</v>
      </c>
      <c r="X31" s="49"/>
      <c r="Y31" s="49"/>
      <c r="AB31"/>
    </row>
    <row r="32" spans="2:35">
      <c r="V32" s="49" t="s">
        <v>225</v>
      </c>
      <c r="W32" s="49" t="s">
        <v>335</v>
      </c>
      <c r="X32" s="49"/>
      <c r="Y32" s="49"/>
      <c r="AB32"/>
    </row>
    <row r="33" spans="22:28">
      <c r="V33" s="49" t="s">
        <v>226</v>
      </c>
      <c r="W33" s="49" t="s">
        <v>336</v>
      </c>
      <c r="X33" s="49"/>
      <c r="Y33" s="49"/>
      <c r="AB33"/>
    </row>
    <row r="34" spans="22:28">
      <c r="V34" s="76"/>
      <c r="W34" s="76"/>
      <c r="X34" s="49"/>
      <c r="Y34" s="49"/>
      <c r="AB34"/>
    </row>
    <row r="35" spans="22:28">
      <c r="V35" s="77" t="s">
        <v>236</v>
      </c>
      <c r="W35" s="74" t="s">
        <v>338</v>
      </c>
      <c r="X35" s="49"/>
      <c r="Y35" s="49"/>
      <c r="AB35"/>
    </row>
    <row r="36" spans="22:28">
      <c r="V36" s="77" t="s">
        <v>227</v>
      </c>
      <c r="W36" s="49" t="s">
        <v>333</v>
      </c>
      <c r="X36" s="49"/>
      <c r="Y36" s="49"/>
      <c r="AB36"/>
    </row>
    <row r="37" spans="22:28">
      <c r="V37" s="77" t="s">
        <v>228</v>
      </c>
      <c r="W37" s="49" t="s">
        <v>334</v>
      </c>
      <c r="X37" s="49"/>
      <c r="Y37" s="49"/>
      <c r="AB37"/>
    </row>
    <row r="38" spans="22:28">
      <c r="V38" s="77" t="s">
        <v>229</v>
      </c>
      <c r="W38" s="49" t="s">
        <v>335</v>
      </c>
      <c r="X38" s="49"/>
      <c r="Y38" s="49"/>
      <c r="AB38"/>
    </row>
    <row r="39" spans="22:28">
      <c r="V39" s="77" t="s">
        <v>230</v>
      </c>
      <c r="W39" s="49" t="s">
        <v>336</v>
      </c>
      <c r="X39" s="49"/>
      <c r="Y39" s="49"/>
      <c r="AB39"/>
    </row>
    <row r="40" spans="22:28">
      <c r="V40" s="77" t="s">
        <v>238</v>
      </c>
      <c r="W40" s="87" t="s">
        <v>337</v>
      </c>
      <c r="X40" s="49"/>
      <c r="Y40" s="49"/>
      <c r="AB40"/>
    </row>
    <row r="41" spans="22:28">
      <c r="V41" s="75"/>
      <c r="W41" s="77"/>
      <c r="X41" s="49"/>
      <c r="Y41" s="49"/>
      <c r="AB41"/>
    </row>
    <row r="42" spans="22:28">
      <c r="V42" s="77" t="s">
        <v>231</v>
      </c>
      <c r="W42" s="74" t="s">
        <v>338</v>
      </c>
      <c r="X42" s="49"/>
      <c r="Y42" s="49"/>
      <c r="AB42"/>
    </row>
    <row r="43" spans="22:28">
      <c r="V43" s="77" t="s">
        <v>232</v>
      </c>
      <c r="W43" s="49" t="s">
        <v>333</v>
      </c>
      <c r="X43" s="49"/>
      <c r="Y43" s="49"/>
      <c r="AB43"/>
    </row>
    <row r="44" spans="22:28">
      <c r="V44" s="77" t="s">
        <v>233</v>
      </c>
      <c r="W44" s="49" t="s">
        <v>334</v>
      </c>
      <c r="X44" s="49"/>
      <c r="Y44" s="49"/>
      <c r="AB44"/>
    </row>
    <row r="45" spans="22:28">
      <c r="V45" s="77" t="s">
        <v>234</v>
      </c>
      <c r="W45" s="49" t="s">
        <v>335</v>
      </c>
      <c r="X45" s="49"/>
      <c r="Y45" s="49"/>
      <c r="AB45"/>
    </row>
    <row r="46" spans="22:28">
      <c r="V46" s="77" t="s">
        <v>235</v>
      </c>
      <c r="W46" s="49" t="s">
        <v>336</v>
      </c>
      <c r="X46" s="49"/>
      <c r="Y46" s="49"/>
      <c r="AB46"/>
    </row>
    <row r="47" spans="22:28">
      <c r="V47" s="77" t="s">
        <v>237</v>
      </c>
      <c r="W47" s="87" t="s">
        <v>337</v>
      </c>
      <c r="X47" s="49"/>
      <c r="Y47" s="49"/>
      <c r="AB47"/>
    </row>
    <row r="48" spans="22:28">
      <c r="AB48"/>
    </row>
    <row r="49" spans="28:28">
      <c r="AB49"/>
    </row>
    <row r="50" spans="28:28">
      <c r="AB50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C23:C25">
    <cfRule type="expression" dxfId="4" priority="1">
      <formula>$F:$F=$C$2:$H$2</formula>
    </cfRule>
    <cfRule type="containsText" dxfId="3" priority="2" operator="containsText" text="REFLECTOR">
      <formula>NOT(ISERROR(SEARCH("REFLECTOR",C23)))</formula>
    </cfRule>
    <cfRule type="containsText" dxfId="2" priority="3" operator="containsText" text="PS-">
      <formula>NOT(ISERROR(SEARCH("PS-",C23)))</formula>
    </cfRule>
    <cfRule type="containsText" dxfId="1" priority="4" operator="containsText" text="COB-">
      <formula>NOT(ISERROR(SEARCH("COB-",C23)))</formula>
    </cfRule>
    <cfRule type="containsText" dxfId="0" priority="5" operator="containsText" text="TRIM">
      <formula>NOT(ISERROR(SEARCH("TRIM",C23)))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opLeftCell="A25" workbookViewId="0">
      <selection activeCell="N56" sqref="N56"/>
    </sheetView>
  </sheetViews>
  <sheetFormatPr defaultRowHeight="15"/>
  <cols>
    <col min="1" max="13" width="9.140625" style="81"/>
    <col min="14" max="14" width="24.28515625" style="81" customWidth="1"/>
    <col min="15" max="16384" width="9.140625" style="81"/>
  </cols>
  <sheetData>
    <row r="1" spans="1:15">
      <c r="A1" s="81" t="s">
        <v>256</v>
      </c>
      <c r="B1" s="81" t="s">
        <v>257</v>
      </c>
      <c r="C1" s="81" t="s">
        <v>258</v>
      </c>
      <c r="D1" s="81" t="s">
        <v>259</v>
      </c>
      <c r="E1" s="81" t="s">
        <v>260</v>
      </c>
      <c r="F1" s="81" t="s">
        <v>261</v>
      </c>
      <c r="G1" s="81" t="s">
        <v>262</v>
      </c>
      <c r="H1" s="81" t="s">
        <v>263</v>
      </c>
      <c r="I1" s="81" t="s">
        <v>264</v>
      </c>
      <c r="J1" s="81" t="s">
        <v>265</v>
      </c>
      <c r="K1" s="81" t="s">
        <v>266</v>
      </c>
      <c r="L1" s="81" t="s">
        <v>267</v>
      </c>
      <c r="M1" s="81" t="s">
        <v>268</v>
      </c>
      <c r="N1" s="81" t="s">
        <v>269</v>
      </c>
      <c r="O1" s="81" t="s">
        <v>270</v>
      </c>
    </row>
    <row r="2" spans="1:15">
      <c r="A2" s="81">
        <v>206778</v>
      </c>
      <c r="B2" s="81" t="s">
        <v>273</v>
      </c>
      <c r="D2" s="81">
        <v>0</v>
      </c>
      <c r="E2" s="81">
        <v>0</v>
      </c>
      <c r="F2" s="81">
        <v>0</v>
      </c>
      <c r="G2" s="81">
        <v>0</v>
      </c>
      <c r="H2" s="81">
        <v>0</v>
      </c>
      <c r="I2" s="81">
        <v>0</v>
      </c>
      <c r="J2" s="81">
        <v>0</v>
      </c>
      <c r="K2" s="81" t="s">
        <v>239</v>
      </c>
      <c r="L2" s="81" t="s">
        <v>274</v>
      </c>
      <c r="M2" s="81" t="s">
        <v>244</v>
      </c>
      <c r="N2" s="81" t="s">
        <v>241</v>
      </c>
      <c r="O2" s="81" t="s">
        <v>242</v>
      </c>
    </row>
    <row r="3" spans="1:15">
      <c r="A3" s="81">
        <v>206779</v>
      </c>
      <c r="B3" s="81" t="s">
        <v>275</v>
      </c>
      <c r="D3" s="81">
        <v>0</v>
      </c>
      <c r="E3" s="81">
        <v>0</v>
      </c>
      <c r="F3" s="81">
        <v>0</v>
      </c>
      <c r="G3" s="81">
        <v>0</v>
      </c>
      <c r="H3" s="81">
        <v>0</v>
      </c>
      <c r="I3" s="81">
        <v>0</v>
      </c>
      <c r="J3" s="81">
        <v>0</v>
      </c>
      <c r="K3" s="81" t="s">
        <v>239</v>
      </c>
      <c r="L3" s="81" t="s">
        <v>274</v>
      </c>
      <c r="M3" s="81" t="s">
        <v>240</v>
      </c>
      <c r="N3" s="81" t="s">
        <v>241</v>
      </c>
      <c r="O3" s="81" t="s">
        <v>242</v>
      </c>
    </row>
    <row r="4" spans="1:15">
      <c r="A4" s="81">
        <v>206780</v>
      </c>
      <c r="B4" s="81" t="s">
        <v>276</v>
      </c>
      <c r="D4" s="81">
        <v>0</v>
      </c>
      <c r="E4" s="81">
        <v>0</v>
      </c>
      <c r="F4" s="81">
        <v>0</v>
      </c>
      <c r="G4" s="81">
        <v>0</v>
      </c>
      <c r="H4" s="81">
        <v>0</v>
      </c>
      <c r="I4" s="81">
        <v>0</v>
      </c>
      <c r="J4" s="81">
        <v>0</v>
      </c>
      <c r="K4" s="81" t="s">
        <v>239</v>
      </c>
      <c r="L4" s="81" t="s">
        <v>274</v>
      </c>
      <c r="M4" s="81" t="s">
        <v>243</v>
      </c>
      <c r="N4" s="81" t="s">
        <v>241</v>
      </c>
      <c r="O4" s="81" t="s">
        <v>242</v>
      </c>
    </row>
    <row r="5" spans="1:15">
      <c r="A5" s="81">
        <v>206786</v>
      </c>
      <c r="B5" s="81" t="s">
        <v>277</v>
      </c>
      <c r="D5" s="81">
        <v>0</v>
      </c>
      <c r="E5" s="81">
        <v>0</v>
      </c>
      <c r="F5" s="81">
        <v>0</v>
      </c>
      <c r="G5" s="81">
        <v>0</v>
      </c>
      <c r="H5" s="81">
        <v>0</v>
      </c>
      <c r="I5" s="81">
        <v>0</v>
      </c>
      <c r="J5" s="81">
        <v>0</v>
      </c>
      <c r="K5" s="81" t="s">
        <v>245</v>
      </c>
      <c r="L5" s="81" t="s">
        <v>274</v>
      </c>
      <c r="M5" s="81" t="s">
        <v>244</v>
      </c>
      <c r="N5" s="81" t="s">
        <v>241</v>
      </c>
      <c r="O5" s="81" t="s">
        <v>242</v>
      </c>
    </row>
    <row r="6" spans="1:15">
      <c r="A6" s="81">
        <v>206787</v>
      </c>
      <c r="B6" s="81" t="s">
        <v>278</v>
      </c>
      <c r="D6" s="81">
        <v>0</v>
      </c>
      <c r="E6" s="81">
        <v>0</v>
      </c>
      <c r="F6" s="81">
        <v>0</v>
      </c>
      <c r="G6" s="81">
        <v>0</v>
      </c>
      <c r="H6" s="81">
        <v>0</v>
      </c>
      <c r="I6" s="81">
        <v>0</v>
      </c>
      <c r="J6" s="81">
        <v>0</v>
      </c>
      <c r="K6" s="81" t="s">
        <v>245</v>
      </c>
      <c r="L6" s="81" t="s">
        <v>274</v>
      </c>
      <c r="M6" s="81" t="s">
        <v>240</v>
      </c>
      <c r="N6" s="81" t="s">
        <v>241</v>
      </c>
      <c r="O6" s="81" t="s">
        <v>242</v>
      </c>
    </row>
    <row r="7" spans="1:15">
      <c r="A7" s="81">
        <v>206788</v>
      </c>
      <c r="B7" s="81" t="s">
        <v>279</v>
      </c>
      <c r="D7" s="81">
        <v>0</v>
      </c>
      <c r="E7" s="81">
        <v>0</v>
      </c>
      <c r="F7" s="81">
        <v>0</v>
      </c>
      <c r="G7" s="81">
        <v>0</v>
      </c>
      <c r="H7" s="81">
        <v>0</v>
      </c>
      <c r="I7" s="81">
        <v>0</v>
      </c>
      <c r="J7" s="81">
        <v>0</v>
      </c>
      <c r="K7" s="81" t="s">
        <v>245</v>
      </c>
      <c r="L7" s="81" t="s">
        <v>274</v>
      </c>
      <c r="M7" s="81" t="s">
        <v>243</v>
      </c>
      <c r="N7" s="81" t="s">
        <v>241</v>
      </c>
      <c r="O7" s="81" t="s">
        <v>242</v>
      </c>
    </row>
    <row r="8" spans="1:15">
      <c r="A8" s="81">
        <v>206794</v>
      </c>
      <c r="B8" s="81" t="s">
        <v>280</v>
      </c>
      <c r="D8" s="81">
        <v>0</v>
      </c>
      <c r="E8" s="81">
        <v>0</v>
      </c>
      <c r="F8" s="81">
        <v>0</v>
      </c>
      <c r="G8" s="81">
        <v>0</v>
      </c>
      <c r="H8" s="81">
        <v>0</v>
      </c>
      <c r="I8" s="81">
        <v>0</v>
      </c>
      <c r="J8" s="81">
        <v>0</v>
      </c>
      <c r="K8" s="81" t="s">
        <v>246</v>
      </c>
      <c r="L8" s="81" t="s">
        <v>274</v>
      </c>
      <c r="M8" s="81" t="s">
        <v>244</v>
      </c>
      <c r="N8" s="81" t="s">
        <v>241</v>
      </c>
      <c r="O8" s="81" t="s">
        <v>242</v>
      </c>
    </row>
    <row r="9" spans="1:15">
      <c r="A9" s="81">
        <v>206795</v>
      </c>
      <c r="B9" s="81" t="s">
        <v>281</v>
      </c>
      <c r="D9" s="81">
        <v>0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81">
        <v>0</v>
      </c>
      <c r="K9" s="81" t="s">
        <v>246</v>
      </c>
      <c r="L9" s="81" t="s">
        <v>274</v>
      </c>
      <c r="M9" s="81" t="s">
        <v>240</v>
      </c>
      <c r="N9" s="81" t="s">
        <v>241</v>
      </c>
      <c r="O9" s="81" t="s">
        <v>242</v>
      </c>
    </row>
    <row r="10" spans="1:15">
      <c r="A10" s="81">
        <v>206796</v>
      </c>
      <c r="B10" s="81" t="s">
        <v>282</v>
      </c>
      <c r="D10" s="81">
        <v>0</v>
      </c>
      <c r="E10" s="81">
        <v>0</v>
      </c>
      <c r="F10" s="81">
        <v>0</v>
      </c>
      <c r="G10" s="81">
        <v>0</v>
      </c>
      <c r="H10" s="81">
        <v>0</v>
      </c>
      <c r="I10" s="81">
        <v>0</v>
      </c>
      <c r="J10" s="81">
        <v>0</v>
      </c>
      <c r="K10" s="81" t="s">
        <v>246</v>
      </c>
      <c r="L10" s="81" t="s">
        <v>274</v>
      </c>
      <c r="M10" s="81" t="s">
        <v>243</v>
      </c>
      <c r="N10" s="81" t="s">
        <v>241</v>
      </c>
      <c r="O10" s="81" t="s">
        <v>242</v>
      </c>
    </row>
    <row r="11" spans="1:15">
      <c r="A11" s="81">
        <v>206802</v>
      </c>
      <c r="B11" s="81" t="s">
        <v>283</v>
      </c>
      <c r="D11" s="81">
        <v>0</v>
      </c>
      <c r="E11" s="81">
        <v>0</v>
      </c>
      <c r="F11" s="81">
        <v>0</v>
      </c>
      <c r="G11" s="81">
        <v>0</v>
      </c>
      <c r="H11" s="81">
        <v>0</v>
      </c>
      <c r="I11" s="81">
        <v>0</v>
      </c>
      <c r="J11" s="81">
        <v>0</v>
      </c>
      <c r="K11" s="81" t="s">
        <v>239</v>
      </c>
      <c r="L11" s="81" t="s">
        <v>274</v>
      </c>
      <c r="M11" s="81" t="s">
        <v>244</v>
      </c>
      <c r="N11" s="81" t="s">
        <v>247</v>
      </c>
      <c r="O11" s="81" t="s">
        <v>242</v>
      </c>
    </row>
    <row r="12" spans="1:15">
      <c r="A12" s="81">
        <v>206803</v>
      </c>
      <c r="B12" s="81" t="s">
        <v>284</v>
      </c>
      <c r="D12" s="81">
        <v>0</v>
      </c>
      <c r="E12" s="81">
        <v>0</v>
      </c>
      <c r="F12" s="81">
        <v>0</v>
      </c>
      <c r="G12" s="81">
        <v>0</v>
      </c>
      <c r="H12" s="81">
        <v>0</v>
      </c>
      <c r="I12" s="81">
        <v>0</v>
      </c>
      <c r="J12" s="81">
        <v>0</v>
      </c>
      <c r="K12" s="81" t="s">
        <v>239</v>
      </c>
      <c r="L12" s="81" t="s">
        <v>274</v>
      </c>
      <c r="M12" s="81" t="s">
        <v>240</v>
      </c>
      <c r="N12" s="81" t="s">
        <v>247</v>
      </c>
      <c r="O12" s="81" t="s">
        <v>242</v>
      </c>
    </row>
    <row r="13" spans="1:15">
      <c r="A13" s="81">
        <v>206804</v>
      </c>
      <c r="B13" s="81" t="s">
        <v>285</v>
      </c>
      <c r="D13" s="81">
        <v>0</v>
      </c>
      <c r="E13" s="81">
        <v>0</v>
      </c>
      <c r="F13" s="81">
        <v>0</v>
      </c>
      <c r="G13" s="81">
        <v>0</v>
      </c>
      <c r="H13" s="81">
        <v>0</v>
      </c>
      <c r="I13" s="81">
        <v>0</v>
      </c>
      <c r="J13" s="81">
        <v>0</v>
      </c>
      <c r="K13" s="81" t="s">
        <v>239</v>
      </c>
      <c r="L13" s="81" t="s">
        <v>274</v>
      </c>
      <c r="M13" s="81" t="s">
        <v>243</v>
      </c>
      <c r="N13" s="81" t="s">
        <v>247</v>
      </c>
      <c r="O13" s="81" t="s">
        <v>242</v>
      </c>
    </row>
    <row r="14" spans="1:15">
      <c r="A14" s="81">
        <v>206810</v>
      </c>
      <c r="B14" s="81" t="s">
        <v>286</v>
      </c>
      <c r="D14" s="81">
        <v>0</v>
      </c>
      <c r="E14" s="81">
        <v>0</v>
      </c>
      <c r="F14" s="81">
        <v>0</v>
      </c>
      <c r="G14" s="81">
        <v>0</v>
      </c>
      <c r="H14" s="81">
        <v>0</v>
      </c>
      <c r="I14" s="81">
        <v>0</v>
      </c>
      <c r="J14" s="81">
        <v>0</v>
      </c>
      <c r="K14" s="81" t="s">
        <v>245</v>
      </c>
      <c r="L14" s="81" t="s">
        <v>274</v>
      </c>
      <c r="M14" s="81" t="s">
        <v>244</v>
      </c>
      <c r="N14" s="81" t="s">
        <v>247</v>
      </c>
      <c r="O14" s="81" t="s">
        <v>242</v>
      </c>
    </row>
    <row r="15" spans="1:15">
      <c r="A15" s="81">
        <v>206811</v>
      </c>
      <c r="B15" s="81" t="s">
        <v>287</v>
      </c>
      <c r="D15" s="81">
        <v>0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1" t="s">
        <v>245</v>
      </c>
      <c r="L15" s="81" t="s">
        <v>274</v>
      </c>
      <c r="M15" s="81" t="s">
        <v>240</v>
      </c>
      <c r="N15" s="81" t="s">
        <v>247</v>
      </c>
      <c r="O15" s="81" t="s">
        <v>242</v>
      </c>
    </row>
    <row r="16" spans="1:15">
      <c r="A16" s="81">
        <v>206812</v>
      </c>
      <c r="B16" s="81" t="s">
        <v>288</v>
      </c>
      <c r="D16" s="81">
        <v>0</v>
      </c>
      <c r="E16" s="81">
        <v>0</v>
      </c>
      <c r="F16" s="81">
        <v>0</v>
      </c>
      <c r="G16" s="81">
        <v>0</v>
      </c>
      <c r="H16" s="81">
        <v>0</v>
      </c>
      <c r="I16" s="81">
        <v>0</v>
      </c>
      <c r="J16" s="81">
        <v>0</v>
      </c>
      <c r="K16" s="81" t="s">
        <v>245</v>
      </c>
      <c r="L16" s="81" t="s">
        <v>274</v>
      </c>
      <c r="M16" s="81" t="s">
        <v>243</v>
      </c>
      <c r="N16" s="81" t="s">
        <v>247</v>
      </c>
      <c r="O16" s="81" t="s">
        <v>242</v>
      </c>
    </row>
    <row r="17" spans="1:15">
      <c r="A17" s="81">
        <v>206818</v>
      </c>
      <c r="B17" s="81" t="s">
        <v>289</v>
      </c>
      <c r="D17" s="81">
        <v>0</v>
      </c>
      <c r="E17" s="81">
        <v>0</v>
      </c>
      <c r="F17" s="81">
        <v>0</v>
      </c>
      <c r="G17" s="81">
        <v>0</v>
      </c>
      <c r="H17" s="81">
        <v>0</v>
      </c>
      <c r="I17" s="81">
        <v>0</v>
      </c>
      <c r="J17" s="81">
        <v>0</v>
      </c>
      <c r="K17" s="81" t="s">
        <v>246</v>
      </c>
      <c r="L17" s="81" t="s">
        <v>274</v>
      </c>
      <c r="M17" s="81" t="s">
        <v>244</v>
      </c>
      <c r="N17" s="81" t="s">
        <v>247</v>
      </c>
      <c r="O17" s="81" t="s">
        <v>242</v>
      </c>
    </row>
    <row r="18" spans="1:15">
      <c r="A18" s="81">
        <v>206819</v>
      </c>
      <c r="B18" s="81" t="s">
        <v>290</v>
      </c>
      <c r="D18" s="81">
        <v>0</v>
      </c>
      <c r="E18" s="81">
        <v>0</v>
      </c>
      <c r="F18" s="81">
        <v>0</v>
      </c>
      <c r="G18" s="81">
        <v>0</v>
      </c>
      <c r="H18" s="81">
        <v>0</v>
      </c>
      <c r="I18" s="81">
        <v>0</v>
      </c>
      <c r="J18" s="81">
        <v>0</v>
      </c>
      <c r="K18" s="81" t="s">
        <v>246</v>
      </c>
      <c r="L18" s="81" t="s">
        <v>274</v>
      </c>
      <c r="M18" s="81" t="s">
        <v>240</v>
      </c>
      <c r="N18" s="81" t="s">
        <v>247</v>
      </c>
      <c r="O18" s="81" t="s">
        <v>242</v>
      </c>
    </row>
    <row r="19" spans="1:15">
      <c r="A19" s="81">
        <v>206820</v>
      </c>
      <c r="B19" s="81" t="s">
        <v>291</v>
      </c>
      <c r="D19" s="81">
        <v>0</v>
      </c>
      <c r="E19" s="81">
        <v>0</v>
      </c>
      <c r="F19" s="81">
        <v>0</v>
      </c>
      <c r="G19" s="81">
        <v>0</v>
      </c>
      <c r="H19" s="81">
        <v>0</v>
      </c>
      <c r="I19" s="81">
        <v>0</v>
      </c>
      <c r="J19" s="81">
        <v>0</v>
      </c>
      <c r="K19" s="81" t="s">
        <v>246</v>
      </c>
      <c r="L19" s="81" t="s">
        <v>274</v>
      </c>
      <c r="M19" s="81" t="s">
        <v>243</v>
      </c>
      <c r="N19" s="81" t="s">
        <v>247</v>
      </c>
      <c r="O19" s="81" t="s">
        <v>242</v>
      </c>
    </row>
    <row r="20" spans="1:15">
      <c r="A20" s="81">
        <v>206826</v>
      </c>
      <c r="B20" s="81" t="s">
        <v>292</v>
      </c>
      <c r="D20" s="81">
        <v>0</v>
      </c>
      <c r="E20" s="81">
        <v>0</v>
      </c>
      <c r="F20" s="81">
        <v>0</v>
      </c>
      <c r="G20" s="81">
        <v>0</v>
      </c>
      <c r="H20" s="81">
        <v>0</v>
      </c>
      <c r="I20" s="81">
        <v>0</v>
      </c>
      <c r="J20" s="81">
        <v>0</v>
      </c>
      <c r="K20" s="81" t="s">
        <v>239</v>
      </c>
      <c r="L20" s="81" t="s">
        <v>274</v>
      </c>
      <c r="M20" s="81" t="s">
        <v>244</v>
      </c>
      <c r="N20" s="81" t="s">
        <v>248</v>
      </c>
      <c r="O20" s="81" t="s">
        <v>242</v>
      </c>
    </row>
    <row r="21" spans="1:15">
      <c r="A21" s="81">
        <v>206827</v>
      </c>
      <c r="B21" s="81" t="s">
        <v>293</v>
      </c>
      <c r="D21" s="81">
        <v>0</v>
      </c>
      <c r="E21" s="81">
        <v>0</v>
      </c>
      <c r="F21" s="81">
        <v>0</v>
      </c>
      <c r="G21" s="81">
        <v>0</v>
      </c>
      <c r="H21" s="81">
        <v>0</v>
      </c>
      <c r="I21" s="81">
        <v>0</v>
      </c>
      <c r="J21" s="81">
        <v>0</v>
      </c>
      <c r="K21" s="81" t="s">
        <v>239</v>
      </c>
      <c r="L21" s="81" t="s">
        <v>274</v>
      </c>
      <c r="M21" s="81" t="s">
        <v>240</v>
      </c>
      <c r="N21" s="81" t="s">
        <v>248</v>
      </c>
      <c r="O21" s="81" t="s">
        <v>242</v>
      </c>
    </row>
    <row r="22" spans="1:15">
      <c r="A22" s="81">
        <v>206828</v>
      </c>
      <c r="B22" s="81" t="s">
        <v>294</v>
      </c>
      <c r="D22" s="81">
        <v>0</v>
      </c>
      <c r="E22" s="81">
        <v>0</v>
      </c>
      <c r="F22" s="81">
        <v>0</v>
      </c>
      <c r="G22" s="81">
        <v>0</v>
      </c>
      <c r="H22" s="81">
        <v>0</v>
      </c>
      <c r="I22" s="81">
        <v>0</v>
      </c>
      <c r="J22" s="81">
        <v>0</v>
      </c>
      <c r="K22" s="81" t="s">
        <v>239</v>
      </c>
      <c r="L22" s="81" t="s">
        <v>274</v>
      </c>
      <c r="M22" s="81" t="s">
        <v>243</v>
      </c>
      <c r="N22" s="81" t="s">
        <v>248</v>
      </c>
      <c r="O22" s="81" t="s">
        <v>242</v>
      </c>
    </row>
    <row r="23" spans="1:15">
      <c r="A23" s="81">
        <v>206834</v>
      </c>
      <c r="B23" s="81" t="s">
        <v>295</v>
      </c>
      <c r="D23" s="81">
        <v>0</v>
      </c>
      <c r="E23" s="81">
        <v>0</v>
      </c>
      <c r="F23" s="81">
        <v>0</v>
      </c>
      <c r="G23" s="81">
        <v>0</v>
      </c>
      <c r="H23" s="81">
        <v>0</v>
      </c>
      <c r="I23" s="81">
        <v>0</v>
      </c>
      <c r="J23" s="81">
        <v>0</v>
      </c>
      <c r="K23" s="81" t="s">
        <v>245</v>
      </c>
      <c r="L23" s="81" t="s">
        <v>274</v>
      </c>
      <c r="M23" s="81" t="s">
        <v>244</v>
      </c>
      <c r="N23" s="81" t="s">
        <v>248</v>
      </c>
      <c r="O23" s="81" t="s">
        <v>242</v>
      </c>
    </row>
    <row r="24" spans="1:15">
      <c r="A24" s="81">
        <v>206835</v>
      </c>
      <c r="B24" s="81" t="s">
        <v>296</v>
      </c>
      <c r="D24" s="81">
        <v>0</v>
      </c>
      <c r="E24" s="81">
        <v>0</v>
      </c>
      <c r="F24" s="81">
        <v>0</v>
      </c>
      <c r="G24" s="81">
        <v>0</v>
      </c>
      <c r="H24" s="81">
        <v>0</v>
      </c>
      <c r="I24" s="81">
        <v>0</v>
      </c>
      <c r="J24" s="81">
        <v>0</v>
      </c>
      <c r="K24" s="81" t="s">
        <v>245</v>
      </c>
      <c r="L24" s="81" t="s">
        <v>274</v>
      </c>
      <c r="M24" s="81" t="s">
        <v>240</v>
      </c>
      <c r="N24" s="81" t="s">
        <v>248</v>
      </c>
      <c r="O24" s="81" t="s">
        <v>242</v>
      </c>
    </row>
    <row r="25" spans="1:15">
      <c r="A25" s="81">
        <v>206836</v>
      </c>
      <c r="B25" s="81" t="s">
        <v>297</v>
      </c>
      <c r="D25" s="81">
        <v>0</v>
      </c>
      <c r="E25" s="81">
        <v>0</v>
      </c>
      <c r="F25" s="81">
        <v>0</v>
      </c>
      <c r="G25" s="81">
        <v>0</v>
      </c>
      <c r="H25" s="81">
        <v>0</v>
      </c>
      <c r="I25" s="81">
        <v>0</v>
      </c>
      <c r="J25" s="81">
        <v>0</v>
      </c>
      <c r="K25" s="81" t="s">
        <v>245</v>
      </c>
      <c r="L25" s="81" t="s">
        <v>274</v>
      </c>
      <c r="M25" s="81" t="s">
        <v>243</v>
      </c>
      <c r="N25" s="81" t="s">
        <v>248</v>
      </c>
      <c r="O25" s="81" t="s">
        <v>242</v>
      </c>
    </row>
    <row r="26" spans="1:15">
      <c r="A26" s="81">
        <v>206842</v>
      </c>
      <c r="B26" s="81" t="s">
        <v>298</v>
      </c>
      <c r="D26" s="81">
        <v>0</v>
      </c>
      <c r="E26" s="81">
        <v>0</v>
      </c>
      <c r="F26" s="81">
        <v>0</v>
      </c>
      <c r="G26" s="81">
        <v>0</v>
      </c>
      <c r="H26" s="81">
        <v>0</v>
      </c>
      <c r="I26" s="81">
        <v>0</v>
      </c>
      <c r="J26" s="81">
        <v>0</v>
      </c>
      <c r="K26" s="81" t="s">
        <v>246</v>
      </c>
      <c r="L26" s="81" t="s">
        <v>274</v>
      </c>
      <c r="M26" s="81" t="s">
        <v>244</v>
      </c>
      <c r="N26" s="81" t="s">
        <v>248</v>
      </c>
      <c r="O26" s="81" t="s">
        <v>242</v>
      </c>
    </row>
    <row r="27" spans="1:15">
      <c r="A27" s="81">
        <v>206843</v>
      </c>
      <c r="B27" s="81" t="s">
        <v>299</v>
      </c>
      <c r="D27" s="81">
        <v>0</v>
      </c>
      <c r="E27" s="81">
        <v>0</v>
      </c>
      <c r="F27" s="81">
        <v>0</v>
      </c>
      <c r="G27" s="81">
        <v>0</v>
      </c>
      <c r="H27" s="81">
        <v>0</v>
      </c>
      <c r="I27" s="81">
        <v>0</v>
      </c>
      <c r="J27" s="81">
        <v>0</v>
      </c>
      <c r="K27" s="81" t="s">
        <v>246</v>
      </c>
      <c r="L27" s="81" t="s">
        <v>274</v>
      </c>
      <c r="M27" s="81" t="s">
        <v>240</v>
      </c>
      <c r="N27" s="81" t="s">
        <v>248</v>
      </c>
      <c r="O27" s="81" t="s">
        <v>242</v>
      </c>
    </row>
    <row r="28" spans="1:15">
      <c r="A28" s="81">
        <v>206844</v>
      </c>
      <c r="B28" s="81" t="s">
        <v>300</v>
      </c>
      <c r="D28" s="81">
        <v>0</v>
      </c>
      <c r="E28" s="81">
        <v>0</v>
      </c>
      <c r="F28" s="81">
        <v>0</v>
      </c>
      <c r="G28" s="81">
        <v>0</v>
      </c>
      <c r="H28" s="81">
        <v>0</v>
      </c>
      <c r="I28" s="81">
        <v>0</v>
      </c>
      <c r="J28" s="81">
        <v>0</v>
      </c>
      <c r="K28" s="81" t="s">
        <v>246</v>
      </c>
      <c r="L28" s="81" t="s">
        <v>274</v>
      </c>
      <c r="M28" s="81" t="s">
        <v>243</v>
      </c>
      <c r="N28" s="81" t="s">
        <v>248</v>
      </c>
      <c r="O28" s="81" t="s">
        <v>242</v>
      </c>
    </row>
    <row r="29" spans="1:15">
      <c r="A29" s="81">
        <v>206853</v>
      </c>
      <c r="B29" s="81" t="s">
        <v>301</v>
      </c>
      <c r="D29" s="81">
        <v>0</v>
      </c>
      <c r="E29" s="81">
        <v>0</v>
      </c>
      <c r="F29" s="81">
        <v>0</v>
      </c>
      <c r="G29" s="81">
        <v>0</v>
      </c>
      <c r="H29" s="81">
        <v>0</v>
      </c>
      <c r="I29" s="81">
        <v>0</v>
      </c>
      <c r="J29" s="81">
        <v>0</v>
      </c>
      <c r="K29" s="81" t="s">
        <v>239</v>
      </c>
      <c r="L29" s="81" t="s">
        <v>274</v>
      </c>
      <c r="M29" s="81" t="s">
        <v>249</v>
      </c>
      <c r="N29" s="81" t="s">
        <v>250</v>
      </c>
      <c r="O29" s="81" t="s">
        <v>242</v>
      </c>
    </row>
    <row r="30" spans="1:15">
      <c r="A30" s="81">
        <v>206861</v>
      </c>
      <c r="B30" s="81" t="s">
        <v>302</v>
      </c>
      <c r="D30" s="81">
        <v>0</v>
      </c>
      <c r="E30" s="81">
        <v>0</v>
      </c>
      <c r="F30" s="81">
        <v>0</v>
      </c>
      <c r="G30" s="81">
        <v>0</v>
      </c>
      <c r="H30" s="81">
        <v>0</v>
      </c>
      <c r="I30" s="81">
        <v>0</v>
      </c>
      <c r="J30" s="81">
        <v>0</v>
      </c>
      <c r="K30" s="81" t="s">
        <v>245</v>
      </c>
      <c r="L30" s="81" t="s">
        <v>274</v>
      </c>
      <c r="M30" s="81" t="s">
        <v>249</v>
      </c>
      <c r="N30" s="81" t="s">
        <v>250</v>
      </c>
      <c r="O30" s="81" t="s">
        <v>242</v>
      </c>
    </row>
    <row r="31" spans="1:15">
      <c r="A31" s="81">
        <v>206869</v>
      </c>
      <c r="B31" s="81" t="s">
        <v>303</v>
      </c>
      <c r="D31" s="81">
        <v>0</v>
      </c>
      <c r="E31" s="81">
        <v>0</v>
      </c>
      <c r="F31" s="81">
        <v>0</v>
      </c>
      <c r="G31" s="81">
        <v>0</v>
      </c>
      <c r="H31" s="81">
        <v>0</v>
      </c>
      <c r="I31" s="81">
        <v>0</v>
      </c>
      <c r="J31" s="81">
        <v>0</v>
      </c>
      <c r="K31" s="81" t="s">
        <v>246</v>
      </c>
      <c r="L31" s="81" t="s">
        <v>274</v>
      </c>
      <c r="M31" s="81" t="s">
        <v>249</v>
      </c>
      <c r="N31" s="81" t="s">
        <v>250</v>
      </c>
      <c r="O31" s="81" t="s">
        <v>242</v>
      </c>
    </row>
    <row r="32" spans="1:15">
      <c r="A32" s="81">
        <v>206874</v>
      </c>
      <c r="B32" s="81" t="s">
        <v>304</v>
      </c>
      <c r="D32" s="81">
        <v>0</v>
      </c>
      <c r="E32" s="81">
        <v>0</v>
      </c>
      <c r="F32" s="81">
        <v>0</v>
      </c>
      <c r="G32" s="81">
        <v>0</v>
      </c>
      <c r="H32" s="81">
        <v>0</v>
      </c>
      <c r="I32" s="81">
        <v>0</v>
      </c>
      <c r="J32" s="81">
        <v>0</v>
      </c>
      <c r="K32" s="81" t="s">
        <v>239</v>
      </c>
      <c r="L32" s="81" t="s">
        <v>274</v>
      </c>
      <c r="M32" s="81" t="s">
        <v>244</v>
      </c>
      <c r="N32" s="81" t="s">
        <v>251</v>
      </c>
      <c r="O32" s="81" t="s">
        <v>242</v>
      </c>
    </row>
    <row r="33" spans="1:15">
      <c r="A33" s="81">
        <v>206875</v>
      </c>
      <c r="B33" s="81" t="s">
        <v>305</v>
      </c>
      <c r="D33" s="81">
        <v>0</v>
      </c>
      <c r="E33" s="81">
        <v>0</v>
      </c>
      <c r="F33" s="81">
        <v>0</v>
      </c>
      <c r="G33" s="81">
        <v>0</v>
      </c>
      <c r="H33" s="81">
        <v>0</v>
      </c>
      <c r="I33" s="81">
        <v>0</v>
      </c>
      <c r="J33" s="81">
        <v>0</v>
      </c>
      <c r="K33" s="81" t="s">
        <v>239</v>
      </c>
      <c r="L33" s="81" t="s">
        <v>274</v>
      </c>
      <c r="M33" s="81" t="s">
        <v>240</v>
      </c>
      <c r="N33" s="81" t="s">
        <v>251</v>
      </c>
      <c r="O33" s="81" t="s">
        <v>242</v>
      </c>
    </row>
    <row r="34" spans="1:15">
      <c r="A34" s="81">
        <v>206876</v>
      </c>
      <c r="B34" s="81" t="s">
        <v>306</v>
      </c>
      <c r="D34" s="81">
        <v>0</v>
      </c>
      <c r="E34" s="81">
        <v>0</v>
      </c>
      <c r="F34" s="81">
        <v>0</v>
      </c>
      <c r="G34" s="81">
        <v>0</v>
      </c>
      <c r="H34" s="81">
        <v>0</v>
      </c>
      <c r="I34" s="81">
        <v>0</v>
      </c>
      <c r="J34" s="81">
        <v>0</v>
      </c>
      <c r="K34" s="81" t="s">
        <v>239</v>
      </c>
      <c r="L34" s="81" t="s">
        <v>274</v>
      </c>
      <c r="M34" s="81" t="s">
        <v>243</v>
      </c>
      <c r="N34" s="81" t="s">
        <v>251</v>
      </c>
      <c r="O34" s="81" t="s">
        <v>242</v>
      </c>
    </row>
    <row r="35" spans="1:15">
      <c r="A35" s="81">
        <v>206882</v>
      </c>
      <c r="B35" s="81" t="s">
        <v>307</v>
      </c>
      <c r="D35" s="81">
        <v>0</v>
      </c>
      <c r="E35" s="81">
        <v>0</v>
      </c>
      <c r="F35" s="81">
        <v>0</v>
      </c>
      <c r="G35" s="81">
        <v>0</v>
      </c>
      <c r="H35" s="81">
        <v>0</v>
      </c>
      <c r="I35" s="81">
        <v>0</v>
      </c>
      <c r="J35" s="81">
        <v>0</v>
      </c>
      <c r="K35" s="81" t="s">
        <v>245</v>
      </c>
      <c r="L35" s="81" t="s">
        <v>274</v>
      </c>
      <c r="M35" s="81" t="s">
        <v>244</v>
      </c>
      <c r="N35" s="81" t="s">
        <v>251</v>
      </c>
      <c r="O35" s="81" t="s">
        <v>242</v>
      </c>
    </row>
    <row r="36" spans="1:15">
      <c r="A36" s="81">
        <v>206883</v>
      </c>
      <c r="B36" s="81" t="s">
        <v>308</v>
      </c>
      <c r="D36" s="81">
        <v>0</v>
      </c>
      <c r="E36" s="81">
        <v>0</v>
      </c>
      <c r="F36" s="81">
        <v>0</v>
      </c>
      <c r="G36" s="81">
        <v>0</v>
      </c>
      <c r="H36" s="81">
        <v>0</v>
      </c>
      <c r="I36" s="81">
        <v>0</v>
      </c>
      <c r="J36" s="81">
        <v>0</v>
      </c>
      <c r="K36" s="81" t="s">
        <v>245</v>
      </c>
      <c r="L36" s="81" t="s">
        <v>274</v>
      </c>
      <c r="M36" s="81" t="s">
        <v>240</v>
      </c>
      <c r="N36" s="81" t="s">
        <v>251</v>
      </c>
      <c r="O36" s="81" t="s">
        <v>242</v>
      </c>
    </row>
    <row r="37" spans="1:15">
      <c r="A37" s="81">
        <v>206884</v>
      </c>
      <c r="B37" s="81" t="s">
        <v>309</v>
      </c>
      <c r="D37" s="81">
        <v>0</v>
      </c>
      <c r="E37" s="81">
        <v>0</v>
      </c>
      <c r="F37" s="81">
        <v>0</v>
      </c>
      <c r="G37" s="81">
        <v>0</v>
      </c>
      <c r="H37" s="81">
        <v>0</v>
      </c>
      <c r="I37" s="81">
        <v>0</v>
      </c>
      <c r="J37" s="81">
        <v>0</v>
      </c>
      <c r="K37" s="81" t="s">
        <v>245</v>
      </c>
      <c r="L37" s="81" t="s">
        <v>274</v>
      </c>
      <c r="M37" s="81" t="s">
        <v>243</v>
      </c>
      <c r="N37" s="81" t="s">
        <v>251</v>
      </c>
      <c r="O37" s="81" t="s">
        <v>242</v>
      </c>
    </row>
    <row r="38" spans="1:15">
      <c r="A38" s="81">
        <v>206890</v>
      </c>
      <c r="B38" s="81" t="s">
        <v>310</v>
      </c>
      <c r="D38" s="81">
        <v>0</v>
      </c>
      <c r="E38" s="81">
        <v>0</v>
      </c>
      <c r="F38" s="81">
        <v>0</v>
      </c>
      <c r="G38" s="81">
        <v>0</v>
      </c>
      <c r="H38" s="81">
        <v>0</v>
      </c>
      <c r="I38" s="81">
        <v>0</v>
      </c>
      <c r="J38" s="81">
        <v>0</v>
      </c>
      <c r="K38" s="81" t="s">
        <v>246</v>
      </c>
      <c r="L38" s="81" t="s">
        <v>274</v>
      </c>
      <c r="M38" s="81" t="s">
        <v>244</v>
      </c>
      <c r="N38" s="81" t="s">
        <v>251</v>
      </c>
      <c r="O38" s="81" t="s">
        <v>242</v>
      </c>
    </row>
    <row r="39" spans="1:15">
      <c r="A39" s="81">
        <v>206891</v>
      </c>
      <c r="B39" s="81" t="s">
        <v>311</v>
      </c>
      <c r="D39" s="81">
        <v>0</v>
      </c>
      <c r="E39" s="81">
        <v>0</v>
      </c>
      <c r="F39" s="81">
        <v>0</v>
      </c>
      <c r="G39" s="81">
        <v>0</v>
      </c>
      <c r="H39" s="81">
        <v>0</v>
      </c>
      <c r="I39" s="81">
        <v>0</v>
      </c>
      <c r="J39" s="81">
        <v>0</v>
      </c>
      <c r="K39" s="81" t="s">
        <v>246</v>
      </c>
      <c r="L39" s="81" t="s">
        <v>274</v>
      </c>
      <c r="M39" s="81" t="s">
        <v>240</v>
      </c>
      <c r="N39" s="81" t="s">
        <v>251</v>
      </c>
      <c r="O39" s="81" t="s">
        <v>242</v>
      </c>
    </row>
    <row r="40" spans="1:15">
      <c r="A40" s="81">
        <v>206892</v>
      </c>
      <c r="B40" s="81" t="s">
        <v>312</v>
      </c>
      <c r="D40" s="81">
        <v>0</v>
      </c>
      <c r="E40" s="81">
        <v>0</v>
      </c>
      <c r="F40" s="81">
        <v>0</v>
      </c>
      <c r="G40" s="81">
        <v>0</v>
      </c>
      <c r="H40" s="81">
        <v>0</v>
      </c>
      <c r="I40" s="81">
        <v>0</v>
      </c>
      <c r="J40" s="81">
        <v>0</v>
      </c>
      <c r="K40" s="81" t="s">
        <v>246</v>
      </c>
      <c r="L40" s="81" t="s">
        <v>274</v>
      </c>
      <c r="M40" s="81" t="s">
        <v>243</v>
      </c>
      <c r="N40" s="81" t="s">
        <v>251</v>
      </c>
      <c r="O40" s="81" t="s">
        <v>242</v>
      </c>
    </row>
    <row r="41" spans="1:15">
      <c r="A41" s="81">
        <v>206901</v>
      </c>
      <c r="B41" s="81" t="s">
        <v>313</v>
      </c>
      <c r="D41" s="81">
        <v>0</v>
      </c>
      <c r="E41" s="81">
        <v>0</v>
      </c>
      <c r="F41" s="81">
        <v>0</v>
      </c>
      <c r="G41" s="81">
        <v>0</v>
      </c>
      <c r="H41" s="81">
        <v>0</v>
      </c>
      <c r="I41" s="81">
        <v>0</v>
      </c>
      <c r="J41" s="81">
        <v>0</v>
      </c>
      <c r="K41" s="81" t="s">
        <v>239</v>
      </c>
      <c r="L41" s="81" t="s">
        <v>274</v>
      </c>
      <c r="M41" s="81" t="s">
        <v>249</v>
      </c>
      <c r="N41" s="81" t="s">
        <v>252</v>
      </c>
      <c r="O41" s="81" t="s">
        <v>242</v>
      </c>
    </row>
    <row r="42" spans="1:15">
      <c r="A42" s="81">
        <v>206909</v>
      </c>
      <c r="B42" s="81" t="s">
        <v>314</v>
      </c>
      <c r="D42" s="81">
        <v>0</v>
      </c>
      <c r="E42" s="81">
        <v>0</v>
      </c>
      <c r="F42" s="81">
        <v>0</v>
      </c>
      <c r="G42" s="81">
        <v>0</v>
      </c>
      <c r="H42" s="81">
        <v>0</v>
      </c>
      <c r="I42" s="81">
        <v>0</v>
      </c>
      <c r="J42" s="81">
        <v>0</v>
      </c>
      <c r="K42" s="81" t="s">
        <v>245</v>
      </c>
      <c r="L42" s="81" t="s">
        <v>274</v>
      </c>
      <c r="M42" s="81" t="s">
        <v>249</v>
      </c>
      <c r="N42" s="81" t="s">
        <v>252</v>
      </c>
      <c r="O42" s="81" t="s">
        <v>242</v>
      </c>
    </row>
    <row r="43" spans="1:15">
      <c r="A43" s="81">
        <v>206917</v>
      </c>
      <c r="B43" s="81" t="s">
        <v>315</v>
      </c>
      <c r="D43" s="81">
        <v>0</v>
      </c>
      <c r="E43" s="81">
        <v>0</v>
      </c>
      <c r="F43" s="81">
        <v>0</v>
      </c>
      <c r="G43" s="81">
        <v>0</v>
      </c>
      <c r="H43" s="81">
        <v>0</v>
      </c>
      <c r="I43" s="81">
        <v>0</v>
      </c>
      <c r="J43" s="81">
        <v>0</v>
      </c>
      <c r="K43" s="81" t="s">
        <v>246</v>
      </c>
      <c r="L43" s="81" t="s">
        <v>274</v>
      </c>
      <c r="M43" s="81" t="s">
        <v>249</v>
      </c>
      <c r="N43" s="81" t="s">
        <v>252</v>
      </c>
      <c r="O43" s="81" t="s">
        <v>242</v>
      </c>
    </row>
  </sheetData>
  <autoFilter ref="A1:O4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A7A392F-F524-4A60-8A38-C11F214F62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2025-03-28T09:41:26Z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
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SRDR12-15-18W-SKU" sheetId="26" r:id="rId4"/>
  </sheets>
  <externalReferences>
    <externalReference r:id="rId5"/>
  </externalReferences>
  <definedNames>
    <definedName name="_xlnm._FilterDatabase" localSheetId="3" hidden="1">'SRDR12-15-18W-SKU'!$A$1:$O$16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2" i="23" l="1"/>
  <c r="Q11" i="23"/>
  <c r="L11" i="23" s="1"/>
  <c r="M11" i="23" s="1"/>
  <c r="Q7" i="23"/>
  <c r="M21" i="23"/>
  <c r="M20" i="23"/>
  <c r="M17" i="23"/>
  <c r="M16" i="23"/>
  <c r="M15" i="23"/>
  <c r="M14" i="23"/>
  <c r="M13" i="23"/>
  <c r="M12" i="23"/>
  <c r="M10" i="23"/>
  <c r="M9" i="23"/>
  <c r="M8" i="23"/>
  <c r="L7" i="23"/>
  <c r="M7" i="23" s="1"/>
  <c r="M2" i="23"/>
  <c r="Q6" i="23"/>
  <c r="Q5" i="23"/>
  <c r="Q4" i="23"/>
  <c r="L4" i="23" s="1"/>
  <c r="M4" i="23" s="1"/>
  <c r="Q3" i="23"/>
  <c r="L3" i="23" s="1"/>
  <c r="M3" i="23" s="1"/>
  <c r="M22" i="23" l="1"/>
  <c r="I3" i="24"/>
  <c r="I6" i="24" s="1"/>
  <c r="D3" i="24"/>
  <c r="U16" i="26"/>
  <c r="T16" i="26"/>
  <c r="S16" i="26"/>
  <c r="R16" i="26"/>
  <c r="Q16" i="26"/>
  <c r="U15" i="26"/>
  <c r="T15" i="26"/>
  <c r="S15" i="26"/>
  <c r="R15" i="26"/>
  <c r="Q15" i="26"/>
  <c r="U14" i="26"/>
  <c r="T14" i="26"/>
  <c r="S14" i="26"/>
  <c r="R14" i="26"/>
  <c r="Q14" i="26"/>
  <c r="U13" i="26"/>
  <c r="T13" i="26"/>
  <c r="S13" i="26"/>
  <c r="R13" i="26"/>
  <c r="Q13" i="26"/>
  <c r="U12" i="26"/>
  <c r="T12" i="26"/>
  <c r="S12" i="26"/>
  <c r="R12" i="26"/>
  <c r="Q12" i="26"/>
  <c r="U11" i="26"/>
  <c r="T11" i="26"/>
  <c r="S11" i="26"/>
  <c r="R11" i="26"/>
  <c r="Q11" i="26"/>
  <c r="U10" i="26"/>
  <c r="T10" i="26"/>
  <c r="S10" i="26"/>
  <c r="R10" i="26"/>
  <c r="Q10" i="26"/>
  <c r="U9" i="26"/>
  <c r="T9" i="26"/>
  <c r="S9" i="26"/>
  <c r="R9" i="26"/>
  <c r="Q9" i="26"/>
  <c r="U8" i="26"/>
  <c r="T8" i="26"/>
  <c r="S8" i="26"/>
  <c r="R8" i="26"/>
  <c r="Q8" i="26"/>
  <c r="U7" i="26"/>
  <c r="T7" i="26"/>
  <c r="S7" i="26"/>
  <c r="R7" i="26"/>
  <c r="Q7" i="26"/>
  <c r="U6" i="26"/>
  <c r="T6" i="26"/>
  <c r="S6" i="26"/>
  <c r="R6" i="26"/>
  <c r="Q6" i="26"/>
  <c r="U5" i="26"/>
  <c r="T5" i="26"/>
  <c r="S5" i="26"/>
  <c r="R5" i="26"/>
  <c r="Q5" i="26"/>
  <c r="U4" i="26"/>
  <c r="T4" i="26"/>
  <c r="S4" i="26"/>
  <c r="R4" i="26"/>
  <c r="Q4" i="26"/>
  <c r="U3" i="26"/>
  <c r="T3" i="26"/>
  <c r="S3" i="26"/>
  <c r="R3" i="26"/>
  <c r="Q3" i="26"/>
  <c r="U2" i="26"/>
  <c r="T2" i="26"/>
  <c r="S2" i="26"/>
  <c r="R2" i="26"/>
  <c r="Q2" i="26"/>
  <c r="D20" i="23"/>
  <c r="F18" i="23" s="1"/>
  <c r="A2" i="23"/>
  <c r="C5" i="26" l="1"/>
  <c r="C13" i="26"/>
  <c r="C9" i="26"/>
  <c r="C6" i="26"/>
  <c r="C3" i="26"/>
  <c r="C4" i="26"/>
  <c r="C10" i="26"/>
  <c r="C7" i="26"/>
  <c r="C12" i="26"/>
  <c r="C15" i="26"/>
  <c r="C8" i="26"/>
  <c r="C11" i="26"/>
  <c r="C14" i="26"/>
  <c r="C2" i="26"/>
  <c r="C16" i="26"/>
  <c r="H5" i="24"/>
  <c r="G3" i="24"/>
  <c r="H3" i="24" l="1"/>
  <c r="H4" i="24" s="1"/>
  <c r="F3" i="24"/>
  <c r="G4" i="24" s="1"/>
  <c r="E3" i="24" l="1"/>
  <c r="H8" i="24" l="1"/>
  <c r="D4" i="24"/>
  <c r="I7" i="24"/>
  <c r="H7" i="24" l="1"/>
  <c r="H6" i="24"/>
  <c r="I8" i="24"/>
  <c r="C3" i="24"/>
  <c r="I4" i="24" s="1"/>
  <c r="E7" i="24" l="1"/>
  <c r="E8" i="24"/>
  <c r="C8" i="24"/>
  <c r="C6" i="24"/>
  <c r="F2" i="23" s="1"/>
  <c r="F7" i="24"/>
  <c r="F8" i="24"/>
  <c r="C7" i="24"/>
  <c r="G6" i="24"/>
  <c r="E6" i="24"/>
  <c r="F6" i="24"/>
  <c r="D8" i="24" l="1"/>
  <c r="D6" i="24"/>
  <c r="F3" i="23" s="1"/>
  <c r="D7" i="24"/>
  <c r="G8" i="24"/>
  <c r="G7" i="24"/>
  <c r="F20" i="23" l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<sst xmlns="http://schemas.openxmlformats.org/spreadsheetml/2006/main" count="639" uniqueCount="353">
  <si>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</si>
  <si>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</si>
  <si>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</si>
  <si>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</si>
  <si>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</si>
  <si>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</si>
  <si>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</si>
  <si>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</si>
  <si>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</si>
  <si>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</si>
  <si>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</si>
  <si>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</si>
  <si>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</si>
  <si>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</si>
  <si>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</si>
  <si>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</si>
  <si>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</si>
  <si>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</si>
  <si>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</si>
  <si>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</si>
  <si>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</si>
  <si>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</si>
  <si>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</si>
  <si>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</si>
  <si>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</si>
  <si>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</si>
  <si>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</si>
  <si>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</si>
  <si>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</si>
  <si>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</si>
  <si>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</si>
  <si>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</si>
  <si>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</si>
  <si>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</si>
  <si>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</si>
  <si>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</si>
  <si>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</si>
  <si>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</si>
  <si>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</si>
  <si>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</si>
  <si>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</si>
  <si>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</si>
  <si>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</si>
  <si>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</si>
  <si>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</si>
  <si>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</si>
  <si>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</si>
  <si>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</si>
  <si>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</si>
  <si>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</si>
  <si>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</si>
  <si>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</si>
  <si>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</si>
  <si>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</si>
  <si>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</si>
  <si>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</si>
  <si>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</si>
  <si>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</si>
  <si>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</si>
  <si>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</si>
  <si>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</si>
  <si>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</si>
  <si>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</si>
  <si>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</si>
  <si>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</si>
  <si>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</si>
  <si>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</si>
  <si>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</si>
  <si>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</si>
  <si>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</si>
  <si>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</si>
  <si>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</si>
  <si>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</si>
  <si>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</si>
  <si>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</si>
  <si>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</si>
  <si>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</si>
  <si>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</si>
  <si>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</si>
  <si>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</si>
  <si>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</si>
  <si>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</si>
  <si>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</si>
  <si>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</si>
  <si>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</si>
  <si>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</si>
  <si>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</si>
  <si>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</si>
  <si>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</si>
  <si>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</si>
  <si>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</si>
  <si>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</si>
  <si>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</si>
  <si>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</si>
  <si>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</si>
  <si>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</si>
  <si>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</si>
  <si>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</si>
  <si>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</si>
  <si>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</si>
  <si>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</si>
  <si>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</si>
  <si>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</si>
  <si>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</si>
  <si>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</si>
  <si>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</si>
  <si>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</si>
  <si>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</si>
  <si>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</si>
  <si>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</si>
  <si>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</si>
  <si>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</si>
  <si>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</si>
  <si>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</si>
  <si>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</si>
  <si>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</si>
  <si>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</si>
  <si>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</si>
  <si>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</si>
  <si>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</si>
  <si>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</si>
  <si>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</si>
  <si>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</si>
  <si>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</si>
  <si>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</si>
  <si>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</si>
  <si>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</si>
  <si>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</si>
  <si>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</si>
  <si>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</si>
  <si>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</si>
  <si>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</si>
  <si>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</si>
  <si>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</si>
  <si>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</si>
  <si>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</si>
  <si>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</si>
  <si>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</si>
  <si>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</si>
  <si>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</si>
  <si>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</si>
  <si>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</si>
  <si>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</si>
  <si>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</si>
  <si>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</si>
  <si>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</si>
  <si>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</si>
  <si>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</si>
  <si>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</si>
  <si>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</si>
  <si>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</si>
  <si>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</si>
  <si>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</si>
  <si>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</si>
  <si>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</si>
  <si>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</si>
  <si>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</si>
  <si>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</si>
  <si>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</si>
  <si>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</si>
  <si>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</si>
  <si>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</si>
  <si>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</si>
  <si>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</si>
  <si>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</si>
  <si>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</si>
  <si>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</si>
  <si>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</si>
  <si>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</si>
  <si>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</si>
  <si>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</si>
  <si>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</si>
  <si>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</si>
  <si>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</si>
  <si>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</si>
  <si>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</si>
  <si>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</si>
  <si>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</si>
  <si>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</si>
  <si>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</si>
  <si>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</si>
  <si>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</si>
  <si>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</si>
  <si>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</si>
  <si>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</si>
  <si>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</si>
  <si>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</si>
  <si>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</si>
  <si>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</si>
  <si>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</si>
  <si>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</si>
  <si>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</si>
  <si>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</si>
  <si>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</si>
  <si>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</si>
  <si>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</si>
  <si>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</si>
  <si>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</si>
  <si>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</si>
  <si>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</si>
  <si>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</si>
  <si>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</si>
  <si>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</si>
  <si>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</si>
  <si>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R</t>
  </si>
  <si>
    <t>BOM LED PCB</t>
  </si>
  <si>
    <t>COLOUR TEMPERATURE</t>
  </si>
  <si>
    <t>T</t>
  </si>
  <si>
    <t>Electronics  store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</si>
  <si>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</si>
  <si>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</si>
  <si>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</si>
  <si>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</si>
  <si>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</si>
  <si>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</si>
  <si>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</si>
  <si>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</si>
  <si>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</si>
  <si>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</si>
  <si>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</si>
  <si>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Driving System</t>
  </si>
  <si>
    <t>Trim</t>
  </si>
  <si>
    <t>Constant Current</t>
  </si>
  <si>
    <t>Trim-O-85  I-51 H-50mm White SRD-12/15/18W</t>
  </si>
  <si>
    <t>Trim-O-85  I-51 H-50mm Black SRD-12/15/18W</t>
  </si>
  <si>
    <t>Trim-O-85  I-51 H-50mm Two Color SRD-12/15/18W</t>
  </si>
  <si>
    <t>12F</t>
  </si>
  <si>
    <t>HS 50x34.5mm (SR-DR-NR-12W)</t>
  </si>
  <si>
    <t>15F</t>
  </si>
  <si>
    <t>HS-50X40.5mm (SR-DR-NR-15W)</t>
  </si>
  <si>
    <t>18F</t>
  </si>
  <si>
    <t>12-</t>
  </si>
  <si>
    <t>PS-12W 300mA 36V-TRIAC</t>
  </si>
  <si>
    <t>PS-12W 300mA 36V-DALI</t>
  </si>
  <si>
    <t>PS-12W 300mA 36V-BT</t>
  </si>
  <si>
    <t>PS-12W 300mA 36V-DALI DC</t>
  </si>
  <si>
    <t>PS-12W 300mA 36V-BT DC</t>
  </si>
  <si>
    <t>15-</t>
  </si>
  <si>
    <t>PS 15W 370mA 36V Maxic New</t>
  </si>
  <si>
    <t>PS-15W  360mA 36V-TRIAC</t>
  </si>
  <si>
    <t>PS-15W  360mA 36V-DALI</t>
  </si>
  <si>
    <t>PS-15W  360mA 36V-BT</t>
  </si>
  <si>
    <t>PS-15W  360mA 36V-DALI DC</t>
  </si>
  <si>
    <t>PS-15W  360mA 36V-BT DC</t>
  </si>
  <si>
    <t>18-</t>
  </si>
  <si>
    <t>PS 18W 440mA 12LED 36V Maxic</t>
  </si>
  <si>
    <t>PS-18W  440mA 36V-TRIAC</t>
  </si>
  <si>
    <t>PS-18W  440mA 36V-DALI</t>
  </si>
  <si>
    <t>PS-18W  440mA 36V-BT</t>
  </si>
  <si>
    <t>PS-18W  440mA 36V-DALI DC</t>
  </si>
  <si>
    <t>PS-18W  440mA 36V-BT DC</t>
  </si>
  <si>
    <t>12F60</t>
  </si>
  <si>
    <t>LED SMD 2835-100mA 9V 6000K</t>
  </si>
  <si>
    <t>12F50</t>
  </si>
  <si>
    <t>LED 2835 100mA 9V 5000K</t>
  </si>
  <si>
    <t>12F40</t>
  </si>
  <si>
    <t>LED SMD 2835-100mA 9V 4000K</t>
  </si>
  <si>
    <t>12F30</t>
  </si>
  <si>
    <t>LED SMD 2835-100mA 9V 3000K</t>
  </si>
  <si>
    <t>12F27</t>
  </si>
  <si>
    <t>15F60</t>
  </si>
  <si>
    <t>15F50</t>
  </si>
  <si>
    <t>15F40</t>
  </si>
  <si>
    <t>15F30</t>
  </si>
  <si>
    <t>15F27</t>
  </si>
  <si>
    <t>18F60</t>
  </si>
  <si>
    <t>18F50</t>
  </si>
  <si>
    <t>18F40</t>
  </si>
  <si>
    <t>18F30</t>
  </si>
  <si>
    <t>18F27</t>
  </si>
  <si>
    <t>PCB</t>
  </si>
  <si>
    <t>R12</t>
  </si>
  <si>
    <t>PCB SRDR12W 2835 - 9V (36X1mm)</t>
  </si>
  <si>
    <t>R15</t>
  </si>
  <si>
    <t>R18</t>
  </si>
  <si>
    <t>B12</t>
  </si>
  <si>
    <t>B15</t>
  </si>
  <si>
    <t>B18</t>
  </si>
  <si>
    <t>T12</t>
  </si>
  <si>
    <t>T15</t>
  </si>
  <si>
    <t>T18</t>
  </si>
  <si>
    <t>Refl O-50 H-14.2 L-20mm PC (DLO6)</t>
  </si>
  <si>
    <t>Diff. Film 48.4mm DRDR8-12W Paper</t>
  </si>
  <si>
    <t>Diff. 48.5x1.5mm Prismatic DRDR8-12W</t>
  </si>
  <si>
    <t>Torsion Spring - L-49 W-18mm Coil D-1mm D-8 Black</t>
  </si>
  <si>
    <t>Spring Holding Clip L-37 W-25 T-0.70mm MS</t>
  </si>
  <si>
    <t>Conn. 2Pin Ass. Wire Black Male (Small)</t>
  </si>
  <si>
    <t>Sleeve M4mm Fiber Glass White</t>
  </si>
  <si>
    <t>Wire Clip-M3-MS</t>
  </si>
  <si>
    <t xml:space="preserve"> </t>
  </si>
  <si>
    <t>Rivet 1/8" x 1/4" MS (Big)</t>
  </si>
  <si>
    <t>Rivet 3/32" X 3/16" MS (Small)</t>
  </si>
  <si>
    <t>PBX - COB 8-15W</t>
  </si>
  <si>
    <t>SBX - COB 8-18W (12Nos)</t>
  </si>
  <si>
    <t>Down Light Series</t>
  </si>
  <si>
    <t>12T-</t>
  </si>
  <si>
    <t>12I-</t>
  </si>
  <si>
    <t>12BT-</t>
  </si>
  <si>
    <t>12ID-</t>
  </si>
  <si>
    <t>12BTD-</t>
  </si>
  <si>
    <t>15T-</t>
  </si>
  <si>
    <t>15I-</t>
  </si>
  <si>
    <t>15BT-</t>
  </si>
  <si>
    <t>15ID-</t>
  </si>
  <si>
    <t>15BTD-</t>
  </si>
  <si>
    <t>18T-</t>
  </si>
  <si>
    <t>18I-</t>
  </si>
  <si>
    <t>18BT-</t>
  </si>
  <si>
    <t>18ID-</t>
  </si>
  <si>
    <t>18BTD-</t>
  </si>
  <si>
    <t>Color Temp</t>
  </si>
  <si>
    <t>Watt</t>
  </si>
  <si>
    <t>Round White Trim</t>
  </si>
  <si>
    <t>Flood - 77°</t>
  </si>
  <si>
    <t>6000K</t>
  </si>
  <si>
    <t>5000K</t>
  </si>
  <si>
    <t>4000K</t>
  </si>
  <si>
    <t>3000K</t>
  </si>
  <si>
    <t>2700K</t>
  </si>
  <si>
    <t>Round Black Trim</t>
  </si>
  <si>
    <t>Round Two Color Trim</t>
  </si>
  <si>
    <t>SRDR18F60-</t>
  </si>
  <si>
    <t>18 Watt</t>
  </si>
  <si>
    <t>SRDR18F50-</t>
  </si>
  <si>
    <t>SRDR18F40-</t>
  </si>
  <si>
    <t>SRDR18F30-</t>
  </si>
  <si>
    <t>SRDR18F27-</t>
  </si>
  <si>
    <t>SRDB18F60-</t>
  </si>
  <si>
    <t>SRDB18F50-</t>
  </si>
  <si>
    <t>SRDB18F40-</t>
  </si>
  <si>
    <t>SRDB18F30-</t>
  </si>
  <si>
    <t>SRDB18F27-</t>
  </si>
  <si>
    <t>SRDT18F60-</t>
  </si>
  <si>
    <t>SRDT18F50-</t>
  </si>
  <si>
    <t>SRDT18F40-</t>
  </si>
  <si>
    <t>SRDT18F30-</t>
  </si>
  <si>
    <t>SRDT18F27-</t>
  </si>
  <si>
    <t>18F25</t>
  </si>
  <si>
    <t xml:space="preserve">LED SMD 2835 9V 100mA (2700K-5000) </t>
  </si>
  <si>
    <t>12F25</t>
  </si>
  <si>
    <t>15F25</t>
  </si>
  <si>
    <t>PS 12-20W 300mA 36-72V Maxic (PCB LT-MX-20W-V2)</t>
  </si>
  <si>
    <t>SRDR18F50</t>
  </si>
  <si>
    <t>LED SMD 2835 100mA 9V 2700K</t>
  </si>
  <si>
    <t>Screw M3X6mm CSK PH - SS</t>
  </si>
  <si>
    <t>Screw No. 4X6.5mm Self Pan Combi. PH - SS</t>
  </si>
  <si>
    <t>SRDR18F50  BOM LED PCB</t>
  </si>
  <si>
    <t>Unit Price</t>
  </si>
  <si>
    <t>USD</t>
  </si>
  <si>
    <t>INS&amp;FRED</t>
  </si>
  <si>
    <t>BCD</t>
  </si>
  <si>
    <t>Total Cost</t>
  </si>
  <si>
    <t>HS-50X50.5mm (SR-DR-NR-18W)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</si>
</sst>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_ [$Rs.-4009]\ * #,##0.000_ ;_ [$Rs.-4009]\ * \-#,##0.000_ ;_ [$Rs.-4009]\ * &quot;-&quot;??_ ;_ @_ "/>
    <numFmt numFmtId="169" formatCode="_ [$Rs.-4009]\ * #,##0_ ;_ [$Rs.-4009]\ * \-#,##0_ ;_ [$Rs.-4009]\ * &quot;-&quot;??_ ;_ 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0" fontId="3" fillId="0" borderId="0"/>
    <xf numFmtId="44" fontId="23" fillId="0" borderId="0" applyFont="0" applyFill="0" applyBorder="0" applyAlignment="0" applyProtection="0"/>
  </cellStyleXfs>
  <cellXfs count="136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20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0" fontId="3" fillId="0" borderId="1" xfId="2" applyBorder="1"/>
    <xf numFmtId="0" fontId="3" fillId="0" borderId="14" xfId="2" applyBorder="1"/>
    <xf numFmtId="0" fontId="3" fillId="0" borderId="2" xfId="0" applyFont="1" applyBorder="1"/>
    <xf numFmtId="0" fontId="3" fillId="0" borderId="14" xfId="2" applyBorder="1" applyAlignment="1">
      <alignment horizontal="left"/>
    </xf>
    <xf numFmtId="0" fontId="3" fillId="9" borderId="1" xfId="0" applyFont="1" applyFill="1" applyBorder="1"/>
    <xf numFmtId="0" fontId="21" fillId="0" borderId="0" xfId="3"/>
    <xf numFmtId="0" fontId="21" fillId="11" borderId="1" xfId="3" applyFill="1" applyBorder="1"/>
    <xf numFmtId="0" fontId="21" fillId="12" borderId="1" xfId="3" applyFill="1" applyBorder="1"/>
    <xf numFmtId="0" fontId="0" fillId="11" borderId="1" xfId="0" applyFill="1" applyBorder="1"/>
    <xf numFmtId="0" fontId="3" fillId="0" borderId="6" xfId="0" applyFont="1" applyBorder="1"/>
    <xf numFmtId="0" fontId="3" fillId="0" borderId="16" xfId="0" applyFont="1" applyBorder="1"/>
    <xf numFmtId="0" fontId="3" fillId="0" borderId="14" xfId="0" applyFont="1" applyBorder="1"/>
    <xf numFmtId="49" fontId="3" fillId="0" borderId="14" xfId="4" applyNumberFormat="1" applyBorder="1" applyAlignment="1">
      <alignment horizontal="left"/>
    </xf>
    <xf numFmtId="0" fontId="21" fillId="12" borderId="1" xfId="3" applyFill="1" applyBorder="1" applyAlignment="1">
      <alignment horizontal="center"/>
    </xf>
    <xf numFmtId="0" fontId="0" fillId="0" borderId="1" xfId="0" applyBorder="1" applyAlignment="1">
      <alignment horizontal="right"/>
    </xf>
    <xf numFmtId="0" fontId="3" fillId="11" borderId="1" xfId="0" applyFont="1" applyFill="1" applyBorder="1"/>
    <xf numFmtId="0" fontId="0" fillId="2" borderId="17" xfId="0" applyFill="1" applyBorder="1"/>
    <xf numFmtId="0" fontId="0" fillId="11" borderId="1" xfId="0" applyFill="1" applyBorder="1" applyAlignment="1">
      <alignment horizontal="center"/>
    </xf>
    <xf numFmtId="0" fontId="0" fillId="11" borderId="17" xfId="0" applyFill="1" applyBorder="1"/>
    <xf numFmtId="0" fontId="21" fillId="10" borderId="1" xfId="3" applyFill="1" applyBorder="1"/>
    <xf numFmtId="0" fontId="21" fillId="10" borderId="2" xfId="3" applyFill="1" applyBorder="1"/>
    <xf numFmtId="0" fontId="21" fillId="10" borderId="14" xfId="3" applyFill="1" applyBorder="1"/>
    <xf numFmtId="0" fontId="3" fillId="6" borderId="14" xfId="0" applyFont="1" applyFill="1" applyBorder="1"/>
    <xf numFmtId="0" fontId="3" fillId="6" borderId="1" xfId="4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" fillId="0" borderId="1" xfId="4" applyFont="1" applyBorder="1" applyAlignment="1">
      <alignment horizontal="left"/>
    </xf>
    <xf numFmtId="0" fontId="2" fillId="0" borderId="1" xfId="0" applyFont="1" applyBorder="1"/>
    <xf numFmtId="0" fontId="22" fillId="0" borderId="18" xfId="0" applyNumberFormat="1" applyFont="1" applyFill="1" applyBorder="1" applyAlignment="1" applyProtection="1"/>
    <xf numFmtId="0" fontId="24" fillId="0" borderId="18" xfId="0" applyNumberFormat="1" applyFont="1" applyBorder="1" applyAlignment="1">
      <alignment horizontal="center" vertical="center" wrapText="1"/>
    </xf>
    <xf numFmtId="164" fontId="24" fillId="0" borderId="18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/>
    </xf>
    <xf numFmtId="166" fontId="25" fillId="0" borderId="18" xfId="5" applyNumberFormat="1" applyFont="1" applyBorder="1" applyAlignment="1">
      <alignment horizontal="center" vertical="center"/>
    </xf>
    <xf numFmtId="9" fontId="25" fillId="0" borderId="1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65" fontId="25" fillId="0" borderId="18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7" fontId="25" fillId="0" borderId="18" xfId="0" applyNumberFormat="1" applyFont="1" applyFill="1" applyBorder="1" applyAlignment="1">
      <alignment vertical="center"/>
    </xf>
    <xf numFmtId="0" fontId="22" fillId="11" borderId="21" xfId="0" applyNumberFormat="1" applyFont="1" applyFill="1" applyBorder="1" applyAlignment="1" applyProtection="1"/>
    <xf numFmtId="168" fontId="25" fillId="0" borderId="18" xfId="0" applyNumberFormat="1" applyFont="1" applyBorder="1" applyAlignment="1">
      <alignment horizontal="center" vertical="center"/>
    </xf>
    <xf numFmtId="164" fontId="27" fillId="0" borderId="18" xfId="0" applyNumberFormat="1" applyFont="1" applyBorder="1" applyAlignment="1">
      <alignment horizontal="center" vertical="center"/>
    </xf>
    <xf numFmtId="164" fontId="25" fillId="0" borderId="18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169" fontId="26" fillId="6" borderId="20" xfId="0" applyNumberFormat="1" applyFont="1" applyFill="1" applyBorder="1" applyAlignment="1">
      <alignment horizontal="center" vertical="center"/>
    </xf>
    <xf numFmtId="165" fontId="25" fillId="0" borderId="19" xfId="0" applyNumberFormat="1" applyFont="1" applyBorder="1" applyAlignment="1">
      <alignment horizontal="center" vertical="center"/>
    </xf>
    <xf numFmtId="165" fontId="25" fillId="0" borderId="15" xfId="0" applyNumberFormat="1" applyFont="1" applyBorder="1" applyAlignment="1">
      <alignment horizontal="center" vertical="center"/>
    </xf>
    <xf numFmtId="165" fontId="25" fillId="0" borderId="6" xfId="0" applyNumberFormat="1" applyFont="1" applyBorder="1" applyAlignment="1">
      <alignment horizontal="center" vertical="center"/>
    </xf>
    <xf numFmtId="166" fontId="25" fillId="0" borderId="18" xfId="0" applyNumberFormat="1" applyFont="1" applyBorder="1" applyAlignment="1">
      <alignment horizontal="center" vertical="center"/>
    </xf>
    <xf numFmtId="9" fontId="25" fillId="0" borderId="1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25" fillId="0" borderId="18" xfId="0" applyNumberFormat="1" applyFont="1" applyFill="1" applyBorder="1" applyAlignment="1">
      <alignment horizontal="center" vertical="center"/>
    </xf>
  </cellXfs>
  <cellStyles count="6">
    <cellStyle name="Currency" xfId="5" builtinId="4"/>
    <cellStyle name="Hyperlink 2" xfId="1"/>
    <cellStyle name="Normal" xfId="0" builtinId="0"/>
    <cellStyle name="Normal 2" xfId="2"/>
    <cellStyle name="Normal 2 2" xfId="3"/>
    <cellStyle name="Normal 3" xfId="4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asad%20BOM/SRDR-BOM%20-%20DONE-/SRDR12-15-18W-%20BOM-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RD12-15-18W-DATA"/>
      <sheetName val="Stock Item (Read Me)"/>
      <sheetName val="SRDR12-15-18W-SKU"/>
    </sheetNames>
    <sheetDataSet>
      <sheetData sheetId="0"/>
      <sheetData sheetId="1">
        <row r="2">
          <cell r="Q2" t="str">
            <v>R12</v>
          </cell>
          <cell r="R2" t="str">
            <v>PCB SRDR12W 2835 - 9V (36X1mm)</v>
          </cell>
        </row>
        <row r="3">
          <cell r="Q3" t="str">
            <v>R15</v>
          </cell>
          <cell r="R3" t="str">
            <v>PCB SRDR12W 2835 - 9V (36X1mm)</v>
          </cell>
        </row>
        <row r="4">
          <cell r="Q4" t="str">
            <v>R18</v>
          </cell>
          <cell r="R4" t="str">
            <v>PCB SRDR12W 2835 - 9V (36X1mm)</v>
          </cell>
        </row>
        <row r="6">
          <cell r="Q6" t="str">
            <v>B12</v>
          </cell>
          <cell r="R6" t="str">
            <v>PCB SRDR12W 2835 - 9V (36X1mm)</v>
          </cell>
        </row>
        <row r="7">
          <cell r="Q7" t="str">
            <v>B15</v>
          </cell>
          <cell r="R7" t="str">
            <v>PCB SRDR12W 2835 - 9V (36X1mm)</v>
          </cell>
        </row>
        <row r="8">
          <cell r="Q8" t="str">
            <v>B18</v>
          </cell>
          <cell r="R8" t="str">
            <v>PCB SRDR12W 2835 - 9V (36X1mm)</v>
          </cell>
        </row>
        <row r="10">
          <cell r="Q10" t="str">
            <v>T12</v>
          </cell>
          <cell r="R10" t="str">
            <v>PCB SRDR12W 2835 - 9V (36X1mm)</v>
          </cell>
        </row>
        <row r="11">
          <cell r="Q11" t="str">
            <v>T15</v>
          </cell>
          <cell r="R11" t="str">
            <v>PCB SRDR12W 2835 - 9V (36X1mm)</v>
          </cell>
        </row>
        <row r="12">
          <cell r="Q12" t="str">
            <v>T18</v>
          </cell>
          <cell r="R12" t="str">
            <v>PCB SRDR12W 2835 - 9V (36X1mm)</v>
          </cell>
        </row>
        <row r="13">
          <cell r="V13" t="str">
            <v>T18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topLeftCell="F1" zoomScale="96" zoomScaleNormal="96" workbookViewId="0">
      <selection activeCell="L19" sqref="L19:M19"/>
    </sheetView>
  </sheetViews>
  <sheetFormatPr defaultColWidth="9" defaultRowHeight="15"/>
  <cols>
    <col min="1" max="1" width="23.85546875" customWidth="1"/>
    <col min="2" max="2" width="22.28515625" customWidth="1"/>
    <col min="3" max="3" width="8.28515625" customWidth="1"/>
    <col min="4" max="4" width="27.140625" customWidth="1"/>
    <col min="5" max="5" width="20.42578125" customWidth="1"/>
    <col min="6" max="6" width="57" customWidth="1"/>
    <col min="7" max="7" width="28" style="47" customWidth="1"/>
    <col min="8" max="8" width="27.7109375" hidden="1" customWidth="1"/>
    <col min="9" max="9" width="31.85546875" hidden="1" customWidth="1"/>
    <col min="10" max="11" width="27.7109375" hidden="1" customWidth="1"/>
    <col min="12" max="13" width="11.42578125" customWidth="1"/>
    <col min="15" max="15" width="11.7109375" customWidth="1"/>
    <col min="17" max="17" width="10" style="117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103" t="s">
        <v>347</v>
      </c>
      <c r="M1" s="103" t="s">
        <v>194</v>
      </c>
      <c r="N1" s="104" t="s">
        <v>348</v>
      </c>
      <c r="O1" s="105" t="s">
        <v>349</v>
      </c>
      <c r="P1" s="106" t="s">
        <v>350</v>
      </c>
      <c r="Q1" s="115" t="s">
        <v>351</v>
      </c>
    </row>
    <row r="2" spans="1:17">
      <c r="A2" s="49" t="str">
        <f>$D$2</f>
        <v>SRDR18F50</v>
      </c>
      <c r="B2" s="102" t="s">
        <v>294</v>
      </c>
      <c r="C2" s="49" t="s">
        <v>190</v>
      </c>
      <c r="D2" s="86" t="s">
        <v>342</v>
      </c>
      <c r="E2" s="87">
        <v>1</v>
      </c>
      <c r="F2" s="81" t="str">
        <f>'Backend data'!C6</f>
        <v>Trim-O-85  I-51 H-50mm White SRD-12/15/18W</v>
      </c>
      <c r="G2" s="97">
        <v>1</v>
      </c>
      <c r="H2" s="49" t="s">
        <v>189</v>
      </c>
      <c r="I2" s="49" t="s">
        <v>9</v>
      </c>
      <c r="J2" s="49"/>
      <c r="K2" s="49"/>
      <c r="L2" s="110">
        <v>7</v>
      </c>
      <c r="M2" s="110">
        <f>G2*L2</f>
        <v>7</v>
      </c>
      <c r="N2" s="111"/>
      <c r="O2" s="111"/>
      <c r="P2" s="111"/>
      <c r="Q2" s="111"/>
    </row>
    <row r="3" spans="1:17">
      <c r="A3" s="49"/>
      <c r="B3" s="49"/>
      <c r="C3" s="49"/>
      <c r="D3" s="72"/>
      <c r="E3" s="72"/>
      <c r="F3" s="88" t="str">
        <f>'Backend data'!D6</f>
        <v>HS-50X50.5mm (SR-DR-NR-18W)</v>
      </c>
      <c r="G3" s="97">
        <v>1</v>
      </c>
      <c r="H3" s="49" t="s">
        <v>189</v>
      </c>
      <c r="I3" s="49" t="s">
        <v>9</v>
      </c>
      <c r="J3" s="49"/>
      <c r="K3" s="49"/>
      <c r="L3" s="110">
        <f t="shared" ref="L3:L19" si="0">Q3*87</f>
        <v>77.386499999999998</v>
      </c>
      <c r="M3" s="110">
        <f t="shared" ref="M3:M21" si="1">G3*L3</f>
        <v>77.386499999999998</v>
      </c>
      <c r="N3" s="107">
        <v>0.59299999999999997</v>
      </c>
      <c r="O3" s="108">
        <v>0.5</v>
      </c>
      <c r="P3" s="109"/>
      <c r="Q3" s="116">
        <f t="shared" ref="Q3:Q6" si="2">N3+(N3*(O3+P3))</f>
        <v>0.88949999999999996</v>
      </c>
    </row>
    <row r="4" spans="1:17">
      <c r="A4" s="49"/>
      <c r="B4" s="49"/>
      <c r="C4" s="49"/>
      <c r="D4" s="72"/>
      <c r="E4" s="72"/>
      <c r="F4" s="60" t="s">
        <v>281</v>
      </c>
      <c r="G4" s="97">
        <v>1</v>
      </c>
      <c r="H4" s="49" t="s">
        <v>189</v>
      </c>
      <c r="I4" s="49" t="s">
        <v>9</v>
      </c>
      <c r="J4" s="49"/>
      <c r="K4" s="49"/>
      <c r="L4" s="120">
        <f t="shared" si="0"/>
        <v>5.4809999999999999</v>
      </c>
      <c r="M4" s="120">
        <f t="shared" si="1"/>
        <v>5.4809999999999999</v>
      </c>
      <c r="N4" s="123">
        <v>4.2000000000000003E-2</v>
      </c>
      <c r="O4" s="124">
        <v>0.5</v>
      </c>
      <c r="P4" s="125"/>
      <c r="Q4" s="125">
        <f t="shared" si="2"/>
        <v>6.3E-2</v>
      </c>
    </row>
    <row r="5" spans="1:17">
      <c r="A5" s="49"/>
      <c r="B5" s="49"/>
      <c r="C5" s="49"/>
      <c r="D5" s="72"/>
      <c r="E5" s="72"/>
      <c r="F5" s="60" t="s">
        <v>282</v>
      </c>
      <c r="G5" s="97">
        <v>1</v>
      </c>
      <c r="H5" s="49" t="s">
        <v>189</v>
      </c>
      <c r="I5" s="49" t="s">
        <v>9</v>
      </c>
      <c r="J5" s="49"/>
      <c r="K5" s="49"/>
      <c r="L5" s="121"/>
      <c r="M5" s="121"/>
      <c r="N5" s="123"/>
      <c r="O5" s="125"/>
      <c r="P5" s="125"/>
      <c r="Q5" s="125">
        <f t="shared" si="2"/>
        <v>0</v>
      </c>
    </row>
    <row r="6" spans="1:17">
      <c r="A6" s="49"/>
      <c r="B6" s="49"/>
      <c r="C6" s="49"/>
      <c r="D6" s="72"/>
      <c r="E6" s="72"/>
      <c r="F6" s="60" t="s">
        <v>283</v>
      </c>
      <c r="G6" s="97">
        <v>1</v>
      </c>
      <c r="H6" s="49" t="s">
        <v>189</v>
      </c>
      <c r="I6" s="49" t="s">
        <v>9</v>
      </c>
      <c r="J6" s="49"/>
      <c r="K6" s="49"/>
      <c r="L6" s="122"/>
      <c r="M6" s="122"/>
      <c r="N6" s="123"/>
      <c r="O6" s="125"/>
      <c r="P6" s="125"/>
      <c r="Q6" s="125">
        <f t="shared" si="2"/>
        <v>0</v>
      </c>
    </row>
    <row r="7" spans="1:17">
      <c r="A7" s="49"/>
      <c r="B7" s="49"/>
      <c r="C7" s="49"/>
      <c r="D7" s="72"/>
      <c r="E7" s="72"/>
      <c r="F7" s="60" t="s">
        <v>284</v>
      </c>
      <c r="G7" s="97">
        <v>2</v>
      </c>
      <c r="H7" s="49" t="s">
        <v>189</v>
      </c>
      <c r="I7" s="49" t="s">
        <v>9</v>
      </c>
      <c r="J7" s="49"/>
      <c r="K7" s="49"/>
      <c r="L7" s="110">
        <f t="shared" si="0"/>
        <v>1.044</v>
      </c>
      <c r="M7" s="110">
        <f t="shared" si="1"/>
        <v>2.0880000000000001</v>
      </c>
      <c r="N7" s="107">
        <v>8.0000000000000002E-3</v>
      </c>
      <c r="O7" s="108">
        <v>0.5</v>
      </c>
      <c r="P7" s="109"/>
      <c r="Q7" s="116">
        <f t="shared" ref="Q7" si="3">N7+(N7*(O7+P7))</f>
        <v>1.2E-2</v>
      </c>
    </row>
    <row r="8" spans="1:17">
      <c r="A8" s="49"/>
      <c r="B8" s="49"/>
      <c r="C8" s="49"/>
      <c r="D8" s="72"/>
      <c r="E8" s="72"/>
      <c r="F8" s="60" t="s">
        <v>285</v>
      </c>
      <c r="G8" s="97">
        <v>2</v>
      </c>
      <c r="H8" s="49" t="s">
        <v>189</v>
      </c>
      <c r="I8" s="49" t="s">
        <v>9</v>
      </c>
      <c r="J8" s="49"/>
      <c r="K8" s="49"/>
      <c r="L8" s="110">
        <v>2</v>
      </c>
      <c r="M8" s="110">
        <f t="shared" si="1"/>
        <v>4</v>
      </c>
      <c r="N8" s="111"/>
      <c r="O8" s="111"/>
      <c r="P8" s="111"/>
      <c r="Q8" s="111"/>
    </row>
    <row r="9" spans="1:17">
      <c r="A9" s="49"/>
      <c r="B9" s="49"/>
      <c r="C9" s="49"/>
      <c r="D9" s="72"/>
      <c r="E9" s="72"/>
      <c r="F9" s="77" t="s">
        <v>292</v>
      </c>
      <c r="G9" s="97">
        <v>1</v>
      </c>
      <c r="H9" s="49" t="s">
        <v>189</v>
      </c>
      <c r="I9" s="49" t="s">
        <v>9</v>
      </c>
      <c r="J9" s="49"/>
      <c r="K9" s="49"/>
      <c r="L9" s="110">
        <v>8.5</v>
      </c>
      <c r="M9" s="110">
        <f t="shared" si="1"/>
        <v>8.5</v>
      </c>
      <c r="N9" s="111"/>
      <c r="O9" s="111"/>
      <c r="P9" s="111"/>
      <c r="Q9" s="111"/>
    </row>
    <row r="10" spans="1:17">
      <c r="A10" s="49"/>
      <c r="B10" s="49"/>
      <c r="C10" s="49"/>
      <c r="D10" s="72"/>
      <c r="E10" s="72"/>
      <c r="F10" s="71" t="s">
        <v>293</v>
      </c>
      <c r="G10" s="97">
        <v>0.08</v>
      </c>
      <c r="H10" s="49" t="s">
        <v>189</v>
      </c>
      <c r="I10" s="49" t="s">
        <v>9</v>
      </c>
      <c r="J10" s="49"/>
      <c r="K10" s="49"/>
      <c r="L10" s="110">
        <v>27</v>
      </c>
      <c r="M10" s="110">
        <f t="shared" si="1"/>
        <v>2.16</v>
      </c>
      <c r="N10" s="111"/>
      <c r="O10" s="111"/>
      <c r="P10" s="111"/>
      <c r="Q10" s="111"/>
    </row>
    <row r="11" spans="1:17">
      <c r="A11" s="49"/>
      <c r="B11" s="49"/>
      <c r="C11" s="49"/>
      <c r="D11" s="72"/>
      <c r="E11" s="72"/>
      <c r="F11" s="49" t="s">
        <v>286</v>
      </c>
      <c r="G11" s="97">
        <v>1</v>
      </c>
      <c r="H11" s="49" t="s">
        <v>189</v>
      </c>
      <c r="I11" s="49" t="s">
        <v>9</v>
      </c>
      <c r="J11" s="49"/>
      <c r="K11" s="49"/>
      <c r="L11" s="110">
        <f t="shared" si="0"/>
        <v>3.915</v>
      </c>
      <c r="M11" s="110">
        <f t="shared" si="1"/>
        <v>3.915</v>
      </c>
      <c r="N11" s="107">
        <v>0.03</v>
      </c>
      <c r="O11" s="108">
        <v>0.5</v>
      </c>
      <c r="P11" s="109"/>
      <c r="Q11" s="116">
        <f t="shared" ref="Q11" si="4">N11+(N11*(O11+P11))</f>
        <v>4.4999999999999998E-2</v>
      </c>
    </row>
    <row r="12" spans="1:17">
      <c r="A12" s="49"/>
      <c r="B12" s="49"/>
      <c r="C12" s="49"/>
      <c r="D12" s="72"/>
      <c r="E12" s="72"/>
      <c r="F12" s="49" t="s">
        <v>287</v>
      </c>
      <c r="G12" s="97">
        <v>0.12</v>
      </c>
      <c r="H12" s="49" t="s">
        <v>189</v>
      </c>
      <c r="I12" s="49" t="s">
        <v>9</v>
      </c>
      <c r="J12" s="49"/>
      <c r="K12" s="49"/>
      <c r="L12" s="112">
        <f>5.7/1000*120</f>
        <v>0.68400000000000005</v>
      </c>
      <c r="M12" s="110">
        <f t="shared" si="1"/>
        <v>8.208E-2</v>
      </c>
      <c r="N12" s="111"/>
      <c r="O12" s="111"/>
      <c r="P12" s="111"/>
      <c r="Q12" s="111"/>
    </row>
    <row r="13" spans="1:17">
      <c r="A13" s="49"/>
      <c r="B13" s="49"/>
      <c r="C13" s="49"/>
      <c r="D13" s="72" t="s">
        <v>289</v>
      </c>
      <c r="E13" s="72"/>
      <c r="F13" s="49" t="s">
        <v>288</v>
      </c>
      <c r="G13" s="97">
        <v>1</v>
      </c>
      <c r="H13" s="49" t="s">
        <v>189</v>
      </c>
      <c r="I13" s="49" t="s">
        <v>9</v>
      </c>
      <c r="J13" s="49"/>
      <c r="K13" s="49"/>
      <c r="L13" s="110">
        <v>0.6</v>
      </c>
      <c r="M13" s="110">
        <f t="shared" si="1"/>
        <v>0.6</v>
      </c>
      <c r="N13" s="111"/>
      <c r="O13" s="111"/>
      <c r="P13" s="111"/>
      <c r="Q13" s="111"/>
    </row>
    <row r="14" spans="1:17">
      <c r="A14" s="49"/>
      <c r="B14" s="49"/>
      <c r="C14" s="49"/>
      <c r="D14" s="72"/>
      <c r="E14" s="72"/>
      <c r="F14" s="60" t="s">
        <v>345</v>
      </c>
      <c r="G14" s="97">
        <v>1</v>
      </c>
      <c r="H14" s="49" t="s">
        <v>189</v>
      </c>
      <c r="I14" s="49" t="s">
        <v>9</v>
      </c>
      <c r="J14" s="49"/>
      <c r="K14" s="49"/>
      <c r="L14" s="110">
        <v>0.21</v>
      </c>
      <c r="M14" s="110">
        <f t="shared" si="1"/>
        <v>0.21</v>
      </c>
      <c r="N14" s="111"/>
      <c r="O14" s="111"/>
      <c r="P14" s="111"/>
      <c r="Q14" s="111"/>
    </row>
    <row r="15" spans="1:17">
      <c r="A15" s="49"/>
      <c r="B15" s="49"/>
      <c r="C15" s="49"/>
      <c r="D15" s="72"/>
      <c r="E15" s="72"/>
      <c r="F15" s="101" t="s">
        <v>344</v>
      </c>
      <c r="G15" s="97">
        <v>3</v>
      </c>
      <c r="H15" s="49" t="s">
        <v>189</v>
      </c>
      <c r="I15" s="49" t="s">
        <v>9</v>
      </c>
      <c r="J15" s="49"/>
      <c r="K15" s="49"/>
      <c r="L15" s="110">
        <v>0.5</v>
      </c>
      <c r="M15" s="110">
        <f t="shared" si="1"/>
        <v>1.5</v>
      </c>
      <c r="N15" s="111"/>
      <c r="O15" s="111"/>
      <c r="P15" s="111"/>
      <c r="Q15" s="111"/>
    </row>
    <row r="16" spans="1:17">
      <c r="A16" s="49"/>
      <c r="B16" s="49"/>
      <c r="C16" s="49"/>
      <c r="D16" s="72"/>
      <c r="E16" s="72"/>
      <c r="F16" s="49" t="s">
        <v>290</v>
      </c>
      <c r="G16" s="97">
        <v>2</v>
      </c>
      <c r="H16" s="49" t="s">
        <v>189</v>
      </c>
      <c r="I16" s="49" t="s">
        <v>9</v>
      </c>
      <c r="J16" s="49"/>
      <c r="K16" s="49"/>
      <c r="L16" s="110">
        <v>0.26</v>
      </c>
      <c r="M16" s="110">
        <f t="shared" si="1"/>
        <v>0.52</v>
      </c>
      <c r="N16" s="111"/>
      <c r="O16" s="111"/>
      <c r="P16" s="111"/>
      <c r="Q16" s="111"/>
    </row>
    <row r="17" spans="1:17">
      <c r="A17" s="49"/>
      <c r="B17" s="49"/>
      <c r="C17" s="49"/>
      <c r="D17" s="49"/>
      <c r="E17" s="49"/>
      <c r="F17" s="49" t="s">
        <v>291</v>
      </c>
      <c r="G17" s="97">
        <v>4</v>
      </c>
      <c r="H17" s="49" t="s">
        <v>189</v>
      </c>
      <c r="I17" s="49" t="s">
        <v>9</v>
      </c>
      <c r="J17" s="49"/>
      <c r="K17" s="49"/>
      <c r="L17" s="110">
        <v>0.32</v>
      </c>
      <c r="M17" s="110">
        <f t="shared" si="1"/>
        <v>1.28</v>
      </c>
      <c r="N17" s="111"/>
      <c r="O17" s="111"/>
      <c r="P17" s="111"/>
      <c r="Q17" s="111"/>
    </row>
    <row r="18" spans="1:17">
      <c r="A18" s="49"/>
      <c r="B18" s="49"/>
      <c r="C18" s="49"/>
      <c r="D18" s="49"/>
      <c r="E18" s="49"/>
      <c r="F18" s="91" t="str">
        <f>D20</f>
        <v>SRDR18F50  BOM LED PCB</v>
      </c>
      <c r="G18" s="97">
        <v>1</v>
      </c>
      <c r="H18" s="49" t="s">
        <v>189</v>
      </c>
      <c r="I18" s="49" t="s">
        <v>9</v>
      </c>
      <c r="J18" s="49"/>
      <c r="K18" s="49"/>
      <c r="L18" s="135"/>
      <c r="M18" s="135"/>
      <c r="N18" s="111"/>
      <c r="O18" s="111"/>
      <c r="P18" s="111"/>
      <c r="Q18" s="111"/>
    </row>
    <row r="19" spans="1:17">
      <c r="A19" s="49"/>
      <c r="B19" s="49"/>
      <c r="C19" s="49"/>
      <c r="D19" s="49"/>
      <c r="E19" s="49"/>
      <c r="F19" s="89"/>
      <c r="G19" s="98"/>
      <c r="H19" s="49"/>
      <c r="I19" s="49"/>
      <c r="J19" s="49"/>
      <c r="K19" s="49"/>
      <c r="L19" s="110"/>
      <c r="M19" s="110"/>
      <c r="N19" s="111"/>
      <c r="O19" s="111"/>
      <c r="P19" s="111"/>
      <c r="Q19" s="111"/>
    </row>
    <row r="20" spans="1:17">
      <c r="A20" s="102" t="s">
        <v>346</v>
      </c>
      <c r="B20" s="102" t="s">
        <v>294</v>
      </c>
      <c r="C20" s="81" t="s">
        <v>190</v>
      </c>
      <c r="D20" s="90" t="str">
        <f>CONCATENATE($D$2,"  ","BOM LED PCB" )</f>
        <v>SRDR18F50  BOM LED PCB</v>
      </c>
      <c r="E20" s="90">
        <v>1</v>
      </c>
      <c r="F20" s="91" t="str">
        <f>VLOOKUP('[1]SRD12-15-18W-DATA'!$V$13,'[1]SRD12-15-18W-DATA'!Q2:R12,2,0)</f>
        <v>PCB SRDR12W 2835 - 9V (36X1mm)</v>
      </c>
      <c r="G20" s="90">
        <v>1</v>
      </c>
      <c r="H20" s="49" t="s">
        <v>208</v>
      </c>
      <c r="I20" s="49" t="s">
        <v>9</v>
      </c>
      <c r="J20" s="49"/>
      <c r="K20" s="49"/>
      <c r="L20" s="110">
        <v>5.43</v>
      </c>
      <c r="M20" s="110">
        <f t="shared" si="1"/>
        <v>5.43</v>
      </c>
      <c r="N20" s="111"/>
      <c r="O20" s="111"/>
      <c r="P20" s="111"/>
      <c r="Q20" s="111"/>
    </row>
    <row r="21" spans="1:17">
      <c r="D21" s="47"/>
      <c r="E21" s="47"/>
      <c r="F21" s="113" t="s">
        <v>258</v>
      </c>
      <c r="G21" s="99">
        <v>30</v>
      </c>
      <c r="H21" s="49" t="s">
        <v>208</v>
      </c>
      <c r="I21" s="49" t="s">
        <v>9</v>
      </c>
      <c r="J21" s="49"/>
      <c r="K21" s="49"/>
      <c r="L21" s="114">
        <v>0.28999999999999998</v>
      </c>
      <c r="M21" s="110">
        <f t="shared" si="1"/>
        <v>8.6999999999999993</v>
      </c>
      <c r="N21" s="111"/>
      <c r="O21" s="111"/>
      <c r="P21" s="111"/>
      <c r="Q21" s="111"/>
    </row>
    <row r="22" spans="1:17" ht="25.5" customHeight="1" thickBot="1">
      <c r="L22" s="117"/>
      <c r="M22" s="119">
        <f>SUM(M2:M21)</f>
        <v>128.85257999999996</v>
      </c>
      <c r="N22" s="117"/>
      <c r="O22" s="117"/>
      <c r="P22" s="117"/>
    </row>
    <row r="23" spans="1:17" ht="15.75" thickTop="1"/>
  </sheetData>
  <mergeCells count="6">
    <mergeCell ref="L4:L6"/>
    <mergeCell ref="N4:N6"/>
    <mergeCell ref="O4:O6"/>
    <mergeCell ref="P4:P6"/>
    <mergeCell ref="Q4:Q6"/>
    <mergeCell ref="M4:M6"/>
  </mergeCells>
  <conditionalFormatting sqref="F1 F22:F23 F35:F1048576 F26 F9:F14 F16:F18">
    <cfRule type="containsText" dxfId="17" priority="13" operator="containsText" text="PS-">
      <formula>NOT(ISERROR(SEARCH("PS-",F1)))</formula>
    </cfRule>
    <cfRule type="containsText" dxfId="16" priority="16" operator="containsText" text="COB-">
      <formula>NOT(ISERROR(SEARCH("COB-",F1)))</formula>
    </cfRule>
    <cfRule type="containsText" dxfId="15" priority="18" operator="containsText" text="TRIM">
      <formula>NOT(ISERROR(SEARCH("TRIM",F1)))</formula>
    </cfRule>
  </conditionalFormatting>
  <conditionalFormatting sqref="F1:G1 G2:G8 F22:G23 F26:G26 F35:G1048576 F9:G14 F16:G18 G15">
    <cfRule type="containsText" dxfId="14" priority="12" operator="containsText" text="REFLECTOR">
      <formula>NOT(ISERROR(SEARCH("REFLECTOR",F1)))</formula>
    </cfRule>
  </conditionalFormatting>
  <conditionalFormatting sqref="F15">
    <cfRule type="containsText" dxfId="13" priority="2" operator="containsText" text="PS-">
      <formula>NOT(ISERROR(SEARCH("PS-",F15)))</formula>
    </cfRule>
    <cfRule type="containsText" dxfId="12" priority="3" operator="containsText" text="COB-">
      <formula>NOT(ISERROR(SEARCH("COB-",F15)))</formula>
    </cfRule>
    <cfRule type="containsText" dxfId="11" priority="4" operator="containsText" text="TRIM">
      <formula>NOT(ISERROR(SEARCH("TRIM",F15)))</formula>
    </cfRule>
  </conditionalFormatting>
  <conditionalFormatting sqref="F15">
    <cfRule type="containsText" dxfId="10" priority="1" operator="containsText" text="REFLECTOR">
      <formula>NOT(ISERROR(SEARCH("REFLECTOR",F15)))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F22:G23 F26:G26 F35:G1048576 G15:G18 G11 F1:G1 G2:G9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'[1]SRDR12-15-18W-SKU'!#REF!</xm:f>
          </x14:formula1>
          <xm:sqref>E2</xm:sqref>
        </x14:dataValidation>
        <x14:dataValidation type="list" allowBlank="1" showInputMessage="1" showErrorMessage="1">
          <x14:formula1>
            <xm:f>'SRDR12-15-18W-SKU'!$C$2:$C$16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7" t="s">
        <v>20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9"/>
    </row>
    <row r="6" spans="1:17" ht="12.6" customHeight="1">
      <c r="A6" s="16" t="s">
        <v>21</v>
      </c>
      <c r="B6" s="12" t="s">
        <v>15</v>
      </c>
      <c r="C6" s="13"/>
      <c r="E6" s="127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9"/>
    </row>
    <row r="7" spans="1:17" ht="12.6" customHeight="1">
      <c r="A7" s="16" t="s">
        <v>22</v>
      </c>
      <c r="B7" s="12" t="s">
        <v>15</v>
      </c>
      <c r="C7" s="13"/>
      <c r="E7" s="127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9"/>
    </row>
    <row r="8" spans="1:17" ht="12.6" customHeight="1">
      <c r="A8" s="16" t="s">
        <v>23</v>
      </c>
      <c r="B8" s="12" t="s">
        <v>15</v>
      </c>
      <c r="C8" s="13"/>
      <c r="E8" s="127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9"/>
    </row>
    <row r="9" spans="1:17" ht="12.95" customHeight="1">
      <c r="A9" s="16" t="s">
        <v>24</v>
      </c>
      <c r="B9" s="12" t="s">
        <v>15</v>
      </c>
      <c r="C9" s="13"/>
      <c r="E9" s="127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9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</row>
    <row r="20" spans="1:17" ht="25.5">
      <c r="A20" s="16" t="s">
        <v>40</v>
      </c>
      <c r="B20" s="12" t="s">
        <v>15</v>
      </c>
      <c r="C20" s="13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</row>
    <row r="21" spans="1:17">
      <c r="A21" s="16" t="s">
        <v>41</v>
      </c>
      <c r="B21" s="12" t="s">
        <v>15</v>
      </c>
      <c r="C21" s="13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</row>
    <row r="22" spans="1:17">
      <c r="A22" s="6" t="s">
        <v>42</v>
      </c>
      <c r="B22" s="30"/>
      <c r="C22" s="31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G9" workbookViewId="0">
      <selection activeCell="H13" sqref="H13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31.85546875" customWidth="1"/>
    <col min="5" max="5" width="10.42578125" bestFit="1" customWidth="1"/>
    <col min="6" max="6" width="11.85546875" bestFit="1" customWidth="1"/>
    <col min="7" max="7" width="37.28515625" customWidth="1"/>
    <col min="8" max="8" width="46" style="51" customWidth="1"/>
    <col min="9" max="9" width="40.2851562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44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270</v>
      </c>
    </row>
    <row r="3" spans="2:9">
      <c r="C3" s="63" t="str">
        <f>MID('Stock Item'!$D$2,4,1)</f>
        <v>R</v>
      </c>
      <c r="D3" s="52" t="str">
        <f>MID('Stock Item'!$D$2,5,2)</f>
        <v>18</v>
      </c>
      <c r="E3" s="63" t="str">
        <f>MID('Stock Item'!$D$2,3,1)</f>
        <v>D</v>
      </c>
      <c r="F3" s="63" t="str">
        <f>MID('Stock Item'!$D$2,7,1)</f>
        <v>F</v>
      </c>
      <c r="G3" s="51" t="str">
        <f>MID('Stock Item'!$D$2,8,2)</f>
        <v>50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CONCATENATE($D$3,$F$3)</f>
        <v>18F</v>
      </c>
      <c r="G4" s="64" t="str">
        <f>CONCATENATE($D$3,$F$3,G3)</f>
        <v>18F50</v>
      </c>
      <c r="H4" s="51" t="str">
        <f>CONCATENATE($D$3,$H$3,"-")</f>
        <v>18-</v>
      </c>
      <c r="I4" t="str">
        <f>CONCATENATE(C3,D3)</f>
        <v>R18</v>
      </c>
    </row>
    <row r="5" spans="2:9">
      <c r="H5" s="51" t="str">
        <f>CONCATENATE('Stock Item'!D2)</f>
        <v>SRDR18F50</v>
      </c>
    </row>
    <row r="6" spans="2:9">
      <c r="B6" s="54" t="s">
        <v>200</v>
      </c>
      <c r="C6" s="58" t="str">
        <f>VLOOKUP($C$3,$B$23:$E$72,2,0)</f>
        <v>Trim-O-85  I-51 H-50mm White SRD-12/15/18W</v>
      </c>
      <c r="D6" s="57" t="str">
        <f>VLOOKUP($D$4,G23:$J$100,2,0)</f>
        <v>HS-50X50.5mm (SR-DR-NR-18W)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2835 100mA 9V 5000K</v>
      </c>
      <c r="H6" s="56" t="str">
        <f>VLOOKUP($H$4,$AA$23:$AD$72,2,0)</f>
        <v>PS 18W 440mA 12LED 36V Maxic</v>
      </c>
      <c r="I6" s="56" t="e">
        <f>VLOOKUP($I$3,AF23:$AI$100,2,0)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205</v>
      </c>
    </row>
    <row r="19" spans="2:35" ht="13.9" customHeight="1"/>
    <row r="21" spans="2:35">
      <c r="B21" s="133" t="s">
        <v>195</v>
      </c>
      <c r="C21" s="134"/>
      <c r="D21" s="134"/>
      <c r="E21" s="134"/>
      <c r="G21" s="133" t="s">
        <v>203</v>
      </c>
      <c r="H21" s="134"/>
      <c r="I21" s="134"/>
      <c r="J21" s="134"/>
      <c r="L21" s="133" t="s">
        <v>196</v>
      </c>
      <c r="M21" s="134"/>
      <c r="N21" s="134"/>
      <c r="O21" s="134"/>
      <c r="Q21" s="133" t="s">
        <v>197</v>
      </c>
      <c r="R21" s="134"/>
      <c r="S21" s="134"/>
      <c r="T21" s="134"/>
      <c r="V21" s="133" t="s">
        <v>206</v>
      </c>
      <c r="W21" s="134"/>
      <c r="X21" s="134"/>
      <c r="Y21" s="134"/>
      <c r="AA21" s="130" t="s">
        <v>198</v>
      </c>
      <c r="AB21" s="131"/>
      <c r="AC21" s="131"/>
      <c r="AD21" s="132"/>
      <c r="AF21" s="130" t="s">
        <v>270</v>
      </c>
      <c r="AG21" s="131"/>
      <c r="AH21" s="131"/>
      <c r="AI21" s="132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82" t="s">
        <v>204</v>
      </c>
      <c r="C23" s="68" t="s">
        <v>223</v>
      </c>
      <c r="D23" s="70"/>
      <c r="E23" s="70"/>
      <c r="G23" s="83" t="s">
        <v>226</v>
      </c>
      <c r="H23" s="68" t="s">
        <v>227</v>
      </c>
      <c r="L23" s="69"/>
      <c r="M23" s="68"/>
      <c r="Q23" s="74"/>
      <c r="R23" s="75"/>
      <c r="V23" s="85" t="s">
        <v>251</v>
      </c>
      <c r="W23" s="100" t="s">
        <v>252</v>
      </c>
      <c r="X23" s="49"/>
      <c r="AA23" s="83" t="s">
        <v>231</v>
      </c>
      <c r="AB23" s="82" t="s">
        <v>341</v>
      </c>
      <c r="AF23" s="60" t="s">
        <v>271</v>
      </c>
      <c r="AG23" s="60" t="s">
        <v>272</v>
      </c>
      <c r="AH23" s="60"/>
      <c r="AI23" s="60"/>
    </row>
    <row r="24" spans="2:35">
      <c r="B24" s="60" t="s">
        <v>19</v>
      </c>
      <c r="C24" s="49" t="s">
        <v>224</v>
      </c>
      <c r="D24" s="70"/>
      <c r="E24" s="70"/>
      <c r="G24" s="84" t="s">
        <v>228</v>
      </c>
      <c r="H24" s="49" t="s">
        <v>229</v>
      </c>
      <c r="L24" s="65"/>
      <c r="M24" s="49"/>
      <c r="Q24" s="74"/>
      <c r="R24" s="75"/>
      <c r="V24" s="85" t="s">
        <v>253</v>
      </c>
      <c r="W24" s="100" t="s">
        <v>254</v>
      </c>
      <c r="X24" s="49"/>
      <c r="AA24" s="84" t="s">
        <v>295</v>
      </c>
      <c r="AB24" s="60" t="s">
        <v>232</v>
      </c>
      <c r="AF24" s="60" t="s">
        <v>273</v>
      </c>
      <c r="AG24" s="60" t="s">
        <v>272</v>
      </c>
      <c r="AH24" s="60"/>
      <c r="AI24" s="60"/>
    </row>
    <row r="25" spans="2:35">
      <c r="B25" s="60" t="s">
        <v>207</v>
      </c>
      <c r="C25" s="49" t="s">
        <v>225</v>
      </c>
      <c r="D25" s="70"/>
      <c r="E25" s="70"/>
      <c r="G25" s="84" t="s">
        <v>230</v>
      </c>
      <c r="H25" s="118" t="s">
        <v>352</v>
      </c>
      <c r="L25" s="65"/>
      <c r="M25" s="66"/>
      <c r="V25" s="85" t="s">
        <v>255</v>
      </c>
      <c r="W25" s="100" t="s">
        <v>256</v>
      </c>
      <c r="X25" s="49"/>
      <c r="AA25" s="84" t="s">
        <v>296</v>
      </c>
      <c r="AB25" s="60" t="s">
        <v>233</v>
      </c>
      <c r="AF25" s="60" t="s">
        <v>274</v>
      </c>
      <c r="AG25" s="60" t="s">
        <v>272</v>
      </c>
      <c r="AH25" s="60"/>
      <c r="AI25" s="60"/>
    </row>
    <row r="26" spans="2:35">
      <c r="L26" s="65"/>
      <c r="M26" s="49"/>
      <c r="V26" s="85" t="s">
        <v>257</v>
      </c>
      <c r="W26" s="100" t="s">
        <v>258</v>
      </c>
      <c r="X26" s="49"/>
      <c r="AA26" s="84" t="s">
        <v>297</v>
      </c>
      <c r="AB26" s="60" t="s">
        <v>234</v>
      </c>
      <c r="AF26" s="60"/>
      <c r="AG26" s="60"/>
      <c r="AH26" s="60"/>
      <c r="AI26" s="60"/>
    </row>
    <row r="27" spans="2:35">
      <c r="H27"/>
      <c r="V27" s="85" t="s">
        <v>259</v>
      </c>
      <c r="W27" s="100" t="s">
        <v>343</v>
      </c>
      <c r="X27" s="49"/>
      <c r="AA27" s="84" t="s">
        <v>298</v>
      </c>
      <c r="AB27" s="60" t="s">
        <v>235</v>
      </c>
      <c r="AF27" s="60" t="s">
        <v>275</v>
      </c>
      <c r="AG27" s="60" t="s">
        <v>272</v>
      </c>
      <c r="AH27" s="60"/>
      <c r="AI27" s="60"/>
    </row>
    <row r="28" spans="2:35">
      <c r="V28" s="95" t="s">
        <v>339</v>
      </c>
      <c r="W28" s="96" t="s">
        <v>338</v>
      </c>
      <c r="X28" s="49"/>
      <c r="AA28" s="84" t="s">
        <v>299</v>
      </c>
      <c r="AB28" s="60" t="s">
        <v>236</v>
      </c>
      <c r="AF28" s="60" t="s">
        <v>276</v>
      </c>
      <c r="AG28" s="60" t="s">
        <v>272</v>
      </c>
      <c r="AH28" s="60"/>
      <c r="AI28" s="60"/>
    </row>
    <row r="29" spans="2:35">
      <c r="V29" s="85" t="s">
        <v>260</v>
      </c>
      <c r="W29" s="100" t="s">
        <v>252</v>
      </c>
      <c r="X29" s="49"/>
      <c r="AB29"/>
      <c r="AF29" s="60" t="s">
        <v>277</v>
      </c>
      <c r="AG29" s="60" t="s">
        <v>272</v>
      </c>
      <c r="AH29" s="60"/>
      <c r="AI29" s="60"/>
    </row>
    <row r="30" spans="2:35">
      <c r="V30" s="85" t="s">
        <v>261</v>
      </c>
      <c r="W30" s="100" t="s">
        <v>254</v>
      </c>
      <c r="X30" s="49"/>
      <c r="AA30" s="84" t="s">
        <v>237</v>
      </c>
      <c r="AB30" s="60" t="s">
        <v>238</v>
      </c>
      <c r="AF30" s="60"/>
      <c r="AG30" s="60"/>
      <c r="AH30" s="60"/>
      <c r="AI30" s="60"/>
    </row>
    <row r="31" spans="2:35">
      <c r="V31" s="85" t="s">
        <v>262</v>
      </c>
      <c r="W31" s="100" t="s">
        <v>256</v>
      </c>
      <c r="AA31" s="84" t="s">
        <v>300</v>
      </c>
      <c r="AB31" s="60" t="s">
        <v>239</v>
      </c>
      <c r="AF31" s="60" t="s">
        <v>278</v>
      </c>
      <c r="AG31" s="60" t="s">
        <v>272</v>
      </c>
      <c r="AH31" s="60"/>
      <c r="AI31" s="60"/>
    </row>
    <row r="32" spans="2:35">
      <c r="V32" s="85" t="s">
        <v>263</v>
      </c>
      <c r="W32" s="100" t="s">
        <v>258</v>
      </c>
      <c r="AA32" s="84" t="s">
        <v>301</v>
      </c>
      <c r="AB32" s="60" t="s">
        <v>240</v>
      </c>
      <c r="AF32" s="60" t="s">
        <v>279</v>
      </c>
      <c r="AG32" s="60" t="s">
        <v>272</v>
      </c>
      <c r="AH32" s="60"/>
      <c r="AI32" s="60"/>
    </row>
    <row r="33" spans="22:35">
      <c r="V33" s="85" t="s">
        <v>264</v>
      </c>
      <c r="W33" s="100" t="s">
        <v>343</v>
      </c>
      <c r="AA33" s="84" t="s">
        <v>302</v>
      </c>
      <c r="AB33" s="60" t="s">
        <v>241</v>
      </c>
      <c r="AF33" s="60" t="s">
        <v>280</v>
      </c>
      <c r="AG33" s="60" t="s">
        <v>272</v>
      </c>
      <c r="AH33" s="60"/>
      <c r="AI33" s="60"/>
    </row>
    <row r="34" spans="22:35">
      <c r="V34" s="95" t="s">
        <v>340</v>
      </c>
      <c r="W34" s="96" t="s">
        <v>338</v>
      </c>
      <c r="AA34" s="84" t="s">
        <v>303</v>
      </c>
      <c r="AB34" s="60" t="s">
        <v>242</v>
      </c>
    </row>
    <row r="35" spans="22:35">
      <c r="V35" s="85" t="s">
        <v>265</v>
      </c>
      <c r="W35" s="100" t="s">
        <v>252</v>
      </c>
      <c r="AA35" s="84" t="s">
        <v>304</v>
      </c>
      <c r="AB35" s="60" t="s">
        <v>243</v>
      </c>
    </row>
    <row r="36" spans="22:35">
      <c r="V36" s="85" t="s">
        <v>266</v>
      </c>
      <c r="W36" s="100" t="s">
        <v>254</v>
      </c>
      <c r="AB36"/>
    </row>
    <row r="37" spans="22:35">
      <c r="V37" s="85" t="s">
        <v>267</v>
      </c>
      <c r="W37" s="100" t="s">
        <v>256</v>
      </c>
      <c r="AA37" s="84" t="s">
        <v>244</v>
      </c>
      <c r="AB37" s="60" t="s">
        <v>245</v>
      </c>
    </row>
    <row r="38" spans="22:35">
      <c r="V38" s="85" t="s">
        <v>268</v>
      </c>
      <c r="W38" s="100" t="s">
        <v>258</v>
      </c>
      <c r="AA38" s="84" t="s">
        <v>305</v>
      </c>
      <c r="AB38" s="60" t="s">
        <v>246</v>
      </c>
    </row>
    <row r="39" spans="22:35">
      <c r="V39" s="85" t="s">
        <v>269</v>
      </c>
      <c r="W39" s="100" t="s">
        <v>343</v>
      </c>
      <c r="AA39" s="84" t="s">
        <v>306</v>
      </c>
      <c r="AB39" s="60" t="s">
        <v>247</v>
      </c>
    </row>
    <row r="40" spans="22:35">
      <c r="V40" s="95" t="s">
        <v>337</v>
      </c>
      <c r="W40" s="96" t="s">
        <v>338</v>
      </c>
      <c r="AA40" s="84" t="s">
        <v>307</v>
      </c>
      <c r="AB40" s="60" t="s">
        <v>248</v>
      </c>
    </row>
    <row r="41" spans="22:35">
      <c r="V41" s="49"/>
      <c r="W41" s="49"/>
      <c r="AA41" s="84" t="s">
        <v>308</v>
      </c>
      <c r="AB41" s="60" t="s">
        <v>249</v>
      </c>
    </row>
    <row r="42" spans="22:35">
      <c r="V42" s="49"/>
      <c r="W42" s="49"/>
      <c r="AA42" s="84" t="s">
        <v>309</v>
      </c>
      <c r="AB42" s="60" t="s">
        <v>250</v>
      </c>
    </row>
    <row r="43" spans="22:35">
      <c r="V43" s="49"/>
      <c r="W43" s="49"/>
      <c r="AB43"/>
    </row>
    <row r="44" spans="22:35">
      <c r="V44" s="49"/>
      <c r="W44" s="49"/>
      <c r="AB44"/>
    </row>
    <row r="45" spans="22:35">
      <c r="V45" s="49"/>
      <c r="W45" s="49"/>
      <c r="AB45"/>
    </row>
    <row r="46" spans="22:35">
      <c r="V46" s="49"/>
      <c r="W46" s="49"/>
      <c r="AB46"/>
    </row>
    <row r="47" spans="22:35">
      <c r="V47" s="49"/>
      <c r="W47" s="49"/>
      <c r="AB47"/>
    </row>
    <row r="48" spans="22:35">
      <c r="V48" s="49"/>
      <c r="W48" s="49"/>
      <c r="AB48"/>
    </row>
    <row r="49" spans="22:28">
      <c r="V49" s="76"/>
      <c r="W49" s="73"/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V23:V27">
    <cfRule type="duplicateValues" dxfId="8" priority="12"/>
  </conditionalFormatting>
  <conditionalFormatting sqref="V29:V33">
    <cfRule type="duplicateValues" dxfId="7" priority="11"/>
  </conditionalFormatting>
  <conditionalFormatting sqref="V35:V39">
    <cfRule type="duplicateValues" dxfId="6" priority="10"/>
  </conditionalFormatting>
  <conditionalFormatting sqref="W40">
    <cfRule type="duplicateValues" dxfId="5" priority="8"/>
  </conditionalFormatting>
  <conditionalFormatting sqref="W34">
    <cfRule type="duplicateValues" dxfId="4" priority="5"/>
  </conditionalFormatting>
  <conditionalFormatting sqref="W28">
    <cfRule type="duplicateValues" dxfId="3" priority="4"/>
  </conditionalFormatting>
  <conditionalFormatting sqref="W23:W27">
    <cfRule type="duplicateValues" dxfId="2" priority="3"/>
  </conditionalFormatting>
  <conditionalFormatting sqref="W29:W33">
    <cfRule type="duplicateValues" dxfId="1" priority="2"/>
  </conditionalFormatting>
  <conditionalFormatting sqref="W35:W39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16"/>
  <sheetViews>
    <sheetView zoomScale="84" zoomScaleNormal="84" workbookViewId="0">
      <selection activeCell="M16" sqref="M16"/>
    </sheetView>
  </sheetViews>
  <sheetFormatPr defaultRowHeight="15"/>
  <cols>
    <col min="1" max="1" width="7" style="78" bestFit="1" customWidth="1"/>
    <col min="2" max="2" width="14.140625" style="78" bestFit="1" customWidth="1"/>
    <col min="3" max="3" width="14.140625" style="79" bestFit="1" customWidth="1"/>
    <col min="4" max="4" width="9.7109375" style="78" bestFit="1" customWidth="1"/>
    <col min="5" max="5" width="11" style="78" bestFit="1" customWidth="1"/>
    <col min="6" max="6" width="11.85546875" style="78" bestFit="1" customWidth="1"/>
    <col min="7" max="7" width="7.42578125" style="78" bestFit="1" customWidth="1"/>
    <col min="8" max="8" width="6.42578125" style="78" bestFit="1" customWidth="1"/>
    <col min="9" max="9" width="6.85546875" style="78" bestFit="1" customWidth="1"/>
    <col min="10" max="10" width="6.42578125" style="78" bestFit="1" customWidth="1"/>
    <col min="11" max="11" width="21.5703125" style="78" bestFit="1" customWidth="1"/>
    <col min="12" max="12" width="11.5703125" style="78" bestFit="1" customWidth="1"/>
    <col min="13" max="13" width="49.140625" style="78" bestFit="1" customWidth="1"/>
    <col min="14" max="14" width="35.42578125" style="78" bestFit="1" customWidth="1"/>
    <col min="15" max="16" width="9.140625" style="78"/>
    <col min="17" max="21" width="9.140625" style="80"/>
    <col min="22" max="16384" width="9.140625" style="78"/>
  </cols>
  <sheetData>
    <row r="1" spans="1:22" s="92" customFormat="1">
      <c r="A1" s="92" t="s">
        <v>209</v>
      </c>
      <c r="B1" s="93" t="s">
        <v>210</v>
      </c>
      <c r="C1" s="92" t="s">
        <v>211</v>
      </c>
      <c r="D1" s="94" t="s">
        <v>212</v>
      </c>
      <c r="E1" s="92" t="s">
        <v>213</v>
      </c>
      <c r="F1" s="92" t="s">
        <v>214</v>
      </c>
      <c r="G1" s="92" t="s">
        <v>215</v>
      </c>
      <c r="H1" s="92" t="s">
        <v>216</v>
      </c>
      <c r="I1" s="92" t="s">
        <v>217</v>
      </c>
      <c r="J1" s="92" t="s">
        <v>218</v>
      </c>
      <c r="K1" s="92" t="s">
        <v>221</v>
      </c>
      <c r="L1" s="92" t="s">
        <v>219</v>
      </c>
      <c r="M1" s="92" t="s">
        <v>310</v>
      </c>
      <c r="N1" s="92" t="s">
        <v>220</v>
      </c>
      <c r="O1" s="92" t="s">
        <v>311</v>
      </c>
      <c r="P1" s="93"/>
      <c r="V1" s="94"/>
    </row>
    <row r="2" spans="1:22">
      <c r="A2" s="78">
        <v>134803</v>
      </c>
      <c r="B2" s="78" t="s">
        <v>321</v>
      </c>
      <c r="C2" s="79" t="str">
        <f t="shared" ref="C2:C16" si="0">CONCATENATE(Q2,R2,S2,T2,U2)</f>
        <v>SRDR18F60</v>
      </c>
      <c r="D2" s="78">
        <v>0</v>
      </c>
      <c r="E2" s="78">
        <v>0</v>
      </c>
      <c r="F2" s="78">
        <v>1192</v>
      </c>
      <c r="G2" s="78">
        <v>0</v>
      </c>
      <c r="H2" s="78">
        <v>0</v>
      </c>
      <c r="I2" s="78">
        <v>0</v>
      </c>
      <c r="J2" s="78">
        <v>0</v>
      </c>
      <c r="K2" s="78" t="s">
        <v>312</v>
      </c>
      <c r="L2" s="78" t="s">
        <v>313</v>
      </c>
      <c r="M2" s="78" t="s">
        <v>314</v>
      </c>
      <c r="N2" s="78" t="s">
        <v>222</v>
      </c>
      <c r="O2" s="78" t="s">
        <v>322</v>
      </c>
      <c r="Q2" s="80" t="str">
        <f t="shared" ref="Q2:Q16" si="1">MID(B2,1,3)</f>
        <v>SRD</v>
      </c>
      <c r="R2" s="80" t="str">
        <f t="shared" ref="R2:R16" si="2">MID(B2,4,1)</f>
        <v>R</v>
      </c>
      <c r="S2" s="80" t="str">
        <f t="shared" ref="S2:S16" si="3">MID(B2,5,2)</f>
        <v>18</v>
      </c>
      <c r="T2" s="80" t="str">
        <f t="shared" ref="T2:T16" si="4">MID(B2,7,1)</f>
        <v>F</v>
      </c>
      <c r="U2" s="80" t="str">
        <f t="shared" ref="U2:U16" si="5">MID(B2,8,2)</f>
        <v>60</v>
      </c>
    </row>
    <row r="3" spans="1:22">
      <c r="A3" s="78">
        <v>134804</v>
      </c>
      <c r="B3" s="78" t="s">
        <v>323</v>
      </c>
      <c r="C3" s="79" t="str">
        <f t="shared" si="0"/>
        <v>SRDR18F50</v>
      </c>
      <c r="D3" s="78">
        <v>0</v>
      </c>
      <c r="E3" s="78">
        <v>0</v>
      </c>
      <c r="F3" s="78">
        <v>1192</v>
      </c>
      <c r="G3" s="78">
        <v>0</v>
      </c>
      <c r="H3" s="78">
        <v>0</v>
      </c>
      <c r="I3" s="78">
        <v>0</v>
      </c>
      <c r="J3" s="78">
        <v>0</v>
      </c>
      <c r="K3" s="78" t="s">
        <v>312</v>
      </c>
      <c r="L3" s="78" t="s">
        <v>313</v>
      </c>
      <c r="M3" s="78" t="s">
        <v>315</v>
      </c>
      <c r="N3" s="78" t="s">
        <v>222</v>
      </c>
      <c r="O3" s="78" t="s">
        <v>322</v>
      </c>
      <c r="Q3" s="80" t="str">
        <f t="shared" si="1"/>
        <v>SRD</v>
      </c>
      <c r="R3" s="80" t="str">
        <f t="shared" si="2"/>
        <v>R</v>
      </c>
      <c r="S3" s="80" t="str">
        <f t="shared" si="3"/>
        <v>18</v>
      </c>
      <c r="T3" s="80" t="str">
        <f t="shared" si="4"/>
        <v>F</v>
      </c>
      <c r="U3" s="80" t="str">
        <f t="shared" si="5"/>
        <v>50</v>
      </c>
    </row>
    <row r="4" spans="1:22">
      <c r="A4" s="78">
        <v>134805</v>
      </c>
      <c r="B4" s="78" t="s">
        <v>324</v>
      </c>
      <c r="C4" s="79" t="str">
        <f t="shared" si="0"/>
        <v>SRDR18F40</v>
      </c>
      <c r="D4" s="78">
        <v>0</v>
      </c>
      <c r="E4" s="78">
        <v>0</v>
      </c>
      <c r="F4" s="78">
        <v>1192</v>
      </c>
      <c r="G4" s="78">
        <v>0</v>
      </c>
      <c r="H4" s="78">
        <v>0</v>
      </c>
      <c r="I4" s="78">
        <v>0</v>
      </c>
      <c r="J4" s="78">
        <v>0</v>
      </c>
      <c r="K4" s="78" t="s">
        <v>312</v>
      </c>
      <c r="L4" s="78" t="s">
        <v>313</v>
      </c>
      <c r="M4" s="78" t="s">
        <v>316</v>
      </c>
      <c r="N4" s="78" t="s">
        <v>222</v>
      </c>
      <c r="O4" s="78" t="s">
        <v>322</v>
      </c>
      <c r="Q4" s="80" t="str">
        <f t="shared" si="1"/>
        <v>SRD</v>
      </c>
      <c r="R4" s="80" t="str">
        <f t="shared" si="2"/>
        <v>R</v>
      </c>
      <c r="S4" s="80" t="str">
        <f t="shared" si="3"/>
        <v>18</v>
      </c>
      <c r="T4" s="80" t="str">
        <f t="shared" si="4"/>
        <v>F</v>
      </c>
      <c r="U4" s="80" t="str">
        <f t="shared" si="5"/>
        <v>40</v>
      </c>
    </row>
    <row r="5" spans="1:22">
      <c r="A5" s="78">
        <v>134806</v>
      </c>
      <c r="B5" s="78" t="s">
        <v>325</v>
      </c>
      <c r="C5" s="79" t="str">
        <f t="shared" si="0"/>
        <v>SRDR18F30</v>
      </c>
      <c r="D5" s="78">
        <v>0</v>
      </c>
      <c r="E5" s="78">
        <v>0</v>
      </c>
      <c r="F5" s="78">
        <v>1192</v>
      </c>
      <c r="G5" s="78">
        <v>0</v>
      </c>
      <c r="H5" s="78">
        <v>0</v>
      </c>
      <c r="I5" s="78">
        <v>0</v>
      </c>
      <c r="J5" s="78">
        <v>0</v>
      </c>
      <c r="K5" s="78" t="s">
        <v>312</v>
      </c>
      <c r="L5" s="78" t="s">
        <v>313</v>
      </c>
      <c r="M5" s="78" t="s">
        <v>317</v>
      </c>
      <c r="N5" s="78" t="s">
        <v>222</v>
      </c>
      <c r="O5" s="78" t="s">
        <v>322</v>
      </c>
      <c r="Q5" s="80" t="str">
        <f t="shared" si="1"/>
        <v>SRD</v>
      </c>
      <c r="R5" s="80" t="str">
        <f t="shared" si="2"/>
        <v>R</v>
      </c>
      <c r="S5" s="80" t="str">
        <f t="shared" si="3"/>
        <v>18</v>
      </c>
      <c r="T5" s="80" t="str">
        <f t="shared" si="4"/>
        <v>F</v>
      </c>
      <c r="U5" s="80" t="str">
        <f t="shared" si="5"/>
        <v>30</v>
      </c>
    </row>
    <row r="6" spans="1:22">
      <c r="A6" s="78">
        <v>134807</v>
      </c>
      <c r="B6" s="78" t="s">
        <v>326</v>
      </c>
      <c r="C6" s="79" t="str">
        <f t="shared" si="0"/>
        <v>SRDR18F27</v>
      </c>
      <c r="D6" s="78">
        <v>0</v>
      </c>
      <c r="E6" s="78">
        <v>0</v>
      </c>
      <c r="F6" s="78">
        <v>1192</v>
      </c>
      <c r="G6" s="78">
        <v>0</v>
      </c>
      <c r="H6" s="78">
        <v>0</v>
      </c>
      <c r="I6" s="78">
        <v>0</v>
      </c>
      <c r="J6" s="78">
        <v>0</v>
      </c>
      <c r="K6" s="78" t="s">
        <v>312</v>
      </c>
      <c r="L6" s="78" t="s">
        <v>313</v>
      </c>
      <c r="M6" s="78" t="s">
        <v>318</v>
      </c>
      <c r="N6" s="78" t="s">
        <v>222</v>
      </c>
      <c r="O6" s="78" t="s">
        <v>322</v>
      </c>
      <c r="Q6" s="80" t="str">
        <f t="shared" si="1"/>
        <v>SRD</v>
      </c>
      <c r="R6" s="80" t="str">
        <f t="shared" si="2"/>
        <v>R</v>
      </c>
      <c r="S6" s="80" t="str">
        <f t="shared" si="3"/>
        <v>18</v>
      </c>
      <c r="T6" s="80" t="str">
        <f t="shared" si="4"/>
        <v>F</v>
      </c>
      <c r="U6" s="80" t="str">
        <f t="shared" si="5"/>
        <v>27</v>
      </c>
    </row>
    <row r="7" spans="1:22">
      <c r="A7" s="78">
        <v>134811</v>
      </c>
      <c r="B7" s="78" t="s">
        <v>327</v>
      </c>
      <c r="C7" s="79" t="str">
        <f t="shared" si="0"/>
        <v>SRDB18F60</v>
      </c>
      <c r="D7" s="78">
        <v>0</v>
      </c>
      <c r="E7" s="78">
        <v>0</v>
      </c>
      <c r="F7" s="78">
        <v>1254</v>
      </c>
      <c r="G7" s="78">
        <v>0</v>
      </c>
      <c r="H7" s="78">
        <v>0</v>
      </c>
      <c r="I7" s="78">
        <v>0</v>
      </c>
      <c r="J7" s="78">
        <v>0</v>
      </c>
      <c r="K7" s="78" t="s">
        <v>319</v>
      </c>
      <c r="L7" s="78" t="s">
        <v>313</v>
      </c>
      <c r="M7" s="78" t="s">
        <v>314</v>
      </c>
      <c r="N7" s="78" t="s">
        <v>222</v>
      </c>
      <c r="O7" s="78" t="s">
        <v>322</v>
      </c>
      <c r="Q7" s="80" t="str">
        <f t="shared" si="1"/>
        <v>SRD</v>
      </c>
      <c r="R7" s="80" t="str">
        <f t="shared" si="2"/>
        <v>B</v>
      </c>
      <c r="S7" s="80" t="str">
        <f t="shared" si="3"/>
        <v>18</v>
      </c>
      <c r="T7" s="80" t="str">
        <f t="shared" si="4"/>
        <v>F</v>
      </c>
      <c r="U7" s="80" t="str">
        <f t="shared" si="5"/>
        <v>60</v>
      </c>
    </row>
    <row r="8" spans="1:22">
      <c r="A8" s="78">
        <v>134812</v>
      </c>
      <c r="B8" s="78" t="s">
        <v>328</v>
      </c>
      <c r="C8" s="79" t="str">
        <f t="shared" si="0"/>
        <v>SRDB18F50</v>
      </c>
      <c r="D8" s="78">
        <v>0</v>
      </c>
      <c r="E8" s="78">
        <v>0</v>
      </c>
      <c r="F8" s="78">
        <v>1254</v>
      </c>
      <c r="G8" s="78">
        <v>0</v>
      </c>
      <c r="H8" s="78">
        <v>0</v>
      </c>
      <c r="I8" s="78">
        <v>0</v>
      </c>
      <c r="J8" s="78">
        <v>0</v>
      </c>
      <c r="K8" s="78" t="s">
        <v>319</v>
      </c>
      <c r="L8" s="78" t="s">
        <v>313</v>
      </c>
      <c r="M8" s="78" t="s">
        <v>315</v>
      </c>
      <c r="N8" s="78" t="s">
        <v>222</v>
      </c>
      <c r="O8" s="78" t="s">
        <v>322</v>
      </c>
      <c r="Q8" s="80" t="str">
        <f t="shared" si="1"/>
        <v>SRD</v>
      </c>
      <c r="R8" s="80" t="str">
        <f t="shared" si="2"/>
        <v>B</v>
      </c>
      <c r="S8" s="80" t="str">
        <f t="shared" si="3"/>
        <v>18</v>
      </c>
      <c r="T8" s="80" t="str">
        <f t="shared" si="4"/>
        <v>F</v>
      </c>
      <c r="U8" s="80" t="str">
        <f t="shared" si="5"/>
        <v>50</v>
      </c>
    </row>
    <row r="9" spans="1:22">
      <c r="A9" s="78">
        <v>134813</v>
      </c>
      <c r="B9" s="78" t="s">
        <v>329</v>
      </c>
      <c r="C9" s="79" t="str">
        <f t="shared" si="0"/>
        <v>SRDB18F40</v>
      </c>
      <c r="D9" s="78">
        <v>0</v>
      </c>
      <c r="E9" s="78">
        <v>0</v>
      </c>
      <c r="F9" s="78">
        <v>1254</v>
      </c>
      <c r="G9" s="78">
        <v>0</v>
      </c>
      <c r="H9" s="78">
        <v>0</v>
      </c>
      <c r="I9" s="78">
        <v>0</v>
      </c>
      <c r="J9" s="78">
        <v>0</v>
      </c>
      <c r="K9" s="78" t="s">
        <v>319</v>
      </c>
      <c r="L9" s="78" t="s">
        <v>313</v>
      </c>
      <c r="M9" s="78" t="s">
        <v>316</v>
      </c>
      <c r="N9" s="78" t="s">
        <v>222</v>
      </c>
      <c r="O9" s="78" t="s">
        <v>322</v>
      </c>
      <c r="Q9" s="80" t="str">
        <f t="shared" si="1"/>
        <v>SRD</v>
      </c>
      <c r="R9" s="80" t="str">
        <f t="shared" si="2"/>
        <v>B</v>
      </c>
      <c r="S9" s="80" t="str">
        <f t="shared" si="3"/>
        <v>18</v>
      </c>
      <c r="T9" s="80" t="str">
        <f t="shared" si="4"/>
        <v>F</v>
      </c>
      <c r="U9" s="80" t="str">
        <f t="shared" si="5"/>
        <v>40</v>
      </c>
    </row>
    <row r="10" spans="1:22">
      <c r="A10" s="78">
        <v>134814</v>
      </c>
      <c r="B10" s="78" t="s">
        <v>330</v>
      </c>
      <c r="C10" s="79" t="str">
        <f t="shared" si="0"/>
        <v>SRDB18F30</v>
      </c>
      <c r="D10" s="78">
        <v>0</v>
      </c>
      <c r="E10" s="78">
        <v>0</v>
      </c>
      <c r="F10" s="78">
        <v>1254</v>
      </c>
      <c r="G10" s="78">
        <v>0</v>
      </c>
      <c r="H10" s="78">
        <v>0</v>
      </c>
      <c r="I10" s="78">
        <v>0</v>
      </c>
      <c r="J10" s="78">
        <v>0</v>
      </c>
      <c r="K10" s="78" t="s">
        <v>319</v>
      </c>
      <c r="L10" s="78" t="s">
        <v>313</v>
      </c>
      <c r="M10" s="78" t="s">
        <v>317</v>
      </c>
      <c r="N10" s="78" t="s">
        <v>222</v>
      </c>
      <c r="O10" s="78" t="s">
        <v>322</v>
      </c>
      <c r="Q10" s="80" t="str">
        <f t="shared" si="1"/>
        <v>SRD</v>
      </c>
      <c r="R10" s="80" t="str">
        <f t="shared" si="2"/>
        <v>B</v>
      </c>
      <c r="S10" s="80" t="str">
        <f t="shared" si="3"/>
        <v>18</v>
      </c>
      <c r="T10" s="80" t="str">
        <f t="shared" si="4"/>
        <v>F</v>
      </c>
      <c r="U10" s="80" t="str">
        <f t="shared" si="5"/>
        <v>30</v>
      </c>
    </row>
    <row r="11" spans="1:22">
      <c r="A11" s="78">
        <v>134815</v>
      </c>
      <c r="B11" s="78" t="s">
        <v>331</v>
      </c>
      <c r="C11" s="79" t="str">
        <f t="shared" si="0"/>
        <v>SRDB18F27</v>
      </c>
      <c r="D11" s="78">
        <v>0</v>
      </c>
      <c r="E11" s="78">
        <v>0</v>
      </c>
      <c r="F11" s="78">
        <v>1254</v>
      </c>
      <c r="G11" s="78">
        <v>0</v>
      </c>
      <c r="H11" s="78">
        <v>0</v>
      </c>
      <c r="I11" s="78">
        <v>0</v>
      </c>
      <c r="J11" s="78">
        <v>0</v>
      </c>
      <c r="K11" s="78" t="s">
        <v>319</v>
      </c>
      <c r="L11" s="78" t="s">
        <v>313</v>
      </c>
      <c r="M11" s="78" t="s">
        <v>318</v>
      </c>
      <c r="N11" s="78" t="s">
        <v>222</v>
      </c>
      <c r="O11" s="78" t="s">
        <v>322</v>
      </c>
      <c r="Q11" s="80" t="str">
        <f t="shared" si="1"/>
        <v>SRD</v>
      </c>
      <c r="R11" s="80" t="str">
        <f t="shared" si="2"/>
        <v>B</v>
      </c>
      <c r="S11" s="80" t="str">
        <f t="shared" si="3"/>
        <v>18</v>
      </c>
      <c r="T11" s="80" t="str">
        <f t="shared" si="4"/>
        <v>F</v>
      </c>
      <c r="U11" s="80" t="str">
        <f t="shared" si="5"/>
        <v>27</v>
      </c>
    </row>
    <row r="12" spans="1:22">
      <c r="A12" s="78">
        <v>134819</v>
      </c>
      <c r="B12" s="78" t="s">
        <v>332</v>
      </c>
      <c r="C12" s="79" t="str">
        <f t="shared" si="0"/>
        <v>SRDT18F60</v>
      </c>
      <c r="D12" s="78">
        <v>0</v>
      </c>
      <c r="E12" s="78">
        <v>0</v>
      </c>
      <c r="F12" s="78">
        <v>1324</v>
      </c>
      <c r="G12" s="78">
        <v>0</v>
      </c>
      <c r="H12" s="78">
        <v>0</v>
      </c>
      <c r="I12" s="78">
        <v>0</v>
      </c>
      <c r="J12" s="78">
        <v>0</v>
      </c>
      <c r="K12" s="78" t="s">
        <v>320</v>
      </c>
      <c r="L12" s="78" t="s">
        <v>313</v>
      </c>
      <c r="M12" s="78" t="s">
        <v>314</v>
      </c>
      <c r="N12" s="78" t="s">
        <v>222</v>
      </c>
      <c r="O12" s="78" t="s">
        <v>322</v>
      </c>
      <c r="Q12" s="80" t="str">
        <f t="shared" si="1"/>
        <v>SRD</v>
      </c>
      <c r="R12" s="80" t="str">
        <f t="shared" si="2"/>
        <v>T</v>
      </c>
      <c r="S12" s="80" t="str">
        <f t="shared" si="3"/>
        <v>18</v>
      </c>
      <c r="T12" s="80" t="str">
        <f t="shared" si="4"/>
        <v>F</v>
      </c>
      <c r="U12" s="80" t="str">
        <f t="shared" si="5"/>
        <v>60</v>
      </c>
    </row>
    <row r="13" spans="1:22">
      <c r="A13" s="78">
        <v>134820</v>
      </c>
      <c r="B13" s="78" t="s">
        <v>333</v>
      </c>
      <c r="C13" s="79" t="str">
        <f t="shared" si="0"/>
        <v>SRDT18F50</v>
      </c>
      <c r="D13" s="78">
        <v>0</v>
      </c>
      <c r="E13" s="78">
        <v>0</v>
      </c>
      <c r="F13" s="78">
        <v>1324</v>
      </c>
      <c r="G13" s="78">
        <v>0</v>
      </c>
      <c r="H13" s="78">
        <v>0</v>
      </c>
      <c r="I13" s="78">
        <v>0</v>
      </c>
      <c r="J13" s="78">
        <v>0</v>
      </c>
      <c r="K13" s="78" t="s">
        <v>320</v>
      </c>
      <c r="L13" s="78" t="s">
        <v>313</v>
      </c>
      <c r="M13" s="78" t="s">
        <v>315</v>
      </c>
      <c r="N13" s="78" t="s">
        <v>222</v>
      </c>
      <c r="O13" s="78" t="s">
        <v>322</v>
      </c>
      <c r="Q13" s="80" t="str">
        <f t="shared" si="1"/>
        <v>SRD</v>
      </c>
      <c r="R13" s="80" t="str">
        <f t="shared" si="2"/>
        <v>T</v>
      </c>
      <c r="S13" s="80" t="str">
        <f t="shared" si="3"/>
        <v>18</v>
      </c>
      <c r="T13" s="80" t="str">
        <f t="shared" si="4"/>
        <v>F</v>
      </c>
      <c r="U13" s="80" t="str">
        <f t="shared" si="5"/>
        <v>50</v>
      </c>
    </row>
    <row r="14" spans="1:22">
      <c r="A14" s="78">
        <v>134821</v>
      </c>
      <c r="B14" s="78" t="s">
        <v>334</v>
      </c>
      <c r="C14" s="79" t="str">
        <f t="shared" si="0"/>
        <v>SRDT18F40</v>
      </c>
      <c r="D14" s="78">
        <v>0</v>
      </c>
      <c r="E14" s="78">
        <v>0</v>
      </c>
      <c r="F14" s="78">
        <v>1324</v>
      </c>
      <c r="G14" s="78">
        <v>0</v>
      </c>
      <c r="H14" s="78">
        <v>0</v>
      </c>
      <c r="I14" s="78">
        <v>0</v>
      </c>
      <c r="J14" s="78">
        <v>0</v>
      </c>
      <c r="K14" s="78" t="s">
        <v>320</v>
      </c>
      <c r="L14" s="78" t="s">
        <v>313</v>
      </c>
      <c r="M14" s="78" t="s">
        <v>316</v>
      </c>
      <c r="N14" s="78" t="s">
        <v>222</v>
      </c>
      <c r="O14" s="78" t="s">
        <v>322</v>
      </c>
      <c r="Q14" s="80" t="str">
        <f t="shared" si="1"/>
        <v>SRD</v>
      </c>
      <c r="R14" s="80" t="str">
        <f t="shared" si="2"/>
        <v>T</v>
      </c>
      <c r="S14" s="80" t="str">
        <f t="shared" si="3"/>
        <v>18</v>
      </c>
      <c r="T14" s="80" t="str">
        <f t="shared" si="4"/>
        <v>F</v>
      </c>
      <c r="U14" s="80" t="str">
        <f t="shared" si="5"/>
        <v>40</v>
      </c>
    </row>
    <row r="15" spans="1:22">
      <c r="A15" s="78">
        <v>134822</v>
      </c>
      <c r="B15" s="78" t="s">
        <v>335</v>
      </c>
      <c r="C15" s="79" t="str">
        <f t="shared" si="0"/>
        <v>SRDT18F30</v>
      </c>
      <c r="D15" s="78">
        <v>0</v>
      </c>
      <c r="E15" s="78">
        <v>0</v>
      </c>
      <c r="F15" s="78">
        <v>1324</v>
      </c>
      <c r="G15" s="78">
        <v>0</v>
      </c>
      <c r="H15" s="78">
        <v>0</v>
      </c>
      <c r="I15" s="78">
        <v>0</v>
      </c>
      <c r="J15" s="78">
        <v>0</v>
      </c>
      <c r="K15" s="78" t="s">
        <v>320</v>
      </c>
      <c r="L15" s="78" t="s">
        <v>313</v>
      </c>
      <c r="M15" s="78" t="s">
        <v>317</v>
      </c>
      <c r="N15" s="78" t="s">
        <v>222</v>
      </c>
      <c r="O15" s="78" t="s">
        <v>322</v>
      </c>
      <c r="Q15" s="80" t="str">
        <f t="shared" si="1"/>
        <v>SRD</v>
      </c>
      <c r="R15" s="80" t="str">
        <f t="shared" si="2"/>
        <v>T</v>
      </c>
      <c r="S15" s="80" t="str">
        <f t="shared" si="3"/>
        <v>18</v>
      </c>
      <c r="T15" s="80" t="str">
        <f t="shared" si="4"/>
        <v>F</v>
      </c>
      <c r="U15" s="80" t="str">
        <f t="shared" si="5"/>
        <v>30</v>
      </c>
    </row>
    <row r="16" spans="1:22">
      <c r="A16" s="78">
        <v>134823</v>
      </c>
      <c r="B16" s="78" t="s">
        <v>336</v>
      </c>
      <c r="C16" s="79" t="str">
        <f t="shared" si="0"/>
        <v>SRDT18F27</v>
      </c>
      <c r="D16" s="78">
        <v>0</v>
      </c>
      <c r="E16" s="78">
        <v>0</v>
      </c>
      <c r="F16" s="78">
        <v>1324</v>
      </c>
      <c r="G16" s="78">
        <v>0</v>
      </c>
      <c r="H16" s="78">
        <v>0</v>
      </c>
      <c r="I16" s="78">
        <v>0</v>
      </c>
      <c r="J16" s="78">
        <v>0</v>
      </c>
      <c r="K16" s="78" t="s">
        <v>320</v>
      </c>
      <c r="L16" s="78" t="s">
        <v>313</v>
      </c>
      <c r="M16" s="78" t="s">
        <v>318</v>
      </c>
      <c r="N16" s="78" t="s">
        <v>222</v>
      </c>
      <c r="O16" s="78" t="s">
        <v>322</v>
      </c>
      <c r="Q16" s="80" t="str">
        <f t="shared" si="1"/>
        <v>SRD</v>
      </c>
      <c r="R16" s="80" t="str">
        <f t="shared" si="2"/>
        <v>T</v>
      </c>
      <c r="S16" s="80" t="str">
        <f t="shared" si="3"/>
        <v>18</v>
      </c>
      <c r="T16" s="80" t="str">
        <f t="shared" si="4"/>
        <v>F</v>
      </c>
      <c r="U16" s="80" t="str">
        <f t="shared" si="5"/>
        <v>27</v>
      </c>
    </row>
  </sheetData>
  <autoFilter ref="A1:O1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SRDR12-15-18W-SKU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2025-03-26T06:41:57Z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
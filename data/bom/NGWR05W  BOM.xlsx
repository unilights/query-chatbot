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20" yWindow="0" windowWidth="15600" windowHeight="11040" tabRatio="597"/>
  </bookViews>
  <sheets>
    <sheet name="Stock Item" sheetId="23" r:id="rId1"/>
    <sheet name="Stock Item (Read Me)" sheetId="10" state="hidden" r:id="rId2"/>
    <sheet name="Backend data" sheetId="24" r:id="rId3"/>
    <sheet name="Result" sheetId="25" r:id="rId4"/>
    <sheet name="NGWR05W-Possibility CODE" sheetId="26" r:id="rId5"/>
  </sheets>
  <definedNames>
    <definedName name="_xlnm._FilterDatabase" localSheetId="3" hidden="1">Result!$A$1:$P$145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M23" i="23" l="1"/>
  <c r="Q23" i="23"/>
  <c r="L18" i="23" l="1"/>
  <c r="N18" i="23"/>
  <c r="Q18" i="23" s="1"/>
  <c r="Q2" i="23" l="1"/>
  <c r="L13" i="23" l="1"/>
  <c r="L14" i="23" l="1"/>
  <c r="M2" i="23"/>
  <c r="L2" i="23"/>
  <c r="M16" i="23" l="1"/>
  <c r="M13" i="23"/>
  <c r="Q13" i="23"/>
  <c r="Q22" i="23"/>
  <c r="N13" i="23" l="1"/>
  <c r="M14" i="23"/>
  <c r="M15" i="23"/>
  <c r="M17" i="23"/>
  <c r="M18" i="23"/>
  <c r="M19" i="23" l="1"/>
  <c r="M22" i="23" l="1"/>
  <c r="M21" i="23"/>
  <c r="X109" i="26" l="1"/>
  <c r="W109" i="26"/>
  <c r="V109" i="26"/>
  <c r="U109" i="26"/>
  <c r="T109" i="26"/>
  <c r="D109" i="26" s="1"/>
  <c r="X108" i="26"/>
  <c r="W108" i="26"/>
  <c r="V108" i="26"/>
  <c r="U108" i="26"/>
  <c r="T108" i="26"/>
  <c r="D108" i="26" s="1"/>
  <c r="X107" i="26"/>
  <c r="W107" i="26"/>
  <c r="V107" i="26"/>
  <c r="U107" i="26"/>
  <c r="T107" i="26"/>
  <c r="D107" i="26" s="1"/>
  <c r="X106" i="26"/>
  <c r="W106" i="26"/>
  <c r="V106" i="26"/>
  <c r="U106" i="26"/>
  <c r="T106" i="26"/>
  <c r="D106" i="26"/>
  <c r="X105" i="26"/>
  <c r="W105" i="26"/>
  <c r="V105" i="26"/>
  <c r="U105" i="26"/>
  <c r="T105" i="26"/>
  <c r="D105" i="26" s="1"/>
  <c r="X104" i="26"/>
  <c r="W104" i="26"/>
  <c r="V104" i="26"/>
  <c r="U104" i="26"/>
  <c r="T104" i="26"/>
  <c r="D104" i="26" s="1"/>
  <c r="X103" i="26"/>
  <c r="W103" i="26"/>
  <c r="V103" i="26"/>
  <c r="U103" i="26"/>
  <c r="T103" i="26"/>
  <c r="D103" i="26" s="1"/>
  <c r="X102" i="26"/>
  <c r="W102" i="26"/>
  <c r="V102" i="26"/>
  <c r="U102" i="26"/>
  <c r="T102" i="26"/>
  <c r="D102" i="26"/>
  <c r="X101" i="26"/>
  <c r="W101" i="26"/>
  <c r="V101" i="26"/>
  <c r="U101" i="26"/>
  <c r="T101" i="26"/>
  <c r="D101" i="26" s="1"/>
  <c r="X100" i="26"/>
  <c r="W100" i="26"/>
  <c r="V100" i="26"/>
  <c r="U100" i="26"/>
  <c r="T100" i="26"/>
  <c r="D100" i="26" s="1"/>
  <c r="X99" i="26"/>
  <c r="W99" i="26"/>
  <c r="V99" i="26"/>
  <c r="U99" i="26"/>
  <c r="T99" i="26"/>
  <c r="D99" i="26" s="1"/>
  <c r="X98" i="26"/>
  <c r="W98" i="26"/>
  <c r="V98" i="26"/>
  <c r="U98" i="26"/>
  <c r="T98" i="26"/>
  <c r="D98" i="26"/>
  <c r="X97" i="26"/>
  <c r="W97" i="26"/>
  <c r="V97" i="26"/>
  <c r="U97" i="26"/>
  <c r="T97" i="26"/>
  <c r="D97" i="26" s="1"/>
  <c r="X96" i="26"/>
  <c r="W96" i="26"/>
  <c r="V96" i="26"/>
  <c r="U96" i="26"/>
  <c r="T96" i="26"/>
  <c r="D96" i="26" s="1"/>
  <c r="X95" i="26"/>
  <c r="W95" i="26"/>
  <c r="V95" i="26"/>
  <c r="U95" i="26"/>
  <c r="T95" i="26"/>
  <c r="D95" i="26" s="1"/>
  <c r="X94" i="26"/>
  <c r="W94" i="26"/>
  <c r="V94" i="26"/>
  <c r="U94" i="26"/>
  <c r="T94" i="26"/>
  <c r="D94" i="26"/>
  <c r="X93" i="26"/>
  <c r="W93" i="26"/>
  <c r="V93" i="26"/>
  <c r="U93" i="26"/>
  <c r="T93" i="26"/>
  <c r="D93" i="26" s="1"/>
  <c r="X92" i="26"/>
  <c r="W92" i="26"/>
  <c r="V92" i="26"/>
  <c r="U92" i="26"/>
  <c r="T92" i="26"/>
  <c r="D92" i="26" s="1"/>
  <c r="X91" i="26"/>
  <c r="W91" i="26"/>
  <c r="V91" i="26"/>
  <c r="U91" i="26"/>
  <c r="T91" i="26"/>
  <c r="D91" i="26" s="1"/>
  <c r="X90" i="26"/>
  <c r="W90" i="26"/>
  <c r="V90" i="26"/>
  <c r="U90" i="26"/>
  <c r="T90" i="26"/>
  <c r="D90" i="26"/>
  <c r="X89" i="26"/>
  <c r="W89" i="26"/>
  <c r="V89" i="26"/>
  <c r="U89" i="26"/>
  <c r="T89" i="26"/>
  <c r="D89" i="26" s="1"/>
  <c r="X88" i="26"/>
  <c r="W88" i="26"/>
  <c r="V88" i="26"/>
  <c r="U88" i="26"/>
  <c r="T88" i="26"/>
  <c r="D88" i="26" s="1"/>
  <c r="X87" i="26"/>
  <c r="W87" i="26"/>
  <c r="V87" i="26"/>
  <c r="U87" i="26"/>
  <c r="T87" i="26"/>
  <c r="D87" i="26" s="1"/>
  <c r="X86" i="26"/>
  <c r="W86" i="26"/>
  <c r="V86" i="26"/>
  <c r="U86" i="26"/>
  <c r="T86" i="26"/>
  <c r="D86" i="26"/>
  <c r="X85" i="26"/>
  <c r="W85" i="26"/>
  <c r="V85" i="26"/>
  <c r="U85" i="26"/>
  <c r="T85" i="26"/>
  <c r="D85" i="26" s="1"/>
  <c r="X84" i="26"/>
  <c r="W84" i="26"/>
  <c r="V84" i="26"/>
  <c r="U84" i="26"/>
  <c r="T84" i="26"/>
  <c r="D84" i="26" s="1"/>
  <c r="X83" i="26"/>
  <c r="W83" i="26"/>
  <c r="V83" i="26"/>
  <c r="U83" i="26"/>
  <c r="T83" i="26"/>
  <c r="D83" i="26" s="1"/>
  <c r="X82" i="26"/>
  <c r="W82" i="26"/>
  <c r="V82" i="26"/>
  <c r="U82" i="26"/>
  <c r="T82" i="26"/>
  <c r="D82" i="26"/>
  <c r="X81" i="26"/>
  <c r="W81" i="26"/>
  <c r="V81" i="26"/>
  <c r="U81" i="26"/>
  <c r="T81" i="26"/>
  <c r="D81" i="26" s="1"/>
  <c r="X80" i="26"/>
  <c r="W80" i="26"/>
  <c r="V80" i="26"/>
  <c r="U80" i="26"/>
  <c r="T80" i="26"/>
  <c r="D80" i="26" s="1"/>
  <c r="X79" i="26"/>
  <c r="W79" i="26"/>
  <c r="V79" i="26"/>
  <c r="U79" i="26"/>
  <c r="T79" i="26"/>
  <c r="D79" i="26" s="1"/>
  <c r="X78" i="26"/>
  <c r="W78" i="26"/>
  <c r="V78" i="26"/>
  <c r="U78" i="26"/>
  <c r="T78" i="26"/>
  <c r="D78" i="26"/>
  <c r="X77" i="26"/>
  <c r="W77" i="26"/>
  <c r="V77" i="26"/>
  <c r="U77" i="26"/>
  <c r="T77" i="26"/>
  <c r="D77" i="26" s="1"/>
  <c r="X76" i="26"/>
  <c r="W76" i="26"/>
  <c r="V76" i="26"/>
  <c r="U76" i="26"/>
  <c r="T76" i="26"/>
  <c r="D76" i="26" s="1"/>
  <c r="X75" i="26"/>
  <c r="W75" i="26"/>
  <c r="V75" i="26"/>
  <c r="U75" i="26"/>
  <c r="T75" i="26"/>
  <c r="D75" i="26" s="1"/>
  <c r="X74" i="26"/>
  <c r="W74" i="26"/>
  <c r="V74" i="26"/>
  <c r="U74" i="26"/>
  <c r="T74" i="26"/>
  <c r="D74" i="26"/>
  <c r="X73" i="26"/>
  <c r="W73" i="26"/>
  <c r="V73" i="26"/>
  <c r="U73" i="26"/>
  <c r="T73" i="26"/>
  <c r="D73" i="26" s="1"/>
  <c r="X72" i="26"/>
  <c r="W72" i="26"/>
  <c r="V72" i="26"/>
  <c r="U72" i="26"/>
  <c r="T72" i="26"/>
  <c r="D72" i="26" s="1"/>
  <c r="X71" i="26"/>
  <c r="W71" i="26"/>
  <c r="V71" i="26"/>
  <c r="U71" i="26"/>
  <c r="T71" i="26"/>
  <c r="D71" i="26" s="1"/>
  <c r="X70" i="26"/>
  <c r="W70" i="26"/>
  <c r="V70" i="26"/>
  <c r="U70" i="26"/>
  <c r="T70" i="26"/>
  <c r="D70" i="26"/>
  <c r="X69" i="26"/>
  <c r="W69" i="26"/>
  <c r="V69" i="26"/>
  <c r="U69" i="26"/>
  <c r="T69" i="26"/>
  <c r="D69" i="26" s="1"/>
  <c r="X68" i="26"/>
  <c r="W68" i="26"/>
  <c r="V68" i="26"/>
  <c r="U68" i="26"/>
  <c r="T68" i="26"/>
  <c r="D68" i="26" s="1"/>
  <c r="X67" i="26"/>
  <c r="W67" i="26"/>
  <c r="V67" i="26"/>
  <c r="U67" i="26"/>
  <c r="T67" i="26"/>
  <c r="D67" i="26" s="1"/>
  <c r="X66" i="26"/>
  <c r="W66" i="26"/>
  <c r="V66" i="26"/>
  <c r="U66" i="26"/>
  <c r="T66" i="26"/>
  <c r="D66" i="26"/>
  <c r="X65" i="26"/>
  <c r="W65" i="26"/>
  <c r="V65" i="26"/>
  <c r="U65" i="26"/>
  <c r="T65" i="26"/>
  <c r="D65" i="26" s="1"/>
  <c r="X64" i="26"/>
  <c r="W64" i="26"/>
  <c r="V64" i="26"/>
  <c r="U64" i="26"/>
  <c r="T64" i="26"/>
  <c r="D64" i="26" s="1"/>
  <c r="X63" i="26"/>
  <c r="W63" i="26"/>
  <c r="V63" i="26"/>
  <c r="U63" i="26"/>
  <c r="T63" i="26"/>
  <c r="D63" i="26" s="1"/>
  <c r="X62" i="26"/>
  <c r="W62" i="26"/>
  <c r="V62" i="26"/>
  <c r="U62" i="26"/>
  <c r="T62" i="26"/>
  <c r="D62" i="26"/>
  <c r="X61" i="26"/>
  <c r="W61" i="26"/>
  <c r="V61" i="26"/>
  <c r="U61" i="26"/>
  <c r="T61" i="26"/>
  <c r="D61" i="26" s="1"/>
  <c r="X60" i="26"/>
  <c r="W60" i="26"/>
  <c r="V60" i="26"/>
  <c r="U60" i="26"/>
  <c r="T60" i="26"/>
  <c r="D60" i="26" s="1"/>
  <c r="X59" i="26"/>
  <c r="W59" i="26"/>
  <c r="V59" i="26"/>
  <c r="U59" i="26"/>
  <c r="T59" i="26"/>
  <c r="D59" i="26" s="1"/>
  <c r="X58" i="26"/>
  <c r="W58" i="26"/>
  <c r="V58" i="26"/>
  <c r="U58" i="26"/>
  <c r="T58" i="26"/>
  <c r="D58" i="26"/>
  <c r="X57" i="26"/>
  <c r="W57" i="26"/>
  <c r="V57" i="26"/>
  <c r="U57" i="26"/>
  <c r="T57" i="26"/>
  <c r="D57" i="26" s="1"/>
  <c r="X56" i="26"/>
  <c r="W56" i="26"/>
  <c r="V56" i="26"/>
  <c r="U56" i="26"/>
  <c r="T56" i="26"/>
  <c r="D56" i="26" s="1"/>
  <c r="X55" i="26"/>
  <c r="W55" i="26"/>
  <c r="V55" i="26"/>
  <c r="U55" i="26"/>
  <c r="T55" i="26"/>
  <c r="D55" i="26" s="1"/>
  <c r="X54" i="26"/>
  <c r="W54" i="26"/>
  <c r="V54" i="26"/>
  <c r="U54" i="26"/>
  <c r="T54" i="26"/>
  <c r="D54" i="26"/>
  <c r="X53" i="26"/>
  <c r="W53" i="26"/>
  <c r="V53" i="26"/>
  <c r="U53" i="26"/>
  <c r="T53" i="26"/>
  <c r="D53" i="26" s="1"/>
  <c r="X52" i="26"/>
  <c r="W52" i="26"/>
  <c r="V52" i="26"/>
  <c r="U52" i="26"/>
  <c r="T52" i="26"/>
  <c r="D52" i="26" s="1"/>
  <c r="X51" i="26"/>
  <c r="W51" i="26"/>
  <c r="V51" i="26"/>
  <c r="U51" i="26"/>
  <c r="T51" i="26"/>
  <c r="D51" i="26" s="1"/>
  <c r="X50" i="26"/>
  <c r="W50" i="26"/>
  <c r="V50" i="26"/>
  <c r="U50" i="26"/>
  <c r="T50" i="26"/>
  <c r="D50" i="26"/>
  <c r="X49" i="26"/>
  <c r="W49" i="26"/>
  <c r="V49" i="26"/>
  <c r="U49" i="26"/>
  <c r="T49" i="26"/>
  <c r="D49" i="26" s="1"/>
  <c r="X48" i="26"/>
  <c r="W48" i="26"/>
  <c r="V48" i="26"/>
  <c r="U48" i="26"/>
  <c r="T48" i="26"/>
  <c r="D48" i="26" s="1"/>
  <c r="X47" i="26"/>
  <c r="W47" i="26"/>
  <c r="V47" i="26"/>
  <c r="U47" i="26"/>
  <c r="T47" i="26"/>
  <c r="D47" i="26" s="1"/>
  <c r="X46" i="26"/>
  <c r="W46" i="26"/>
  <c r="V46" i="26"/>
  <c r="U46" i="26"/>
  <c r="T46" i="26"/>
  <c r="D46" i="26"/>
  <c r="X45" i="26"/>
  <c r="W45" i="26"/>
  <c r="V45" i="26"/>
  <c r="U45" i="26"/>
  <c r="T45" i="26"/>
  <c r="D45" i="26" s="1"/>
  <c r="X44" i="26"/>
  <c r="W44" i="26"/>
  <c r="V44" i="26"/>
  <c r="U44" i="26"/>
  <c r="T44" i="26"/>
  <c r="D44" i="26" s="1"/>
  <c r="X43" i="26"/>
  <c r="W43" i="26"/>
  <c r="V43" i="26"/>
  <c r="U43" i="26"/>
  <c r="T43" i="26"/>
  <c r="D43" i="26" s="1"/>
  <c r="X42" i="26"/>
  <c r="W42" i="26"/>
  <c r="V42" i="26"/>
  <c r="U42" i="26"/>
  <c r="T42" i="26"/>
  <c r="D42" i="26"/>
  <c r="X41" i="26"/>
  <c r="W41" i="26"/>
  <c r="V41" i="26"/>
  <c r="U41" i="26"/>
  <c r="T41" i="26"/>
  <c r="D41" i="26" s="1"/>
  <c r="X40" i="26"/>
  <c r="W40" i="26"/>
  <c r="V40" i="26"/>
  <c r="U40" i="26"/>
  <c r="T40" i="26"/>
  <c r="D40" i="26" s="1"/>
  <c r="X39" i="26"/>
  <c r="W39" i="26"/>
  <c r="V39" i="26"/>
  <c r="U39" i="26"/>
  <c r="T39" i="26"/>
  <c r="D39" i="26" s="1"/>
  <c r="X38" i="26"/>
  <c r="W38" i="26"/>
  <c r="V38" i="26"/>
  <c r="U38" i="26"/>
  <c r="T38" i="26"/>
  <c r="D38" i="26"/>
  <c r="X37" i="26"/>
  <c r="W37" i="26"/>
  <c r="V37" i="26"/>
  <c r="U37" i="26"/>
  <c r="T37" i="26"/>
  <c r="D37" i="26" s="1"/>
  <c r="X36" i="26"/>
  <c r="W36" i="26"/>
  <c r="V36" i="26"/>
  <c r="U36" i="26"/>
  <c r="T36" i="26"/>
  <c r="D36" i="26" s="1"/>
  <c r="X35" i="26"/>
  <c r="W35" i="26"/>
  <c r="V35" i="26"/>
  <c r="U35" i="26"/>
  <c r="T35" i="26"/>
  <c r="D35" i="26" s="1"/>
  <c r="X34" i="26"/>
  <c r="W34" i="26"/>
  <c r="V34" i="26"/>
  <c r="U34" i="26"/>
  <c r="T34" i="26"/>
  <c r="D34" i="26"/>
  <c r="X33" i="26"/>
  <c r="W33" i="26"/>
  <c r="V33" i="26"/>
  <c r="U33" i="26"/>
  <c r="T33" i="26"/>
  <c r="D33" i="26" s="1"/>
  <c r="X32" i="26"/>
  <c r="W32" i="26"/>
  <c r="V32" i="26"/>
  <c r="U32" i="26"/>
  <c r="T32" i="26"/>
  <c r="D32" i="26" s="1"/>
  <c r="X31" i="26"/>
  <c r="W31" i="26"/>
  <c r="V31" i="26"/>
  <c r="U31" i="26"/>
  <c r="T31" i="26"/>
  <c r="D31" i="26" s="1"/>
  <c r="X30" i="26"/>
  <c r="W30" i="26"/>
  <c r="V30" i="26"/>
  <c r="U30" i="26"/>
  <c r="T30" i="26"/>
  <c r="D30" i="26"/>
  <c r="X29" i="26"/>
  <c r="W29" i="26"/>
  <c r="V29" i="26"/>
  <c r="U29" i="26"/>
  <c r="T29" i="26"/>
  <c r="D29" i="26" s="1"/>
  <c r="X28" i="26"/>
  <c r="W28" i="26"/>
  <c r="V28" i="26"/>
  <c r="U28" i="26"/>
  <c r="T28" i="26"/>
  <c r="D28" i="26" s="1"/>
  <c r="X27" i="26"/>
  <c r="W27" i="26"/>
  <c r="V27" i="26"/>
  <c r="U27" i="26"/>
  <c r="T27" i="26"/>
  <c r="D27" i="26" s="1"/>
  <c r="X26" i="26"/>
  <c r="W26" i="26"/>
  <c r="V26" i="26"/>
  <c r="U26" i="26"/>
  <c r="T26" i="26"/>
  <c r="D26" i="26"/>
  <c r="X25" i="26"/>
  <c r="W25" i="26"/>
  <c r="V25" i="26"/>
  <c r="U25" i="26"/>
  <c r="T25" i="26"/>
  <c r="D25" i="26" s="1"/>
  <c r="X24" i="26"/>
  <c r="W24" i="26"/>
  <c r="V24" i="26"/>
  <c r="U24" i="26"/>
  <c r="T24" i="26"/>
  <c r="D24" i="26" s="1"/>
  <c r="X23" i="26"/>
  <c r="W23" i="26"/>
  <c r="V23" i="26"/>
  <c r="U23" i="26"/>
  <c r="T23" i="26"/>
  <c r="D23" i="26" s="1"/>
  <c r="X22" i="26"/>
  <c r="W22" i="26"/>
  <c r="V22" i="26"/>
  <c r="U22" i="26"/>
  <c r="T22" i="26"/>
  <c r="D22" i="26"/>
  <c r="X21" i="26"/>
  <c r="W21" i="26"/>
  <c r="V21" i="26"/>
  <c r="U21" i="26"/>
  <c r="T21" i="26"/>
  <c r="D21" i="26" s="1"/>
  <c r="X20" i="26"/>
  <c r="W20" i="26"/>
  <c r="V20" i="26"/>
  <c r="U20" i="26"/>
  <c r="T20" i="26"/>
  <c r="D20" i="26" s="1"/>
  <c r="X19" i="26"/>
  <c r="W19" i="26"/>
  <c r="V19" i="26"/>
  <c r="U19" i="26"/>
  <c r="T19" i="26"/>
  <c r="D19" i="26" s="1"/>
  <c r="X18" i="26"/>
  <c r="W18" i="26"/>
  <c r="V18" i="26"/>
  <c r="U18" i="26"/>
  <c r="T18" i="26"/>
  <c r="D18" i="26"/>
  <c r="X17" i="26"/>
  <c r="W17" i="26"/>
  <c r="V17" i="26"/>
  <c r="U17" i="26"/>
  <c r="T17" i="26"/>
  <c r="D17" i="26" s="1"/>
  <c r="X16" i="26"/>
  <c r="W16" i="26"/>
  <c r="V16" i="26"/>
  <c r="U16" i="26"/>
  <c r="T16" i="26"/>
  <c r="D16" i="26" s="1"/>
  <c r="X15" i="26"/>
  <c r="W15" i="26"/>
  <c r="V15" i="26"/>
  <c r="U15" i="26"/>
  <c r="T15" i="26"/>
  <c r="D15" i="26" s="1"/>
  <c r="X14" i="26"/>
  <c r="W14" i="26"/>
  <c r="V14" i="26"/>
  <c r="U14" i="26"/>
  <c r="T14" i="26"/>
  <c r="D14" i="26"/>
  <c r="X13" i="26"/>
  <c r="W13" i="26"/>
  <c r="V13" i="26"/>
  <c r="U13" i="26"/>
  <c r="T13" i="26"/>
  <c r="D13" i="26" s="1"/>
  <c r="X12" i="26"/>
  <c r="W12" i="26"/>
  <c r="V12" i="26"/>
  <c r="U12" i="26"/>
  <c r="T12" i="26"/>
  <c r="D12" i="26" s="1"/>
  <c r="X11" i="26"/>
  <c r="W11" i="26"/>
  <c r="V11" i="26"/>
  <c r="U11" i="26"/>
  <c r="T11" i="26"/>
  <c r="D11" i="26" s="1"/>
  <c r="X10" i="26"/>
  <c r="W10" i="26"/>
  <c r="V10" i="26"/>
  <c r="U10" i="26"/>
  <c r="T10" i="26"/>
  <c r="D10" i="26"/>
  <c r="X9" i="26"/>
  <c r="W9" i="26"/>
  <c r="V9" i="26"/>
  <c r="U9" i="26"/>
  <c r="T9" i="26"/>
  <c r="D9" i="26" s="1"/>
  <c r="X8" i="26"/>
  <c r="W8" i="26"/>
  <c r="V8" i="26"/>
  <c r="U8" i="26"/>
  <c r="T8" i="26"/>
  <c r="D8" i="26" s="1"/>
  <c r="X7" i="26"/>
  <c r="W7" i="26"/>
  <c r="V7" i="26"/>
  <c r="U7" i="26"/>
  <c r="T7" i="26"/>
  <c r="D7" i="26" s="1"/>
  <c r="X6" i="26"/>
  <c r="W6" i="26"/>
  <c r="V6" i="26"/>
  <c r="U6" i="26"/>
  <c r="T6" i="26"/>
  <c r="D6" i="26"/>
  <c r="X5" i="26"/>
  <c r="W5" i="26"/>
  <c r="V5" i="26"/>
  <c r="U5" i="26"/>
  <c r="T5" i="26"/>
  <c r="D5" i="26" s="1"/>
  <c r="X4" i="26"/>
  <c r="W4" i="26"/>
  <c r="V4" i="26"/>
  <c r="U4" i="26"/>
  <c r="T4" i="26"/>
  <c r="D4" i="26" s="1"/>
  <c r="X3" i="26"/>
  <c r="W3" i="26"/>
  <c r="V3" i="26"/>
  <c r="U3" i="26"/>
  <c r="T3" i="26"/>
  <c r="D3" i="26" s="1"/>
  <c r="X2" i="26"/>
  <c r="W2" i="26"/>
  <c r="V2" i="26"/>
  <c r="U2" i="26"/>
  <c r="T2" i="26"/>
  <c r="D2" i="26"/>
  <c r="G5" i="24" l="1"/>
  <c r="D17" i="23" s="1"/>
  <c r="F15" i="23" l="1"/>
  <c r="A17" i="23"/>
  <c r="H3" i="24"/>
  <c r="H4" i="24" s="1"/>
  <c r="G3" i="24"/>
  <c r="G4" i="24" s="1"/>
  <c r="F3" i="24"/>
  <c r="D4" i="24" s="1"/>
  <c r="D3" i="24"/>
  <c r="A2" i="23" l="1"/>
  <c r="E3" i="24"/>
  <c r="H8" i="24" l="1"/>
  <c r="I3" i="24"/>
  <c r="I7" i="24" s="1"/>
  <c r="H7" i="24" l="1"/>
  <c r="H6" i="24"/>
  <c r="F16" i="23" s="1"/>
  <c r="I6" i="24"/>
  <c r="I8" i="24"/>
  <c r="C3" i="24"/>
  <c r="E7" i="24" l="1"/>
  <c r="E8" i="24"/>
  <c r="C8" i="24"/>
  <c r="C6" i="24"/>
  <c r="F2" i="23" s="1"/>
  <c r="F7" i="24"/>
  <c r="F8" i="24"/>
  <c r="C7" i="24"/>
  <c r="G6" i="24"/>
  <c r="F18" i="23" s="1"/>
  <c r="E6" i="24"/>
  <c r="F4" i="23" s="1"/>
  <c r="F6" i="24"/>
  <c r="F6" i="23" s="1"/>
  <c r="D8" i="24" l="1"/>
  <c r="D6" i="24"/>
  <c r="D7" i="24"/>
  <c r="G8" i="24"/>
  <c r="G7" i="24"/>
</calcChain>
</file>

<file path=xl/comments1.xml><?xml version="1.0" encoding="utf-8"?>
<comments xmlns="http://schemas.openxmlformats.org/spreadsheetml/2006/main">
  <authors>
    <author>Rahul Dang</author>
  </authors>
  <commentList>
    <comment ref="A1" authorId="0">
      <text>
        <r>
          <rPr>
            <sz val="9"/>
            <rFont val="Tahoma"/>
            <family val="2"/>
          </rPr>
          <t>This section lists all the fields in TallyPrime related to Stock Item Master</t>
        </r>
      </text>
    </comment>
    <comment ref="B1" authorId="0">
      <text>
        <r>
          <rPr>
            <sz val="9"/>
            <rFont val="Tahoma"/>
            <family val="2"/>
          </rPr>
          <t>This section displays fields relevant to different countries.</t>
        </r>
      </text>
    </comment>
    <comment ref="C1" authorId="0">
      <text>
        <r>
          <rPr>
            <sz val="9"/>
            <rFont val="Tahoma"/>
            <family val="2"/>
          </rPr>
          <t>In this section, you'll find strings that are applicable to specific fields. Users can conveniently copy these strings for use in their data.</t>
        </r>
      </text>
    </comment>
    <comment ref="A3" authorId="0">
      <text>
        <r>
          <rPr>
            <sz val="9"/>
            <rFont val="Tahoma"/>
            <family val="2"/>
          </rPr>
          <t>*Mandatory Field</t>
        </r>
      </text>
    </comment>
  </commentList>
</comments>
</file>

<file path=xl/sharedStrings.xml><?xml version="1.0" encoding="utf-8"?>
<sst xmlns="http://schemas.openxmlformats.org/spreadsheetml/2006/main" count="2314" uniqueCount="555">
  <si>
    <t>Name</t>
  </si>
  <si>
    <t>Name of BOM</t>
  </si>
  <si>
    <t>Unit of manufacture</t>
  </si>
  <si>
    <t>BOM Component - Item Name</t>
  </si>
  <si>
    <t>BOM Component - Quantity</t>
  </si>
  <si>
    <t>BOM Component - Godown</t>
  </si>
  <si>
    <t>BOM Component - Type of Item</t>
  </si>
  <si>
    <t>BOM Component - Rate (%)</t>
  </si>
  <si>
    <t>BOM Component - Location</t>
  </si>
  <si>
    <t>Component</t>
  </si>
  <si>
    <t>List of Fields</t>
  </si>
  <si>
    <t>Applicable Countries</t>
  </si>
  <si>
    <t>Applicable Values</t>
  </si>
  <si>
    <t>General Details</t>
  </si>
  <si>
    <t> </t>
  </si>
  <si>
    <t>All</t>
  </si>
  <si>
    <t>Read the following, before you start using the sample file:</t>
  </si>
  <si>
    <t>Group Name</t>
  </si>
  <si>
    <t>Stock Item worksheet:</t>
  </si>
  <si>
    <t>B</t>
  </si>
  <si>
    <t xml:space="preserve"> - Use the worksheet without making any changes to the column headers to enter your business data.	
 - The column headers represent field names in TallyPrime. Mandatory fields are marked in bold for easy reference.	
 - Add new columns, if needed. Ensure to enter Column Headers exactly as mentioned under the List of Fields of the Read Me worksheet.	
 - Delete unwanted columns. However, do not delete columns that represent mandatory fields for masters.	</t>
  </si>
  <si>
    <t>Part No.</t>
  </si>
  <si>
    <t>Alias - Part No.</t>
  </si>
  <si>
    <t>Description</t>
  </si>
  <si>
    <t>Notes</t>
  </si>
  <si>
    <t>Category</t>
  </si>
  <si>
    <t>Units</t>
  </si>
  <si>
    <t>Stock Item (Read Me)</t>
  </si>
  <si>
    <t>Conversion</t>
  </si>
  <si>
    <t xml:space="preserve"> - The Read Me worksheet is only for your reference. It lists all the fields, with related details, applicable for Stock Item.</t>
  </si>
  <si>
    <t>Denominator</t>
  </si>
  <si>
    <t>Alternate Units</t>
  </si>
  <si>
    <t xml:space="preserve">For more information on using Sample Excel File for importing data, refer to </t>
  </si>
  <si>
    <t>TallyHelp</t>
  </si>
  <si>
    <t>GST Applicability</t>
  </si>
  <si>
    <t>Applicable, Not Applicable</t>
  </si>
  <si>
    <t>Opening Balance - Quantity</t>
  </si>
  <si>
    <t>Opening Balance - Rate</t>
  </si>
  <si>
    <t>Opening Balance - Rate Per</t>
  </si>
  <si>
    <t>Opening Balance - Value</t>
  </si>
  <si>
    <t>Language for Name (Except English)</t>
  </si>
  <si>
    <t>Is TCS Applicable</t>
  </si>
  <si>
    <t xml:space="preserve">Item Allocations Details </t>
  </si>
  <si>
    <t>Item Allocations - Godown</t>
  </si>
  <si>
    <t>(When Accounting Terminology is set to "India/SAARC")</t>
  </si>
  <si>
    <t>Item Allocations - Batch</t>
  </si>
  <si>
    <t>Item Allocations - Quantity</t>
  </si>
  <si>
    <t>Item Allocations - Rate</t>
  </si>
  <si>
    <t>Item Allocations - Rate per</t>
  </si>
  <si>
    <t>Item Allocations - Amount</t>
  </si>
  <si>
    <t>Item Allocations - Mfg. Date</t>
  </si>
  <si>
    <t>Item Allocations - Expiry Date</t>
  </si>
  <si>
    <t>Item Allocations - Location</t>
  </si>
  <si>
    <t>(When Accounting Terminology is set to "International")</t>
  </si>
  <si>
    <t>Additional Details</t>
  </si>
  <si>
    <t>Maintain in Batches</t>
  </si>
  <si>
    <t>Track date of manufacturing</t>
  </si>
  <si>
    <t>Use expiry dates</t>
  </si>
  <si>
    <t>Enable Cost Tracking</t>
  </si>
  <si>
    <t>Costing Method</t>
  </si>
  <si>
    <t>At Zero Cost, Avg. Cost, FIFO, FIFO Perpetual, Last Purchase Cost, LIFO Annual, LIFO Perpetual, Monthly Avg. Cost, Std. Cost</t>
  </si>
  <si>
    <t>Market Valuation Method</t>
  </si>
  <si>
    <t>At Zero Price, Avg. Price, Last Sale Price, Std. Price</t>
  </si>
  <si>
    <t>Behaviour</t>
  </si>
  <si>
    <t>Ignore difference due to physical counting</t>
  </si>
  <si>
    <t>Ignore negative balances</t>
  </si>
  <si>
    <t>Use expired batches during voucher entry</t>
  </si>
  <si>
    <t>Treat all sales as new manufacture</t>
  </si>
  <si>
    <t>Treat all purchases as consumed</t>
  </si>
  <si>
    <t>Treat all rejections inward as scrap</t>
  </si>
  <si>
    <t>BOM Details</t>
  </si>
  <si>
    <t>By-Product, Component, Co-Product, Scrap</t>
  </si>
  <si>
    <t>Default Accounting Allocation (Purchase)</t>
  </si>
  <si>
    <t>Accounting Allocation (Purchase) - Ledger Name</t>
  </si>
  <si>
    <t>Accounting Allocation (Purchase) - Percentage</t>
  </si>
  <si>
    <t>Accounting Allocation (Purchase) - Rounding Method</t>
  </si>
  <si>
    <t>Accounting Allocation (Purchase) - Rounding Limit</t>
  </si>
  <si>
    <t>Tax classification Purchase - GST</t>
  </si>
  <si>
    <t>India</t>
  </si>
  <si>
    <t>Tax classification Purchase - TDS</t>
  </si>
  <si>
    <t>Tax classification Purchase - VAT</t>
  </si>
  <si>
    <t>Kenya, Bangladesh, Boswana, Indonesia, Philippines, Ghana, Bahrain,  UAE, KSA, Oman</t>
  </si>
  <si>
    <t>Adjust Allocation Difference - Purchase</t>
  </si>
  <si>
    <t>Default Accounting Allocation( Sales)</t>
  </si>
  <si>
    <t>Accounting Allocation (Sales) - Ledger Name</t>
  </si>
  <si>
    <t>Accounting Allocation (Sales) - Percentage</t>
  </si>
  <si>
    <t>Accounting Allocation (Sales) - Rounding Method</t>
  </si>
  <si>
    <t>Accounting Allocation (Sales) - Rounding Limit</t>
  </si>
  <si>
    <t>Tax classification Sales - GST</t>
  </si>
  <si>
    <t>Tax classification Sales - TCS</t>
  </si>
  <si>
    <t>Tax classification Sales - VAT</t>
  </si>
  <si>
    <t>Adjust Allocation Difference - Sales</t>
  </si>
  <si>
    <t>HSN/SAC &amp; Related Details</t>
  </si>
  <si>
    <t>HSN/SAC - Applicable From</t>
  </si>
  <si>
    <t>HSN/SAC Details</t>
  </si>
  <si>
    <t>As per Company/Group, Specify Details Here, Use GST Classification, Specify in Voucher</t>
  </si>
  <si>
    <t>HSN - Classification</t>
  </si>
  <si>
    <t>HSN/SAC</t>
  </si>
  <si>
    <t>HSN Description</t>
  </si>
  <si>
    <t>GST Rate &amp; Related Details</t>
  </si>
  <si>
    <t>GST Rate - Applicable From</t>
  </si>
  <si>
    <t>GST Rate Details</t>
  </si>
  <si>
    <t>As per Company/Group, Specify Details Here, Use GST Classification, Specify in Voucher, Specify Slab-Based Rates</t>
  </si>
  <si>
    <t>GST - Classification</t>
  </si>
  <si>
    <t>GST - Taxability Type</t>
  </si>
  <si>
    <t>Exempt, Nill Rated, Non-GST, Taxable</t>
  </si>
  <si>
    <t>IGST Rate</t>
  </si>
  <si>
    <t>CGST Rate</t>
  </si>
  <si>
    <t>SGST/UTGST Rate</t>
  </si>
  <si>
    <t>Cess Rate</t>
  </si>
  <si>
    <t>Cess Rate Per Unit</t>
  </si>
  <si>
    <t>State Cess Rate</t>
  </si>
  <si>
    <t>Applicable for Reverse Charge</t>
  </si>
  <si>
    <t>Eligible for Input Tax Credit</t>
  </si>
  <si>
    <t>Slab-wise Item Rate - Up To</t>
  </si>
  <si>
    <t>Consider MRP while calculating Slab-based tax rate</t>
  </si>
  <si>
    <t>Include GST expenses/incomes to calculate slab-based tax rate</t>
  </si>
  <si>
    <t>Type of Supply</t>
  </si>
  <si>
    <t>Capital Goods, Goods, Services</t>
  </si>
  <si>
    <t>MRP Details</t>
  </si>
  <si>
    <t>Allow MRP modification in voucher</t>
  </si>
  <si>
    <t>MRP - Applicable From</t>
  </si>
  <si>
    <t>MRP - State Name</t>
  </si>
  <si>
    <t>MRP Rate</t>
  </si>
  <si>
    <t>MRP Rate per</t>
  </si>
  <si>
    <t>Other Tax Details</t>
  </si>
  <si>
    <t>Is inclusive of duties and taxes</t>
  </si>
  <si>
    <t>Rate of Duty</t>
  </si>
  <si>
    <t>Price List</t>
  </si>
  <si>
    <t>Price Level</t>
  </si>
  <si>
    <t>Price List - Date</t>
  </si>
  <si>
    <t>Item Quantities - From</t>
  </si>
  <si>
    <t>Item Quantities - Less than</t>
  </si>
  <si>
    <t>Price List Rate</t>
  </si>
  <si>
    <t>Price List Discount</t>
  </si>
  <si>
    <t>Standard Cost</t>
  </si>
  <si>
    <t>Standard Cost - Applicable From</t>
  </si>
  <si>
    <t>Standard Cost - Rate</t>
  </si>
  <si>
    <t>Standard Cost - Rate per</t>
  </si>
  <si>
    <t>Standard Selling Price</t>
  </si>
  <si>
    <t>Standard Selling Price - Applicable From</t>
  </si>
  <si>
    <t>Standard Selling Price - Rate</t>
  </si>
  <si>
    <t>Standard Selling Price - Rate per</t>
  </si>
  <si>
    <t>Statutory details</t>
  </si>
  <si>
    <t>Is Excise Applicable</t>
  </si>
  <si>
    <t>UAE, KSA, Oman</t>
  </si>
  <si>
    <t>Rate of VAT</t>
  </si>
  <si>
    <t>UK</t>
  </si>
  <si>
    <t>TCS - Nature of Goods Details</t>
  </si>
  <si>
    <t>TCS - Applicable From</t>
  </si>
  <si>
    <t>TCS - Nature of Goods</t>
  </si>
  <si>
    <t>TDS - Nature of Payment Details</t>
  </si>
  <si>
    <t>TDS - Nature of Payment</t>
  </si>
  <si>
    <t>TDS - Applicable From </t>
  </si>
  <si>
    <t>VAT Rate Details</t>
  </si>
  <si>
    <t>VAT - Applicable From</t>
  </si>
  <si>
    <t>Bahrain, Bangladesh, Botswana, Indonesia, Philippines, Ghana, Kenya, UAE, KSA, Oman</t>
  </si>
  <si>
    <t>VAT - Taxability</t>
  </si>
  <si>
    <t>VAT - Rate</t>
  </si>
  <si>
    <t>VAT - Classification</t>
  </si>
  <si>
    <t>Bangladesh, Botswana, Indonesia, Philippines, Ghana, Kenya</t>
  </si>
  <si>
    <t>VAT - Nature of Goods</t>
  </si>
  <si>
    <t>Bangladesh, Philippines</t>
  </si>
  <si>
    <t>VAT - Supplementary Duty</t>
  </si>
  <si>
    <t>Bangladesh</t>
  </si>
  <si>
    <t>VAT - Type of Goods</t>
  </si>
  <si>
    <t>Botswana, Kenya</t>
  </si>
  <si>
    <t>VAT - NHIL</t>
  </si>
  <si>
    <t>Ghana</t>
  </si>
  <si>
    <t>VAT - Commodity Name</t>
  </si>
  <si>
    <t>Kenya</t>
  </si>
  <si>
    <t>VAT - Commodity Code</t>
  </si>
  <si>
    <t>VAT - Category</t>
  </si>
  <si>
    <t>Reporting UOM</t>
  </si>
  <si>
    <t>Reporting UOM - Applicable From</t>
  </si>
  <si>
    <t>Reporting UOM - Name</t>
  </si>
  <si>
    <t>Reorder Details</t>
  </si>
  <si>
    <t>Reorder Level - Quantity</t>
  </si>
  <si>
    <t>Reorder Level - Period</t>
  </si>
  <si>
    <t>Reorder Level - Period Length</t>
  </si>
  <si>
    <t>Reorder Level - Criteria</t>
  </si>
  <si>
    <t>Reorder Level - Rounding Method</t>
  </si>
  <si>
    <t>Reorder Level - Rounding Limit</t>
  </si>
  <si>
    <t>Minimum Order - Quantity</t>
  </si>
  <si>
    <t>Minimum Order - Period</t>
  </si>
  <si>
    <t>Minimum Order - Period Length</t>
  </si>
  <si>
    <t>Minimum Order - Criteria</t>
  </si>
  <si>
    <t>Minimum Order - Rounding Method</t>
  </si>
  <si>
    <t>Minimum Order - Rounding Limit</t>
  </si>
  <si>
    <t>Mechanical Store</t>
  </si>
  <si>
    <t>Nos.</t>
  </si>
  <si>
    <t>Electronics Store</t>
  </si>
  <si>
    <t>Code</t>
  </si>
  <si>
    <t>Item Name</t>
  </si>
  <si>
    <t xml:space="preserve">Quantity </t>
  </si>
  <si>
    <t>Cost</t>
  </si>
  <si>
    <t>TRIM</t>
  </si>
  <si>
    <t>REFLECTOR</t>
  </si>
  <si>
    <t>BEAM ANGLE</t>
  </si>
  <si>
    <t>COLOR TEMPERATURE</t>
  </si>
  <si>
    <t>DRIVING SYSTEM</t>
  </si>
  <si>
    <t>COLOR TEMP</t>
  </si>
  <si>
    <t>Formulae</t>
  </si>
  <si>
    <t>Formulae for COST</t>
  </si>
  <si>
    <t>Formulae for Quantity</t>
  </si>
  <si>
    <t>HOUSING/HS</t>
  </si>
  <si>
    <t>EXTRA</t>
  </si>
  <si>
    <t>R</t>
  </si>
  <si>
    <t>30-</t>
  </si>
  <si>
    <t>40-</t>
  </si>
  <si>
    <t>30I-</t>
  </si>
  <si>
    <t>40I-</t>
  </si>
  <si>
    <t>30BT-</t>
  </si>
  <si>
    <t>40BT-</t>
  </si>
  <si>
    <t>T</t>
  </si>
  <si>
    <t>05M</t>
  </si>
  <si>
    <t>05N</t>
  </si>
  <si>
    <t>HS-O-26 I-22 H-67mm 0.3W NGWR5W (OUCHI)</t>
  </si>
  <si>
    <t>Diff-16.5x0.25mm-PS 0.3W NGWR5W (OUCHI)</t>
  </si>
  <si>
    <t>Housing-O-27.5 I-16.6 H-39mm 0.3W NGWR5W (OUCHI)</t>
  </si>
  <si>
    <t>Gasket-21x1.3mm  0.3W NGWR5W (OUCHI)</t>
  </si>
  <si>
    <t xml:space="preserve">Screw-M3X4mm Allen Grub-MS </t>
  </si>
  <si>
    <t>Screw-M3X4mm CSK + Head-MS</t>
  </si>
  <si>
    <t>Conn. 2Pin Ass. Wire Black Male (Small)</t>
  </si>
  <si>
    <t>Sleeve M4mm Fiber Glass White</t>
  </si>
  <si>
    <t>PBX-L-77 W-58 H-120mm NGWR5W (OUCHI)</t>
  </si>
  <si>
    <t>SBX</t>
  </si>
  <si>
    <t>PCB FS-OG TH-149 - 0.3W - NGRR6W (OUCHI)</t>
  </si>
  <si>
    <t>Trim O-39 ID-27 H-22.6mm 0.3W White NGWR5W (OUCHI)</t>
  </si>
  <si>
    <t>Trim-O-39 I-27 H-22.6mm 0.3W Black NGWR5W (OUCHI)</t>
  </si>
  <si>
    <t>Trimless Trim-O-55 I-27 H-22.6mm 0.3W White NGWR5W (OUCHI)</t>
  </si>
  <si>
    <t>W</t>
  </si>
  <si>
    <t>Refl-O-29.3 H-13 L-13mm 0.3W White NGWR5W (OUCHI)</t>
  </si>
  <si>
    <t>Refl-O-29.3 H-13 L-13mm 0.3W Black NGWR5W (OUCHI)</t>
  </si>
  <si>
    <t>A</t>
  </si>
  <si>
    <t>Refl-O-29.3 H-13 L-13mm 0.3W Alloy Black NGWR5W (OUCHI)</t>
  </si>
  <si>
    <t>C</t>
  </si>
  <si>
    <t>Refl-O-29.3 H-13 L-13mm 0.3W Chrome NGWR5W (OUCHI)</t>
  </si>
  <si>
    <t>Lens-O-16 H-10.4 L-3.4mm 36°-PC 0.3W NGWR5W (OUCHI)</t>
  </si>
  <si>
    <t>-</t>
  </si>
  <si>
    <t>60-</t>
  </si>
  <si>
    <t>I-</t>
  </si>
  <si>
    <t>BT-</t>
  </si>
  <si>
    <t>NGWR05M30</t>
  </si>
  <si>
    <t>NGWR05M40</t>
  </si>
  <si>
    <t>NGWB05M40</t>
  </si>
  <si>
    <t>NGWT05M40</t>
  </si>
  <si>
    <t>Lens-O-16 H-10.4 L-3.4mm 15°-PC 0.3W NGWR5W (OUCHI)</t>
  </si>
  <si>
    <t>SKU Id</t>
  </si>
  <si>
    <t>Product Name</t>
  </si>
  <si>
    <t>Cost Price</t>
  </si>
  <si>
    <t>Retail Price</t>
  </si>
  <si>
    <t>Selling Price</t>
  </si>
  <si>
    <t>Weight</t>
  </si>
  <si>
    <t>Width</t>
  </si>
  <si>
    <t>Height</t>
  </si>
  <si>
    <t>Depth</t>
  </si>
  <si>
    <t>Input Power</t>
  </si>
  <si>
    <t>Trim</t>
  </si>
  <si>
    <t>Beam Angle</t>
  </si>
  <si>
    <t>Color Temp</t>
  </si>
  <si>
    <t>Driving System</t>
  </si>
  <si>
    <t>Reflector</t>
  </si>
  <si>
    <t/>
  </si>
  <si>
    <t>05 Watt</t>
  </si>
  <si>
    <t>Round White Trim</t>
  </si>
  <si>
    <t>Narrow - 15°</t>
  </si>
  <si>
    <t>3000K</t>
  </si>
  <si>
    <t>Constant Current</t>
  </si>
  <si>
    <t>White Reflector</t>
  </si>
  <si>
    <t>Black Reflector</t>
  </si>
  <si>
    <t>Black Alloy Reflector</t>
  </si>
  <si>
    <t>Chrome Reflector</t>
  </si>
  <si>
    <t>Medium - 30°</t>
  </si>
  <si>
    <t>4000K</t>
  </si>
  <si>
    <t>Round White Trimless</t>
  </si>
  <si>
    <t>Round Black Trim</t>
  </si>
  <si>
    <t>DALI Dimming -  48V DC</t>
  </si>
  <si>
    <t>NGBR05N30I</t>
  </si>
  <si>
    <t>NGAR05N30I</t>
  </si>
  <si>
    <t>NGCR05N30I</t>
  </si>
  <si>
    <t>NGBR05M30I</t>
  </si>
  <si>
    <t>NGAR05M30I</t>
  </si>
  <si>
    <t>NGCR05M30I</t>
  </si>
  <si>
    <t>NGBR05N40I</t>
  </si>
  <si>
    <t>NGAR05N40I</t>
  </si>
  <si>
    <t>NGCR05N40I</t>
  </si>
  <si>
    <t>NGBR05M40I</t>
  </si>
  <si>
    <t>NGAR05M40I</t>
  </si>
  <si>
    <t>NGCR05M40I</t>
  </si>
  <si>
    <t>NGBT05N30I</t>
  </si>
  <si>
    <t>NGAT05N30I</t>
  </si>
  <si>
    <t>NGCT05N30I</t>
  </si>
  <si>
    <t>NGBT05M30I</t>
  </si>
  <si>
    <t>NGAT05M30I</t>
  </si>
  <si>
    <t>NGCT05M30I</t>
  </si>
  <si>
    <t>NGBT05N40I</t>
  </si>
  <si>
    <t>NGAT05N40I</t>
  </si>
  <si>
    <t>NGCT05N40I</t>
  </si>
  <si>
    <t>NGBT05M40I</t>
  </si>
  <si>
    <t>NGAT05M40I</t>
  </si>
  <si>
    <t>NGCT05M40I</t>
  </si>
  <si>
    <t>NGBB05N30I</t>
  </si>
  <si>
    <t>NGAB05N30I</t>
  </si>
  <si>
    <t>NGCB05N30I</t>
  </si>
  <si>
    <t>NGBB05M30I</t>
  </si>
  <si>
    <t>NGAB05M30I</t>
  </si>
  <si>
    <t>NGCB05M30I</t>
  </si>
  <si>
    <t>NGBB05N40I</t>
  </si>
  <si>
    <t>NGAB05N40I</t>
  </si>
  <si>
    <t>NGCB05N40I</t>
  </si>
  <si>
    <t>NGBB05M40I</t>
  </si>
  <si>
    <t>NGAB05M40I</t>
  </si>
  <si>
    <t>NGCB05M40I</t>
  </si>
  <si>
    <t>Bluetooth Dimming - 48V DC</t>
  </si>
  <si>
    <t>NGBR05N30BT</t>
  </si>
  <si>
    <t>NGAR05N30BT</t>
  </si>
  <si>
    <t>NGCR05N30BT</t>
  </si>
  <si>
    <t>NGBR05M30BT</t>
  </si>
  <si>
    <t>NGAR05M30BT</t>
  </si>
  <si>
    <t>NGCR05M30BT</t>
  </si>
  <si>
    <t>NGBR05N40BT</t>
  </si>
  <si>
    <t>NGAR05N40BT</t>
  </si>
  <si>
    <t>NGCR05N40BT</t>
  </si>
  <si>
    <t>NGBR05M40BT</t>
  </si>
  <si>
    <t>NGAR05M40BT</t>
  </si>
  <si>
    <t>NGCR05M40BT</t>
  </si>
  <si>
    <t>NGBT05N30BT</t>
  </si>
  <si>
    <t>NGAT05N30BT</t>
  </si>
  <si>
    <t>NGCT05N30BT</t>
  </si>
  <si>
    <t>NGBT05M30BT</t>
  </si>
  <si>
    <t>NGAT05M30BT</t>
  </si>
  <si>
    <t>NGCT05M30BT</t>
  </si>
  <si>
    <t>NGBT05N40BT</t>
  </si>
  <si>
    <t>NGAT05N40BT</t>
  </si>
  <si>
    <t>NGCT05N40BT</t>
  </si>
  <si>
    <t>NGBT05M40BT</t>
  </si>
  <si>
    <t>NGAT05M40BT</t>
  </si>
  <si>
    <t>NGCT05M40BT</t>
  </si>
  <si>
    <t>NGBB05N30BT</t>
  </si>
  <si>
    <t>NGAB05N30BT</t>
  </si>
  <si>
    <t>NGCB05N30BT</t>
  </si>
  <si>
    <t>NGBB05M30BT</t>
  </si>
  <si>
    <t>NGAB05M30BT</t>
  </si>
  <si>
    <t>NGCB05M30BT</t>
  </si>
  <si>
    <t>NGBB05N40BT</t>
  </si>
  <si>
    <t>NGAB05N40BT</t>
  </si>
  <si>
    <t>NGCB05N40BT</t>
  </si>
  <si>
    <t>NGBB05M40BT</t>
  </si>
  <si>
    <t>NGAB05M40BT</t>
  </si>
  <si>
    <t>NGCB05M40BT</t>
  </si>
  <si>
    <t>NGWR05N30I</t>
  </si>
  <si>
    <t>NGWR05M30I</t>
  </si>
  <si>
    <t>NGWR05N40I</t>
  </si>
  <si>
    <t>NGWR05M40I</t>
  </si>
  <si>
    <t>NGWT05N30I</t>
  </si>
  <si>
    <t>NGWT05M30I</t>
  </si>
  <si>
    <t>NGWT05N40I</t>
  </si>
  <si>
    <t>NGWT05M40I</t>
  </si>
  <si>
    <t>NGWB05N30I</t>
  </si>
  <si>
    <t>NGWB05M30I</t>
  </si>
  <si>
    <t>NGWB05N40I</t>
  </si>
  <si>
    <t>NGWB05M40I</t>
  </si>
  <si>
    <t>NGWR05N30BT</t>
  </si>
  <si>
    <t>NGWR05M30BT</t>
  </si>
  <si>
    <t>NGWR05N40BT</t>
  </si>
  <si>
    <t>NGWR05M40BT</t>
  </si>
  <si>
    <t>NGWT05N30BT</t>
  </si>
  <si>
    <t>NGWT05M30BT</t>
  </si>
  <si>
    <t>NGWT05N40BT</t>
  </si>
  <si>
    <t>NGWT05M40BT</t>
  </si>
  <si>
    <t>NGWB05N30BT</t>
  </si>
  <si>
    <t>NGWB05M30BT</t>
  </si>
  <si>
    <t>NGWB05N40BT</t>
  </si>
  <si>
    <t>NGWB05M40BT</t>
  </si>
  <si>
    <t>NGWR05N30</t>
  </si>
  <si>
    <t>NGBR05N30</t>
  </si>
  <si>
    <t>NGAR05N30</t>
  </si>
  <si>
    <t>NGCB05M40</t>
  </si>
  <si>
    <t>NGAB05M40</t>
  </si>
  <si>
    <t>NGBB05M40</t>
  </si>
  <si>
    <t>NGCR05N30</t>
  </si>
  <si>
    <t>NGBR05M30</t>
  </si>
  <si>
    <t>NGAR05M30</t>
  </si>
  <si>
    <t>NGCR05M30</t>
  </si>
  <si>
    <t>NGWR05N40</t>
  </si>
  <si>
    <t>NGBR05N40</t>
  </si>
  <si>
    <t>NGAR05N40</t>
  </si>
  <si>
    <t>NGCR05N40</t>
  </si>
  <si>
    <t>NGBR05M40</t>
  </si>
  <si>
    <t>NGAR05M40</t>
  </si>
  <si>
    <t>NGCR05M40</t>
  </si>
  <si>
    <t>NGWT05N30</t>
  </si>
  <si>
    <t>NGBT05N30</t>
  </si>
  <si>
    <t>NGAT05N30</t>
  </si>
  <si>
    <t>NGCT05N30</t>
  </si>
  <si>
    <t>NGWT05M30</t>
  </si>
  <si>
    <t>NGBT05M30</t>
  </si>
  <si>
    <t>NGAT05M30</t>
  </si>
  <si>
    <t>NGCT05M30</t>
  </si>
  <si>
    <t>NGWT05N40</t>
  </si>
  <si>
    <t>NGBT05N40</t>
  </si>
  <si>
    <t>NGAT05N40</t>
  </si>
  <si>
    <t>NGCT05N40</t>
  </si>
  <si>
    <t>NGBT05M40</t>
  </si>
  <si>
    <t>NGCB05N40</t>
  </si>
  <si>
    <t>NGAB05N40</t>
  </si>
  <si>
    <t>NGBB05N40</t>
  </si>
  <si>
    <t>NGAT05M40</t>
  </si>
  <si>
    <t>NGCT05M40</t>
  </si>
  <si>
    <t>NGWB05N30</t>
  </si>
  <si>
    <t>NGBB05N30</t>
  </si>
  <si>
    <t>NGAB05N30</t>
  </si>
  <si>
    <t>NGCB05N30</t>
  </si>
  <si>
    <t>NGWB05M30</t>
  </si>
  <si>
    <t>NGBB05M30</t>
  </si>
  <si>
    <t>NGAB05M30</t>
  </si>
  <si>
    <t>NGCB05M30</t>
  </si>
  <si>
    <t>NGWB05N40</t>
  </si>
  <si>
    <t>60I-</t>
  </si>
  <si>
    <t>60BT-</t>
  </si>
  <si>
    <t>BOM LED PCB</t>
  </si>
  <si>
    <t>Nos</t>
  </si>
  <si>
    <t>SKU Code</t>
  </si>
  <si>
    <t>SKU CODE-Possibilities</t>
  </si>
  <si>
    <t>NGR05WRM30-</t>
  </si>
  <si>
    <t>Medium - 35°</t>
  </si>
  <si>
    <t>NGR05WTM30-</t>
  </si>
  <si>
    <t>NGR05WBM30-</t>
  </si>
  <si>
    <t>NGR05WRM40-</t>
  </si>
  <si>
    <t>NGR05WTM40-</t>
  </si>
  <si>
    <t>NGR05WBM40-</t>
  </si>
  <si>
    <t>NGR05WRM60-</t>
  </si>
  <si>
    <t>6000k</t>
  </si>
  <si>
    <t>NGR05WTM60-</t>
  </si>
  <si>
    <t>NGR05WBM60-</t>
  </si>
  <si>
    <t>NGR05BRM30-</t>
  </si>
  <si>
    <t>NGR05BTM30-</t>
  </si>
  <si>
    <t>NGR05BBM30-</t>
  </si>
  <si>
    <t>NGR05BRM40-</t>
  </si>
  <si>
    <t>NGR05BTM40-</t>
  </si>
  <si>
    <t>NGR05BBM40-</t>
  </si>
  <si>
    <t>NGR05BRM60-</t>
  </si>
  <si>
    <t>NGR05BTM60-</t>
  </si>
  <si>
    <t>NGR05BBM60-</t>
  </si>
  <si>
    <t>NGR05ARM30-</t>
  </si>
  <si>
    <t>NGR05ATM30-</t>
  </si>
  <si>
    <t>NGR05ABM30-</t>
  </si>
  <si>
    <t>NGR05ARM40-</t>
  </si>
  <si>
    <t>NGR05ATM40-</t>
  </si>
  <si>
    <t>NGR05ABM40-</t>
  </si>
  <si>
    <t>NGR05ARM60-</t>
  </si>
  <si>
    <t>NGR05ATM60-</t>
  </si>
  <si>
    <t>NGR05ABM60-</t>
  </si>
  <si>
    <t>NGR05CRM30-</t>
  </si>
  <si>
    <t>NGR05CTM30-</t>
  </si>
  <si>
    <t>NGR05CBM30-</t>
  </si>
  <si>
    <t>NGR05CRM40-</t>
  </si>
  <si>
    <t>NGR05CTM40-</t>
  </si>
  <si>
    <t>NGR05CBM40-</t>
  </si>
  <si>
    <t>NGR05CRM60-</t>
  </si>
  <si>
    <t>NGR05CTM60-</t>
  </si>
  <si>
    <t>NGR05CBM60-</t>
  </si>
  <si>
    <t>NGR05WRM30I</t>
  </si>
  <si>
    <t>NGR05WTM30I</t>
  </si>
  <si>
    <t>NGR05WBM30I</t>
  </si>
  <si>
    <t>NGR05WRM40I</t>
  </si>
  <si>
    <t>NGR05WTM40I</t>
  </si>
  <si>
    <t>NGR05WBM40I</t>
  </si>
  <si>
    <t>NGR05WRM60I</t>
  </si>
  <si>
    <t>NGR05WTM60I</t>
  </si>
  <si>
    <t>NGR05WBM60I</t>
  </si>
  <si>
    <t>NGR05BRM30I</t>
  </si>
  <si>
    <t>NGR05BTM30I</t>
  </si>
  <si>
    <t>NGR05BBM30I</t>
  </si>
  <si>
    <t>NGR05BRM40I</t>
  </si>
  <si>
    <t>NGR05BTM40I</t>
  </si>
  <si>
    <t>NGR05BBM40I</t>
  </si>
  <si>
    <t>NGR05BRM60I</t>
  </si>
  <si>
    <t>NGR05BTM60I</t>
  </si>
  <si>
    <t>NGR05BBM60I</t>
  </si>
  <si>
    <t>NGR05ARM30I</t>
  </si>
  <si>
    <t>NGR05ATM30I</t>
  </si>
  <si>
    <t>NGR05ABM30I</t>
  </si>
  <si>
    <t>NGR05ARM40I</t>
  </si>
  <si>
    <t>NGR05ATM40I</t>
  </si>
  <si>
    <t>NGR05ABM40I</t>
  </si>
  <si>
    <t>NGR05ARM60I</t>
  </si>
  <si>
    <t>NGR05ATM60I</t>
  </si>
  <si>
    <t>NGR05ABM60I</t>
  </si>
  <si>
    <t>NGR05CRM30I</t>
  </si>
  <si>
    <t>NGR05CTM30I</t>
  </si>
  <si>
    <t>NGR05CBM30I</t>
  </si>
  <si>
    <t>NGR05CRM40I</t>
  </si>
  <si>
    <t>NGR05CTM40I</t>
  </si>
  <si>
    <t>NGR05CBM40I</t>
  </si>
  <si>
    <t>NGR05CRM60I</t>
  </si>
  <si>
    <t>NGR05CTM60I</t>
  </si>
  <si>
    <t>NGR05CBM60I</t>
  </si>
  <si>
    <t>NGR05WRM30BT</t>
  </si>
  <si>
    <t>Bluetooth Dimming - 24V DC</t>
  </si>
  <si>
    <t>NGR05WTM30BT</t>
  </si>
  <si>
    <t>NGR05WBM30BT</t>
  </si>
  <si>
    <t>NGR05WRM40BT</t>
  </si>
  <si>
    <t>NGR05WTM40BT</t>
  </si>
  <si>
    <t>NGR05WBM40BT</t>
  </si>
  <si>
    <t>NGR05WRM60BT</t>
  </si>
  <si>
    <t>NGR05WTM60BT</t>
  </si>
  <si>
    <t>NGR05WBM60BT</t>
  </si>
  <si>
    <t>NGR05BRM30BT</t>
  </si>
  <si>
    <t>NGR05BTM30BT</t>
  </si>
  <si>
    <t>NGR05BBM30BT</t>
  </si>
  <si>
    <t>NGR05BRM40BT</t>
  </si>
  <si>
    <t>NGR05BTM40BT</t>
  </si>
  <si>
    <t>NGR05BBM40BT</t>
  </si>
  <si>
    <t>NGR05BRM60BT</t>
  </si>
  <si>
    <t>NGR05BTM60BT</t>
  </si>
  <si>
    <t>NGR05BBM60BT</t>
  </si>
  <si>
    <t>NGR05ARM30BT</t>
  </si>
  <si>
    <t>NGR05ATM30BT</t>
  </si>
  <si>
    <t>NGR05ABM30BT</t>
  </si>
  <si>
    <t>NGR05ARM40BT</t>
  </si>
  <si>
    <t>NGR05ATM40BT</t>
  </si>
  <si>
    <t>NGR05ABM40BT</t>
  </si>
  <si>
    <t>NGR05ARM60BT</t>
  </si>
  <si>
    <t>NGR05ATM60BT</t>
  </si>
  <si>
    <t>NGR05ABM60BT</t>
  </si>
  <si>
    <t>NGR05CRM30BT</t>
  </si>
  <si>
    <t>NGR05CTM30BT</t>
  </si>
  <si>
    <t>NGR05CBM30BT</t>
  </si>
  <si>
    <t>NGR05CRM40BT</t>
  </si>
  <si>
    <t>NGR05CTM40BT</t>
  </si>
  <si>
    <t>NGR05CBM40BT</t>
  </si>
  <si>
    <t>NGR05CRM60BT</t>
  </si>
  <si>
    <t>NGR05CTM60BT</t>
  </si>
  <si>
    <t>NGR05CBM60BT</t>
  </si>
  <si>
    <t>Down Light Series</t>
  </si>
  <si>
    <t>SMD Department</t>
  </si>
  <si>
    <t>Electronic Assembling Dep.</t>
  </si>
  <si>
    <t>PS 4W 300mA 9-12V LPF(PCB LPF-3W-V2)</t>
  </si>
  <si>
    <t>PS 4W 300mA 12V BT Magnetic Single Colour</t>
  </si>
  <si>
    <t>PS 4W 300mA 12V Dali Magnetic Single Colour</t>
  </si>
  <si>
    <t>NGWR05-CC</t>
  </si>
  <si>
    <t>NGWR05-DALI - 24V</t>
  </si>
  <si>
    <t>NGWR05-BT - 24V</t>
  </si>
  <si>
    <t>Unit Price</t>
  </si>
  <si>
    <t>USD</t>
  </si>
  <si>
    <t>INS&amp;FRED</t>
  </si>
  <si>
    <t>BCD</t>
  </si>
  <si>
    <t>Total Cost</t>
  </si>
  <si>
    <t>LED SMD 3535 12V 350MA 3000K</t>
  </si>
  <si>
    <t>LED SMD 3535 12V 350MA 4000K</t>
  </si>
  <si>
    <t>LED SMD 3535 12V 350MA 6000K</t>
  </si>
  <si>
    <t>PCB Rate Including in Fitting</t>
  </si>
  <si>
    <t>PS Rate Mention with Total Amt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</si>
</sst>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_-[$Rs-420]* #,##0.00_-;_-[$Rs-420]* #,##0.00\-;_-[$Rs-420]* &quot;-&quot;??_-;_-@_-"/>
    <numFmt numFmtId="165" formatCode="&quot;$&quot;#,##0.0000"/>
    <numFmt numFmtId="166" formatCode="&quot;$&quot;#,##0.000"/>
  </numFmts>
  <fonts count="3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sz val="10"/>
      <color rgb="FFFF0000"/>
      <name val="Arial"/>
      <family val="2"/>
    </font>
    <font>
      <sz val="10"/>
      <color rgb="FF0070C0"/>
      <name val="Arial"/>
      <family val="2"/>
    </font>
    <font>
      <i/>
      <sz val="10"/>
      <name val="Arial"/>
      <family val="2"/>
    </font>
    <font>
      <i/>
      <sz val="10"/>
      <color theme="1"/>
      <name val="Arial"/>
      <family val="2"/>
    </font>
    <font>
      <i/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u/>
      <sz val="11"/>
      <color theme="10"/>
      <name val="Calibri"/>
      <family val="2"/>
      <scheme val="minor"/>
    </font>
    <font>
      <b/>
      <sz val="10"/>
      <color rgb="FF172B4D"/>
      <name val="Arial"/>
      <family val="2"/>
    </font>
    <font>
      <sz val="9"/>
      <name val="Tahoma"/>
      <family val="2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indexed="8"/>
      <name val="Calibri"/>
      <family val="2"/>
    </font>
    <font>
      <sz val="10"/>
      <color rgb="FF000000"/>
      <name val="Afacad-Regula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sz val="11"/>
      <name val="Calibri"/>
      <family val="2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12"/>
      <color theme="1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88BEE6"/>
        <bgColor rgb="FF000000"/>
      </patternFill>
    </fill>
    <fill>
      <patternFill patternType="solid">
        <fgColor rgb="FFFEC530"/>
        <bgColor indexed="64"/>
      </patternFill>
    </fill>
    <fill>
      <patternFill patternType="solid">
        <fgColor rgb="FFFEC53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B0F0"/>
      </left>
      <right/>
      <top style="thin">
        <color rgb="FF00B0F0"/>
      </top>
      <bottom/>
      <diagonal/>
    </border>
    <border>
      <left/>
      <right/>
      <top style="thin">
        <color rgb="FF00B0F0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B0F0"/>
      </left>
      <right/>
      <top/>
      <bottom/>
      <diagonal/>
    </border>
    <border>
      <left style="thin">
        <color rgb="FF00B0F0"/>
      </left>
      <right/>
      <top/>
      <bottom style="thin">
        <color rgb="FF00B0F0"/>
      </bottom>
      <diagonal/>
    </border>
    <border>
      <left/>
      <right/>
      <top/>
      <bottom style="thin">
        <color rgb="FF00B0F0"/>
      </bottom>
      <diagonal/>
    </border>
    <border>
      <left/>
      <right style="thin">
        <color rgb="FF00B0F0"/>
      </right>
      <top style="thin">
        <color rgb="FF00B0F0"/>
      </top>
      <bottom/>
      <diagonal/>
    </border>
    <border>
      <left/>
      <right style="thin">
        <color rgb="FF00B0F0"/>
      </right>
      <top/>
      <bottom/>
      <diagonal/>
    </border>
    <border>
      <left/>
      <right style="thin">
        <color rgb="FF00B0F0"/>
      </right>
      <top/>
      <bottom style="thin">
        <color rgb="FF00B0F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</borders>
  <cellStyleXfs count="5">
    <xf numFmtId="0" fontId="0" fillId="0" borderId="0"/>
    <xf numFmtId="0" fontId="18" fillId="0" borderId="0" applyNumberFormat="0" applyFill="0" applyBorder="0" applyAlignment="0" applyProtection="0"/>
    <xf numFmtId="0" fontId="5" fillId="0" borderId="0"/>
    <xf numFmtId="0" fontId="25" fillId="0" borderId="0"/>
    <xf numFmtId="0" fontId="27" fillId="0" borderId="0"/>
  </cellStyleXfs>
  <cellXfs count="145">
    <xf numFmtId="0" fontId="0" fillId="0" borderId="0" xfId="0"/>
    <xf numFmtId="0" fontId="8" fillId="0" borderId="0" xfId="0" applyFont="1"/>
    <xf numFmtId="0" fontId="9" fillId="2" borderId="0" xfId="0" applyFont="1" applyFill="1"/>
    <xf numFmtId="0" fontId="10" fillId="3" borderId="1" xfId="0" applyFont="1" applyFill="1" applyBorder="1" applyAlignment="1">
      <alignment horizontal="center" wrapText="1"/>
    </xf>
    <xf numFmtId="0" fontId="11" fillId="2" borderId="0" xfId="0" applyFont="1" applyFill="1"/>
    <xf numFmtId="0" fontId="0" fillId="2" borderId="0" xfId="0" applyFill="1"/>
    <xf numFmtId="0" fontId="10" fillId="4" borderId="1" xfId="0" applyFont="1" applyFill="1" applyBorder="1" applyAlignment="1">
      <alignment horizontal="left" vertical="top" wrapText="1"/>
    </xf>
    <xf numFmtId="0" fontId="10" fillId="4" borderId="2" xfId="0" applyFont="1" applyFill="1" applyBorder="1" applyAlignment="1">
      <alignment horizontal="left" vertical="center" wrapText="1"/>
    </xf>
    <xf numFmtId="0" fontId="10" fillId="5" borderId="3" xfId="0" applyFont="1" applyFill="1" applyBorder="1" applyAlignment="1">
      <alignment wrapText="1"/>
    </xf>
    <xf numFmtId="0" fontId="12" fillId="2" borderId="4" xfId="0" applyFont="1" applyFill="1" applyBorder="1"/>
    <xf numFmtId="0" fontId="8" fillId="2" borderId="5" xfId="0" applyFont="1" applyFill="1" applyBorder="1"/>
    <xf numFmtId="0" fontId="10" fillId="0" borderId="6" xfId="0" applyFont="1" applyBorder="1" applyAlignment="1">
      <alignment wrapText="1"/>
    </xf>
    <xf numFmtId="0" fontId="8" fillId="0" borderId="2" xfId="0" applyFont="1" applyBorder="1" applyAlignment="1">
      <alignment horizontal="left" vertical="top" wrapText="1"/>
    </xf>
    <xf numFmtId="0" fontId="8" fillId="0" borderId="3" xfId="0" applyFont="1" applyBorder="1"/>
    <xf numFmtId="0" fontId="13" fillId="2" borderId="7" xfId="0" applyFont="1" applyFill="1" applyBorder="1" applyAlignment="1">
      <alignment horizontal="left" indent="2"/>
    </xf>
    <xf numFmtId="0" fontId="8" fillId="2" borderId="0" xfId="0" applyFont="1" applyFill="1" applyAlignment="1">
      <alignment horizontal="left" indent="2"/>
    </xf>
    <xf numFmtId="0" fontId="8" fillId="0" borderId="1" xfId="0" applyFont="1" applyBorder="1" applyAlignment="1">
      <alignment horizontal="left" vertical="top" wrapText="1"/>
    </xf>
    <xf numFmtId="0" fontId="10" fillId="2" borderId="7" xfId="0" applyFont="1" applyFill="1" applyBorder="1" applyAlignment="1">
      <alignment horizontal="left" indent="2"/>
    </xf>
    <xf numFmtId="0" fontId="8" fillId="2" borderId="7" xfId="0" applyFont="1" applyFill="1" applyBorder="1" applyAlignment="1">
      <alignment horizontal="left" indent="2"/>
    </xf>
    <xf numFmtId="0" fontId="14" fillId="2" borderId="7" xfId="0" applyFont="1" applyFill="1" applyBorder="1" applyAlignment="1">
      <alignment horizontal="left" indent="2"/>
    </xf>
    <xf numFmtId="0" fontId="14" fillId="2" borderId="0" xfId="0" applyFont="1" applyFill="1" applyAlignment="1">
      <alignment horizontal="left" indent="2"/>
    </xf>
    <xf numFmtId="0" fontId="14" fillId="2" borderId="7" xfId="0" applyFont="1" applyFill="1" applyBorder="1" applyAlignment="1">
      <alignment horizontal="left" indent="3"/>
    </xf>
    <xf numFmtId="0" fontId="15" fillId="2" borderId="7" xfId="0" applyFont="1" applyFill="1" applyBorder="1" applyAlignment="1">
      <alignment horizontal="left" indent="3"/>
    </xf>
    <xf numFmtId="0" fontId="16" fillId="2" borderId="0" xfId="0" applyFont="1" applyFill="1" applyAlignment="1">
      <alignment horizontal="left" indent="3"/>
    </xf>
    <xf numFmtId="0" fontId="17" fillId="0" borderId="3" xfId="0" applyFont="1" applyBorder="1" applyAlignment="1">
      <alignment wrapText="1"/>
    </xf>
    <xf numFmtId="0" fontId="8" fillId="2" borderId="7" xfId="0" applyFont="1" applyFill="1" applyBorder="1"/>
    <xf numFmtId="0" fontId="8" fillId="2" borderId="8" xfId="0" applyFont="1" applyFill="1" applyBorder="1"/>
    <xf numFmtId="0" fontId="8" fillId="2" borderId="9" xfId="0" applyFont="1" applyFill="1" applyBorder="1"/>
    <xf numFmtId="0" fontId="13" fillId="2" borderId="0" xfId="0" applyFont="1" applyFill="1"/>
    <xf numFmtId="0" fontId="10" fillId="2" borderId="0" xfId="0" applyFont="1" applyFill="1"/>
    <xf numFmtId="0" fontId="10" fillId="4" borderId="2" xfId="0" applyFont="1" applyFill="1" applyBorder="1" applyAlignment="1">
      <alignment horizontal="left" vertical="top" wrapText="1"/>
    </xf>
    <xf numFmtId="0" fontId="10" fillId="4" borderId="3" xfId="0" applyFont="1" applyFill="1" applyBorder="1" applyAlignment="1">
      <alignment horizontal="left" vertical="top" wrapText="1"/>
    </xf>
    <xf numFmtId="0" fontId="14" fillId="2" borderId="0" xfId="0" applyFont="1" applyFill="1" applyAlignment="1">
      <alignment wrapText="1"/>
    </xf>
    <xf numFmtId="0" fontId="14" fillId="2" borderId="0" xfId="0" applyFont="1" applyFill="1" applyAlignment="1">
      <alignment horizontal="left"/>
    </xf>
    <xf numFmtId="0" fontId="14" fillId="2" borderId="0" xfId="0" applyFont="1" applyFill="1" applyAlignment="1">
      <alignment horizontal="left" indent="1"/>
    </xf>
    <xf numFmtId="0" fontId="16" fillId="2" borderId="0" xfId="0" applyFont="1" applyFill="1" applyAlignment="1">
      <alignment horizontal="left" indent="1"/>
    </xf>
    <xf numFmtId="0" fontId="8" fillId="0" borderId="3" xfId="0" applyFont="1" applyBorder="1" applyAlignment="1">
      <alignment wrapText="1"/>
    </xf>
    <xf numFmtId="0" fontId="12" fillId="2" borderId="5" xfId="0" applyFont="1" applyFill="1" applyBorder="1"/>
    <xf numFmtId="0" fontId="18" fillId="2" borderId="0" xfId="1" applyFill="1" applyBorder="1" applyAlignment="1"/>
    <xf numFmtId="0" fontId="18" fillId="2" borderId="0" xfId="1" applyFill="1" applyBorder="1"/>
    <xf numFmtId="0" fontId="12" fillId="2" borderId="10" xfId="0" applyFont="1" applyFill="1" applyBorder="1"/>
    <xf numFmtId="0" fontId="8" fillId="2" borderId="11" xfId="0" applyFont="1" applyFill="1" applyBorder="1" applyAlignment="1">
      <alignment horizontal="left" indent="2"/>
    </xf>
    <xf numFmtId="0" fontId="14" fillId="2" borderId="11" xfId="0" applyFont="1" applyFill="1" applyBorder="1" applyAlignment="1">
      <alignment horizontal="left" indent="2"/>
    </xf>
    <xf numFmtId="0" fontId="8" fillId="2" borderId="11" xfId="0" applyFont="1" applyFill="1" applyBorder="1"/>
    <xf numFmtId="0" fontId="8" fillId="2" borderId="12" xfId="0" applyFont="1" applyFill="1" applyBorder="1"/>
    <xf numFmtId="0" fontId="9" fillId="0" borderId="2" xfId="0" applyFont="1" applyBorder="1" applyAlignment="1">
      <alignment horizontal="left" vertical="top" wrapText="1"/>
    </xf>
    <xf numFmtId="0" fontId="0" fillId="2" borderId="0" xfId="0" applyFill="1" applyAlignment="1">
      <alignment readingOrder="1"/>
    </xf>
    <xf numFmtId="0" fontId="0" fillId="0" borderId="0" xfId="0" applyAlignment="1">
      <alignment horizontal="center"/>
    </xf>
    <xf numFmtId="0" fontId="19" fillId="5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/>
    </xf>
    <xf numFmtId="0" fontId="21" fillId="6" borderId="1" xfId="0" applyFont="1" applyFill="1" applyBorder="1"/>
    <xf numFmtId="0" fontId="0" fillId="0" borderId="0" xfId="0" applyAlignment="1">
      <alignment wrapText="1"/>
    </xf>
    <xf numFmtId="0" fontId="7" fillId="0" borderId="0" xfId="0" applyFont="1" applyAlignment="1">
      <alignment wrapText="1"/>
    </xf>
    <xf numFmtId="0" fontId="21" fillId="6" borderId="1" xfId="0" applyFont="1" applyFill="1" applyBorder="1" applyAlignment="1">
      <alignment wrapText="1"/>
    </xf>
    <xf numFmtId="0" fontId="7" fillId="7" borderId="1" xfId="0" applyFont="1" applyFill="1" applyBorder="1" applyAlignment="1">
      <alignment wrapText="1"/>
    </xf>
    <xf numFmtId="0" fontId="7" fillId="7" borderId="1" xfId="0" applyFont="1" applyFill="1" applyBorder="1"/>
    <xf numFmtId="0" fontId="0" fillId="8" borderId="1" xfId="0" applyFill="1" applyBorder="1" applyAlignment="1">
      <alignment wrapText="1"/>
    </xf>
    <xf numFmtId="0" fontId="0" fillId="8" borderId="1" xfId="0" applyFill="1" applyBorder="1"/>
    <xf numFmtId="0" fontId="0" fillId="8" borderId="14" xfId="0" applyFill="1" applyBorder="1" applyAlignment="1">
      <alignment wrapText="1"/>
    </xf>
    <xf numFmtId="0" fontId="6" fillId="7" borderId="1" xfId="0" applyFont="1" applyFill="1" applyBorder="1" applyAlignment="1">
      <alignment wrapText="1"/>
    </xf>
    <xf numFmtId="0" fontId="5" fillId="0" borderId="1" xfId="0" applyFont="1" applyBorder="1"/>
    <xf numFmtId="0" fontId="5" fillId="7" borderId="1" xfId="0" applyFont="1" applyFill="1" applyBorder="1"/>
    <xf numFmtId="0" fontId="5" fillId="7" borderId="15" xfId="0" applyFont="1" applyFill="1" applyBorder="1"/>
    <xf numFmtId="0" fontId="0" fillId="9" borderId="0" xfId="0" applyFill="1" applyAlignment="1">
      <alignment wrapText="1"/>
    </xf>
    <xf numFmtId="0" fontId="0" fillId="9" borderId="0" xfId="0" applyFill="1"/>
    <xf numFmtId="0" fontId="5" fillId="0" borderId="1" xfId="0" applyFont="1" applyBorder="1" applyAlignment="1">
      <alignment horizontal="left"/>
    </xf>
    <xf numFmtId="49" fontId="5" fillId="0" borderId="1" xfId="2" applyNumberFormat="1" applyBorder="1"/>
    <xf numFmtId="0" fontId="5" fillId="0" borderId="1" xfId="2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wrapText="1"/>
    </xf>
    <xf numFmtId="0" fontId="0" fillId="10" borderId="1" xfId="0" applyFill="1" applyBorder="1"/>
    <xf numFmtId="0" fontId="5" fillId="10" borderId="1" xfId="0" applyFont="1" applyFill="1" applyBorder="1" applyAlignment="1">
      <alignment horizontal="left"/>
    </xf>
    <xf numFmtId="0" fontId="0" fillId="11" borderId="1" xfId="0" applyFill="1" applyBorder="1"/>
    <xf numFmtId="0" fontId="0" fillId="12" borderId="1" xfId="0" applyFill="1" applyBorder="1"/>
    <xf numFmtId="0" fontId="0" fillId="0" borderId="6" xfId="0" applyBorder="1"/>
    <xf numFmtId="0" fontId="24" fillId="0" borderId="0" xfId="0" applyFont="1" applyAlignment="1">
      <alignment horizontal="left" vertical="center" wrapText="1"/>
    </xf>
    <xf numFmtId="0" fontId="25" fillId="0" borderId="0" xfId="3"/>
    <xf numFmtId="0" fontId="0" fillId="9" borderId="1" xfId="0" applyFill="1" applyBorder="1"/>
    <xf numFmtId="0" fontId="0" fillId="9" borderId="1" xfId="0" applyFill="1" applyBorder="1" applyAlignment="1">
      <alignment horizontal="center"/>
    </xf>
    <xf numFmtId="0" fontId="5" fillId="9" borderId="1" xfId="0" applyFont="1" applyFill="1" applyBorder="1" applyAlignment="1">
      <alignment horizontal="left"/>
    </xf>
    <xf numFmtId="0" fontId="26" fillId="0" borderId="0" xfId="0" applyFont="1"/>
    <xf numFmtId="0" fontId="0" fillId="6" borderId="0" xfId="0" applyFill="1"/>
    <xf numFmtId="0" fontId="27" fillId="12" borderId="1" xfId="4" applyFill="1" applyBorder="1"/>
    <xf numFmtId="0" fontId="27" fillId="12" borderId="1" xfId="4" applyFill="1" applyBorder="1" applyAlignment="1">
      <alignment horizontal="center" vertical="center"/>
    </xf>
    <xf numFmtId="0" fontId="27" fillId="12" borderId="2" xfId="4" applyFill="1" applyBorder="1"/>
    <xf numFmtId="0" fontId="27" fillId="12" borderId="14" xfId="4" applyFill="1" applyBorder="1"/>
    <xf numFmtId="0" fontId="27" fillId="0" borderId="0" xfId="4"/>
    <xf numFmtId="0" fontId="25" fillId="0" borderId="0" xfId="4" applyFont="1"/>
    <xf numFmtId="0" fontId="27" fillId="13" borderId="6" xfId="4" applyFill="1" applyBorder="1"/>
    <xf numFmtId="0" fontId="27" fillId="14" borderId="1" xfId="4" applyFill="1" applyBorder="1"/>
    <xf numFmtId="0" fontId="27" fillId="13" borderId="1" xfId="4" applyFill="1" applyBorder="1"/>
    <xf numFmtId="0" fontId="0" fillId="2" borderId="1" xfId="0" applyFill="1" applyBorder="1"/>
    <xf numFmtId="0" fontId="0" fillId="13" borderId="1" xfId="0" applyFill="1" applyBorder="1"/>
    <xf numFmtId="0" fontId="23" fillId="13" borderId="1" xfId="0" applyFont="1" applyFill="1" applyBorder="1" applyAlignment="1">
      <alignment horizontal="center"/>
    </xf>
    <xf numFmtId="0" fontId="5" fillId="13" borderId="1" xfId="0" applyFont="1" applyFill="1" applyBorder="1"/>
    <xf numFmtId="0" fontId="0" fillId="0" borderId="15" xfId="0" applyFill="1" applyBorder="1" applyAlignment="1">
      <alignment horizontal="center"/>
    </xf>
    <xf numFmtId="0" fontId="5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164" fontId="28" fillId="0" borderId="1" xfId="0" applyNumberFormat="1" applyFont="1" applyFill="1" applyBorder="1" applyAlignment="1">
      <alignment vertical="center"/>
    </xf>
    <xf numFmtId="0" fontId="3" fillId="0" borderId="1" xfId="0" applyFont="1" applyBorder="1"/>
    <xf numFmtId="164" fontId="29" fillId="16" borderId="1" xfId="0" applyNumberFormat="1" applyFont="1" applyFill="1" applyBorder="1" applyAlignment="1">
      <alignment horizontal="left" vertical="center"/>
    </xf>
    <xf numFmtId="0" fontId="29" fillId="0" borderId="1" xfId="0" applyNumberFormat="1" applyFont="1" applyBorder="1" applyAlignment="1">
      <alignment horizontal="center" vertical="center" wrapText="1"/>
    </xf>
    <xf numFmtId="165" fontId="29" fillId="0" borderId="1" xfId="0" applyNumberFormat="1" applyFont="1" applyBorder="1" applyAlignment="1">
      <alignment horizontal="center" vertical="center"/>
    </xf>
    <xf numFmtId="0" fontId="29" fillId="0" borderId="1" xfId="0" applyFont="1" applyBorder="1" applyAlignment="1">
      <alignment horizontal="center" vertical="center" wrapText="1"/>
    </xf>
    <xf numFmtId="0" fontId="29" fillId="0" borderId="1" xfId="0" applyFont="1" applyBorder="1" applyAlignment="1">
      <alignment horizontal="center" vertical="center"/>
    </xf>
    <xf numFmtId="164" fontId="30" fillId="6" borderId="16" xfId="0" applyNumberFormat="1" applyFont="1" applyFill="1" applyBorder="1" applyAlignment="1">
      <alignment vertical="center"/>
    </xf>
    <xf numFmtId="164" fontId="11" fillId="0" borderId="1" xfId="0" applyNumberFormat="1" applyFont="1" applyBorder="1" applyAlignment="1">
      <alignment vertical="center"/>
    </xf>
    <xf numFmtId="164" fontId="28" fillId="17" borderId="17" xfId="0" applyNumberFormat="1" applyFont="1" applyFill="1" applyBorder="1" applyAlignment="1">
      <alignment vertical="center"/>
    </xf>
    <xf numFmtId="166" fontId="28" fillId="0" borderId="0" xfId="0" applyNumberFormat="1" applyFont="1" applyBorder="1" applyAlignment="1">
      <alignment horizontal="center" vertical="center"/>
    </xf>
    <xf numFmtId="9" fontId="28" fillId="0" borderId="0" xfId="0" applyNumberFormat="1" applyFont="1" applyBorder="1" applyAlignment="1">
      <alignment horizontal="center" vertical="center"/>
    </xf>
    <xf numFmtId="165" fontId="28" fillId="0" borderId="0" xfId="0" applyNumberFormat="1" applyFont="1" applyBorder="1" applyAlignment="1">
      <alignment horizontal="center" vertical="center"/>
    </xf>
    <xf numFmtId="164" fontId="28" fillId="17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/>
    </xf>
    <xf numFmtId="165" fontId="28" fillId="0" borderId="0" xfId="0" applyNumberFormat="1" applyFont="1" applyBorder="1" applyAlignment="1">
      <alignment horizontal="center" vertical="center"/>
    </xf>
    <xf numFmtId="166" fontId="28" fillId="0" borderId="0" xfId="0" applyNumberFormat="1" applyFont="1" applyBorder="1" applyAlignment="1">
      <alignment horizontal="center" vertical="center"/>
    </xf>
    <xf numFmtId="9" fontId="28" fillId="0" borderId="0" xfId="0" applyNumberFormat="1" applyFont="1" applyBorder="1" applyAlignment="1">
      <alignment horizontal="center" vertical="center"/>
    </xf>
    <xf numFmtId="0" fontId="2" fillId="0" borderId="0" xfId="0" applyFont="1"/>
    <xf numFmtId="0" fontId="11" fillId="16" borderId="2" xfId="0" applyFont="1" applyFill="1" applyBorder="1" applyAlignment="1">
      <alignment horizontal="right" vertical="center"/>
    </xf>
    <xf numFmtId="0" fontId="11" fillId="16" borderId="14" xfId="0" applyFont="1" applyFill="1" applyBorder="1" applyAlignment="1">
      <alignment horizontal="right" vertical="center"/>
    </xf>
    <xf numFmtId="0" fontId="11" fillId="8" borderId="2" xfId="0" applyFont="1" applyFill="1" applyBorder="1" applyAlignment="1">
      <alignment horizontal="right" vertical="center"/>
    </xf>
    <xf numFmtId="0" fontId="11" fillId="8" borderId="14" xfId="0" applyFont="1" applyFill="1" applyBorder="1" applyAlignment="1">
      <alignment horizontal="right" vertical="center"/>
    </xf>
    <xf numFmtId="0" fontId="11" fillId="15" borderId="2" xfId="0" applyFont="1" applyFill="1" applyBorder="1" applyAlignment="1">
      <alignment horizontal="right" vertical="center"/>
    </xf>
    <xf numFmtId="0" fontId="11" fillId="15" borderId="14" xfId="0" applyFont="1" applyFill="1" applyBorder="1" applyAlignment="1">
      <alignment horizontal="right" vertical="center"/>
    </xf>
    <xf numFmtId="165" fontId="28" fillId="0" borderId="18" xfId="0" applyNumberFormat="1" applyFont="1" applyBorder="1" applyAlignment="1">
      <alignment horizontal="center" vertical="center"/>
    </xf>
    <xf numFmtId="165" fontId="28" fillId="0" borderId="0" xfId="0" applyNumberFormat="1" applyFont="1" applyBorder="1" applyAlignment="1">
      <alignment horizontal="center" vertical="center"/>
    </xf>
    <xf numFmtId="164" fontId="28" fillId="17" borderId="17" xfId="0" applyNumberFormat="1" applyFont="1" applyFill="1" applyBorder="1" applyAlignment="1">
      <alignment horizontal="center" vertical="center"/>
    </xf>
    <xf numFmtId="164" fontId="28" fillId="17" borderId="15" xfId="0" applyNumberFormat="1" applyFont="1" applyFill="1" applyBorder="1" applyAlignment="1">
      <alignment horizontal="center" vertical="center"/>
    </xf>
    <xf numFmtId="164" fontId="28" fillId="17" borderId="6" xfId="0" applyNumberFormat="1" applyFont="1" applyFill="1" applyBorder="1" applyAlignment="1">
      <alignment horizontal="center" vertical="center"/>
    </xf>
    <xf numFmtId="164" fontId="28" fillId="17" borderId="1" xfId="0" applyNumberFormat="1" applyFont="1" applyFill="1" applyBorder="1" applyAlignment="1">
      <alignment horizontal="center" vertical="center"/>
    </xf>
    <xf numFmtId="166" fontId="28" fillId="0" borderId="18" xfId="0" applyNumberFormat="1" applyFont="1" applyBorder="1" applyAlignment="1">
      <alignment horizontal="center" vertical="center"/>
    </xf>
    <xf numFmtId="166" fontId="28" fillId="0" borderId="0" xfId="0" applyNumberFormat="1" applyFont="1" applyBorder="1" applyAlignment="1">
      <alignment horizontal="center" vertical="center"/>
    </xf>
    <xf numFmtId="9" fontId="28" fillId="0" borderId="18" xfId="0" applyNumberFormat="1" applyFont="1" applyBorder="1" applyAlignment="1">
      <alignment horizontal="center" vertical="center"/>
    </xf>
    <xf numFmtId="9" fontId="28" fillId="0" borderId="0" xfId="0" applyNumberFormat="1" applyFont="1" applyBorder="1" applyAlignment="1">
      <alignment horizontal="center" vertical="center"/>
    </xf>
    <xf numFmtId="0" fontId="14" fillId="2" borderId="0" xfId="0" applyFont="1" applyFill="1" applyAlignment="1">
      <alignment horizontal="left" wrapText="1"/>
    </xf>
    <xf numFmtId="0" fontId="14" fillId="2" borderId="7" xfId="0" applyFont="1" applyFill="1" applyBorder="1" applyAlignment="1">
      <alignment horizontal="left" wrapText="1" indent="2"/>
    </xf>
    <xf numFmtId="0" fontId="14" fillId="2" borderId="0" xfId="0" applyFont="1" applyFill="1" applyAlignment="1">
      <alignment horizontal="left" wrapText="1" indent="2"/>
    </xf>
    <xf numFmtId="0" fontId="14" fillId="2" borderId="11" xfId="0" applyFont="1" applyFill="1" applyBorder="1" applyAlignment="1">
      <alignment horizontal="left" wrapText="1" indent="2"/>
    </xf>
    <xf numFmtId="0" fontId="21" fillId="0" borderId="2" xfId="0" applyFont="1" applyBorder="1" applyAlignment="1">
      <alignment horizontal="center"/>
    </xf>
    <xf numFmtId="0" fontId="21" fillId="0" borderId="13" xfId="0" applyFont="1" applyBorder="1" applyAlignment="1">
      <alignment horizontal="center"/>
    </xf>
    <xf numFmtId="0" fontId="21" fillId="0" borderId="14" xfId="0" applyFont="1" applyBorder="1" applyAlignment="1">
      <alignment horizontal="center"/>
    </xf>
    <xf numFmtId="0" fontId="2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6" xfId="0" applyFont="1" applyBorder="1"/>
  </cellXfs>
  <cellStyles count="5">
    <cellStyle name="Hyperlink 2" xfId="1"/>
    <cellStyle name="Normal" xfId="0" builtinId="0"/>
    <cellStyle name="Normal 2" xfId="2"/>
    <cellStyle name="Normal 2 2" xfId="4"/>
    <cellStyle name="Normal 3" xfId="3"/>
  </cellStyles>
  <dxfs count="5"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</dxfs>
  <tableStyles count="0" defaultTableStyle="TableStyleMedium2" defaultPivotStyle="PivotStyleLight16"/>
  <colors>
    <mruColors>
      <color rgb="FFFEC53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https://help.tallysolutions.com/tally-prime/data-exchange-tally-prime/import-data-in-tally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3"/>
  <sheetViews>
    <sheetView tabSelected="1" topLeftCell="I7" zoomScaleNormal="100" workbookViewId="0">
      <selection activeCell="M21" sqref="M21"/>
    </sheetView>
  </sheetViews>
  <sheetFormatPr defaultColWidth="9" defaultRowHeight="15"/>
  <cols>
    <col min="1" max="1" width="26.140625" customWidth="1"/>
    <col min="2" max="2" width="18" customWidth="1"/>
    <col min="3" max="3" width="11.7109375" customWidth="1"/>
    <col min="4" max="4" width="27.42578125" customWidth="1"/>
    <col min="5" max="5" width="20.42578125" customWidth="1"/>
    <col min="6" max="6" width="57" customWidth="1"/>
    <col min="7" max="7" width="28" customWidth="1"/>
    <col min="8" max="8" width="27.7109375" customWidth="1"/>
    <col min="9" max="9" width="31.85546875" customWidth="1"/>
    <col min="10" max="10" width="27.7109375" hidden="1" customWidth="1"/>
    <col min="11" max="11" width="27.7109375" customWidth="1"/>
    <col min="12" max="12" width="13" customWidth="1"/>
    <col min="13" max="13" width="13.42578125" customWidth="1"/>
    <col min="15" max="15" width="11.28515625" customWidth="1"/>
  </cols>
  <sheetData>
    <row r="1" spans="1:17" s="47" customFormat="1">
      <c r="A1" s="48" t="s">
        <v>0</v>
      </c>
      <c r="B1" s="48" t="s">
        <v>17</v>
      </c>
      <c r="C1" s="48" t="s">
        <v>26</v>
      </c>
      <c r="D1" s="48" t="s">
        <v>1</v>
      </c>
      <c r="E1" s="48" t="s">
        <v>2</v>
      </c>
      <c r="F1" s="48" t="s">
        <v>3</v>
      </c>
      <c r="G1" s="48" t="s">
        <v>4</v>
      </c>
      <c r="H1" s="48" t="s">
        <v>5</v>
      </c>
      <c r="I1" s="48" t="s">
        <v>6</v>
      </c>
      <c r="J1" s="48" t="s">
        <v>7</v>
      </c>
      <c r="K1" s="48" t="s">
        <v>8</v>
      </c>
      <c r="L1" s="103" t="s">
        <v>545</v>
      </c>
      <c r="M1" s="103" t="s">
        <v>195</v>
      </c>
      <c r="N1" s="104" t="s">
        <v>546</v>
      </c>
      <c r="O1" s="105" t="s">
        <v>547</v>
      </c>
      <c r="P1" s="106" t="s">
        <v>548</v>
      </c>
      <c r="Q1" s="104" t="s">
        <v>549</v>
      </c>
    </row>
    <row r="2" spans="1:17">
      <c r="A2" s="49" t="str">
        <f>$D$2</f>
        <v>NGWB05N30I</v>
      </c>
      <c r="B2" s="49" t="s">
        <v>536</v>
      </c>
      <c r="C2" s="49" t="s">
        <v>190</v>
      </c>
      <c r="D2" s="76" t="s">
        <v>359</v>
      </c>
      <c r="E2" s="49">
        <v>1</v>
      </c>
      <c r="F2" s="73" t="str">
        <f>'Backend data'!C6</f>
        <v>Trim-O-39 I-27 H-22.6mm 0.3W Black NGWR5W (OUCHI)</v>
      </c>
      <c r="G2" s="69">
        <v>1</v>
      </c>
      <c r="H2" s="50" t="s">
        <v>189</v>
      </c>
      <c r="I2" s="49" t="s">
        <v>9</v>
      </c>
      <c r="J2" s="49"/>
      <c r="K2" s="99"/>
      <c r="L2" s="127">
        <f>Q2*87</f>
        <v>376.36199999999997</v>
      </c>
      <c r="M2" s="130">
        <f>L2*G2</f>
        <v>376.36199999999997</v>
      </c>
      <c r="N2" s="131">
        <v>2.8839999999999999</v>
      </c>
      <c r="O2" s="133">
        <v>0.5</v>
      </c>
      <c r="P2" s="133"/>
      <c r="Q2" s="125">
        <f>N2+(N2*(O2+P2))</f>
        <v>4.3259999999999996</v>
      </c>
    </row>
    <row r="3" spans="1:17">
      <c r="A3" s="49"/>
      <c r="B3" s="49"/>
      <c r="C3" s="49"/>
      <c r="D3" s="49"/>
      <c r="E3" s="49"/>
      <c r="F3" s="49" t="s">
        <v>217</v>
      </c>
      <c r="G3" s="69">
        <v>1</v>
      </c>
      <c r="H3" s="50" t="s">
        <v>189</v>
      </c>
      <c r="I3" s="49" t="s">
        <v>9</v>
      </c>
      <c r="J3" s="49"/>
      <c r="K3" s="99"/>
      <c r="L3" s="128"/>
      <c r="M3" s="130"/>
      <c r="N3" s="132"/>
      <c r="O3" s="134"/>
      <c r="P3" s="134"/>
      <c r="Q3" s="126"/>
    </row>
    <row r="4" spans="1:17">
      <c r="A4" s="49"/>
      <c r="B4" s="49"/>
      <c r="C4" s="49"/>
      <c r="D4" s="49"/>
      <c r="E4" s="49"/>
      <c r="F4" s="73" t="str">
        <f>'Backend data'!E6</f>
        <v>Refl-O-29.3 H-13 L-13mm 0.3W White NGWR5W (OUCHI)</v>
      </c>
      <c r="G4" s="69">
        <v>1</v>
      </c>
      <c r="H4" s="50" t="s">
        <v>189</v>
      </c>
      <c r="I4" s="49" t="s">
        <v>9</v>
      </c>
      <c r="J4" s="49"/>
      <c r="K4" s="99"/>
      <c r="L4" s="128"/>
      <c r="M4" s="130"/>
      <c r="N4" s="132"/>
      <c r="O4" s="134"/>
      <c r="P4" s="134"/>
      <c r="Q4" s="126"/>
    </row>
    <row r="5" spans="1:17">
      <c r="A5" s="49"/>
      <c r="B5" s="49"/>
      <c r="C5" s="49"/>
      <c r="D5" s="49"/>
      <c r="E5" s="49"/>
      <c r="F5" s="49" t="s">
        <v>218</v>
      </c>
      <c r="G5" s="69">
        <v>1</v>
      </c>
      <c r="H5" s="50" t="s">
        <v>189</v>
      </c>
      <c r="I5" s="49" t="s">
        <v>9</v>
      </c>
      <c r="J5" s="49"/>
      <c r="K5" s="99"/>
      <c r="L5" s="128"/>
      <c r="M5" s="130"/>
      <c r="N5" s="132"/>
      <c r="O5" s="134"/>
      <c r="P5" s="134"/>
      <c r="Q5" s="126"/>
    </row>
    <row r="6" spans="1:17">
      <c r="A6" s="49"/>
      <c r="B6" s="49"/>
      <c r="C6" s="49"/>
      <c r="D6" s="49"/>
      <c r="E6" s="49"/>
      <c r="F6" s="73" t="str">
        <f>'Backend data'!F6</f>
        <v>Lens-O-16 H-10.4 L-3.4mm 15°-PC 0.3W NGWR5W (OUCHI)</v>
      </c>
      <c r="G6" s="69">
        <v>1</v>
      </c>
      <c r="H6" s="50" t="s">
        <v>189</v>
      </c>
      <c r="I6" s="49" t="s">
        <v>9</v>
      </c>
      <c r="J6" s="49"/>
      <c r="K6" s="99"/>
      <c r="L6" s="128"/>
      <c r="M6" s="130"/>
      <c r="N6" s="132"/>
      <c r="O6" s="134"/>
      <c r="P6" s="134"/>
      <c r="Q6" s="126"/>
    </row>
    <row r="7" spans="1:17">
      <c r="A7" s="49"/>
      <c r="B7" s="49"/>
      <c r="C7" s="49"/>
      <c r="D7" s="49"/>
      <c r="E7" s="49"/>
      <c r="F7" s="49" t="s">
        <v>219</v>
      </c>
      <c r="G7" s="69">
        <v>1</v>
      </c>
      <c r="H7" s="50" t="s">
        <v>189</v>
      </c>
      <c r="I7" s="49" t="s">
        <v>9</v>
      </c>
      <c r="J7" s="49"/>
      <c r="K7" s="99"/>
      <c r="L7" s="128"/>
      <c r="M7" s="130"/>
      <c r="N7" s="132"/>
      <c r="O7" s="134"/>
      <c r="P7" s="134"/>
      <c r="Q7" s="126"/>
    </row>
    <row r="8" spans="1:17">
      <c r="A8" s="49"/>
      <c r="B8" s="49"/>
      <c r="C8" s="49"/>
      <c r="D8" s="49"/>
      <c r="E8" s="49"/>
      <c r="F8" s="49" t="s">
        <v>220</v>
      </c>
      <c r="G8" s="69">
        <v>1</v>
      </c>
      <c r="H8" s="50" t="s">
        <v>189</v>
      </c>
      <c r="I8" s="49" t="s">
        <v>9</v>
      </c>
      <c r="J8" s="49"/>
      <c r="K8" s="99"/>
      <c r="L8" s="128"/>
      <c r="M8" s="130"/>
      <c r="N8" s="132"/>
      <c r="O8" s="134"/>
      <c r="P8" s="134"/>
      <c r="Q8" s="126"/>
    </row>
    <row r="9" spans="1:17">
      <c r="A9" s="49"/>
      <c r="B9" s="49"/>
      <c r="C9" s="49"/>
      <c r="D9" s="49"/>
      <c r="E9" s="49"/>
      <c r="F9" s="74" t="s">
        <v>225</v>
      </c>
      <c r="G9" s="69">
        <v>1</v>
      </c>
      <c r="H9" s="72" t="s">
        <v>189</v>
      </c>
      <c r="I9" s="71" t="s">
        <v>9</v>
      </c>
      <c r="J9" s="49"/>
      <c r="K9" s="99"/>
      <c r="L9" s="128"/>
      <c r="M9" s="130"/>
      <c r="N9" s="132"/>
      <c r="O9" s="134"/>
      <c r="P9" s="134"/>
      <c r="Q9" s="126"/>
    </row>
    <row r="10" spans="1:17">
      <c r="A10" s="49"/>
      <c r="B10" s="49"/>
      <c r="C10" s="49"/>
      <c r="D10" s="49"/>
      <c r="E10" s="49"/>
      <c r="F10" s="74" t="s">
        <v>226</v>
      </c>
      <c r="G10" s="69">
        <v>0.08</v>
      </c>
      <c r="H10" s="72" t="s">
        <v>189</v>
      </c>
      <c r="I10" s="71" t="s">
        <v>9</v>
      </c>
      <c r="J10" s="49"/>
      <c r="K10" s="99"/>
      <c r="L10" s="128"/>
      <c r="M10" s="130"/>
      <c r="N10" s="132"/>
      <c r="O10" s="134"/>
      <c r="P10" s="134"/>
      <c r="Q10" s="126"/>
    </row>
    <row r="11" spans="1:17">
      <c r="A11" s="49"/>
      <c r="B11" s="49"/>
      <c r="C11" s="49"/>
      <c r="D11" s="49"/>
      <c r="E11" s="49"/>
      <c r="F11" s="49" t="s">
        <v>221</v>
      </c>
      <c r="G11" s="69">
        <v>1</v>
      </c>
      <c r="H11" s="50" t="s">
        <v>189</v>
      </c>
      <c r="I11" s="49" t="s">
        <v>9</v>
      </c>
      <c r="J11" s="49"/>
      <c r="K11" s="99"/>
      <c r="L11" s="128"/>
      <c r="M11" s="130"/>
      <c r="N11" s="132"/>
      <c r="O11" s="134"/>
      <c r="P11" s="134"/>
      <c r="Q11" s="126"/>
    </row>
    <row r="12" spans="1:17">
      <c r="A12" s="49"/>
      <c r="B12" s="49"/>
      <c r="C12" s="49"/>
      <c r="D12" s="49"/>
      <c r="E12" s="49"/>
      <c r="F12" s="49" t="s">
        <v>222</v>
      </c>
      <c r="G12" s="69">
        <v>2</v>
      </c>
      <c r="H12" s="50" t="s">
        <v>189</v>
      </c>
      <c r="I12" s="49" t="s">
        <v>9</v>
      </c>
      <c r="J12" s="49"/>
      <c r="K12" s="99"/>
      <c r="L12" s="129"/>
      <c r="M12" s="130"/>
      <c r="N12" s="132"/>
      <c r="O12" s="134"/>
      <c r="P12" s="134"/>
      <c r="Q12" s="126"/>
    </row>
    <row r="13" spans="1:17">
      <c r="A13" s="49"/>
      <c r="B13" s="49"/>
      <c r="C13" s="49"/>
      <c r="D13" s="49"/>
      <c r="E13" s="49"/>
      <c r="F13" s="101" t="s">
        <v>223</v>
      </c>
      <c r="G13" s="69">
        <v>1</v>
      </c>
      <c r="H13" s="50" t="s">
        <v>189</v>
      </c>
      <c r="I13" s="49" t="s">
        <v>9</v>
      </c>
      <c r="J13" s="49"/>
      <c r="K13" s="99"/>
      <c r="L13" s="109">
        <f>Q13*87</f>
        <v>3.915</v>
      </c>
      <c r="M13" s="113">
        <f>L13*G13</f>
        <v>3.915</v>
      </c>
      <c r="N13" s="110">
        <f>0.06/2</f>
        <v>0.03</v>
      </c>
      <c r="O13" s="111">
        <v>0.5</v>
      </c>
      <c r="P13" s="111"/>
      <c r="Q13" s="112">
        <f>N13+(N13*(O13+P13))</f>
        <v>4.4999999999999998E-2</v>
      </c>
    </row>
    <row r="14" spans="1:17">
      <c r="A14" s="49"/>
      <c r="B14" s="49"/>
      <c r="C14" s="49"/>
      <c r="D14" s="49"/>
      <c r="E14" s="49"/>
      <c r="F14" s="49" t="s">
        <v>224</v>
      </c>
      <c r="G14" s="69">
        <v>0.12</v>
      </c>
      <c r="H14" s="50" t="s">
        <v>189</v>
      </c>
      <c r="I14" s="49" t="s">
        <v>9</v>
      </c>
      <c r="J14" s="49"/>
      <c r="K14" s="99"/>
      <c r="L14" s="100">
        <f>5.7/1000*120</f>
        <v>0.68400000000000005</v>
      </c>
      <c r="M14" s="100">
        <f t="shared" ref="M14:M18" si="0">L14*G14</f>
        <v>8.208E-2</v>
      </c>
    </row>
    <row r="15" spans="1:17">
      <c r="A15" s="49"/>
      <c r="B15" s="49"/>
      <c r="C15" s="49"/>
      <c r="D15" s="49"/>
      <c r="E15" s="49"/>
      <c r="F15" s="82" t="str">
        <f>CONCATENATE(D17)</f>
        <v>NGWB05N30I BOM LED PCB</v>
      </c>
      <c r="G15" s="96">
        <v>1</v>
      </c>
      <c r="H15" s="50" t="s">
        <v>537</v>
      </c>
      <c r="I15" s="49" t="s">
        <v>9</v>
      </c>
      <c r="J15" s="49"/>
      <c r="K15" s="99"/>
      <c r="L15" s="100">
        <v>0</v>
      </c>
      <c r="M15" s="100">
        <f t="shared" si="0"/>
        <v>0</v>
      </c>
    </row>
    <row r="16" spans="1:17">
      <c r="A16" s="49"/>
      <c r="B16" s="49"/>
      <c r="C16" s="49"/>
      <c r="D16" s="49"/>
      <c r="E16" s="92"/>
      <c r="F16" s="78" t="str">
        <f>'Backend data'!H6</f>
        <v>PS 4W 300mA 12V Dali Magnetic Single Colour</v>
      </c>
      <c r="G16" s="79">
        <v>1</v>
      </c>
      <c r="H16" s="80" t="s">
        <v>538</v>
      </c>
      <c r="I16" s="78" t="s">
        <v>9</v>
      </c>
      <c r="J16" s="78"/>
      <c r="K16" s="79"/>
      <c r="L16" s="100">
        <v>0</v>
      </c>
      <c r="M16" s="100">
        <f>L16*G16</f>
        <v>0</v>
      </c>
      <c r="N16" s="118" t="s">
        <v>554</v>
      </c>
    </row>
    <row r="17" spans="1:17">
      <c r="A17" s="92" t="str">
        <f>CONCATENATE(D17)</f>
        <v>NGWB05N30I BOM LED PCB</v>
      </c>
      <c r="B17" s="92" t="s">
        <v>536</v>
      </c>
      <c r="C17" s="92" t="s">
        <v>422</v>
      </c>
      <c r="D17" s="78" t="str">
        <f>CONCATENATE('Backend data'!G5," ",'Backend data'!G10)</f>
        <v>NGWB05N30I BOM LED PCB</v>
      </c>
      <c r="E17" s="92"/>
      <c r="F17" s="93" t="s">
        <v>227</v>
      </c>
      <c r="G17" s="94">
        <v>1</v>
      </c>
      <c r="H17" s="95" t="s">
        <v>191</v>
      </c>
      <c r="I17" s="93" t="s">
        <v>9</v>
      </c>
      <c r="J17" s="93"/>
      <c r="K17" s="79"/>
      <c r="L17" s="100">
        <v>0</v>
      </c>
      <c r="M17" s="100">
        <f t="shared" si="0"/>
        <v>0</v>
      </c>
      <c r="N17" s="118" t="s">
        <v>553</v>
      </c>
    </row>
    <row r="18" spans="1:17">
      <c r="A18" s="49"/>
      <c r="B18" s="49"/>
      <c r="C18" s="49"/>
      <c r="D18" s="49"/>
      <c r="E18" s="49"/>
      <c r="F18" s="93" t="str">
        <f>'Backend data'!G6</f>
        <v>LED SMD 3535 12V 350MA 3000K</v>
      </c>
      <c r="G18" s="94">
        <v>1</v>
      </c>
      <c r="H18" s="95" t="s">
        <v>191</v>
      </c>
      <c r="I18" s="93" t="s">
        <v>9</v>
      </c>
      <c r="J18" s="93"/>
      <c r="K18" s="99"/>
      <c r="L18" s="100">
        <f>Q18*87</f>
        <v>28.057500000000001</v>
      </c>
      <c r="M18" s="100">
        <f t="shared" si="0"/>
        <v>28.057500000000001</v>
      </c>
      <c r="N18" s="116">
        <f>0.215</f>
        <v>0.215</v>
      </c>
      <c r="O18" s="117">
        <v>0.5</v>
      </c>
      <c r="P18" s="117"/>
      <c r="Q18" s="115">
        <f>N18+(N18*(O18+P18))</f>
        <v>0.32250000000000001</v>
      </c>
    </row>
    <row r="19" spans="1:17" ht="29.25" customHeight="1" thickBot="1">
      <c r="M19" s="107">
        <f>SUM(M2:M18)</f>
        <v>408.41658000000001</v>
      </c>
    </row>
    <row r="20" spans="1:17" ht="15.75" thickTop="1"/>
    <row r="21" spans="1:17" ht="24.75" customHeight="1">
      <c r="K21" s="119" t="s">
        <v>542</v>
      </c>
      <c r="L21" s="120"/>
      <c r="M21" s="102">
        <f>M19+24</f>
        <v>432.41658000000001</v>
      </c>
    </row>
    <row r="22" spans="1:17" ht="24.75" customHeight="1">
      <c r="K22" s="121" t="s">
        <v>543</v>
      </c>
      <c r="L22" s="122"/>
      <c r="M22" s="108">
        <f>((M19)+(Q22*86))</f>
        <v>923.51358000000005</v>
      </c>
      <c r="N22" s="110">
        <v>3.9929999999999999</v>
      </c>
      <c r="O22" s="111">
        <v>0.5</v>
      </c>
      <c r="P22" s="111"/>
      <c r="Q22" s="112">
        <f>N22+(N22*(O22+P22))</f>
        <v>5.9894999999999996</v>
      </c>
    </row>
    <row r="23" spans="1:17" ht="24.75" customHeight="1">
      <c r="K23" s="123" t="s">
        <v>544</v>
      </c>
      <c r="L23" s="124"/>
      <c r="M23" s="108">
        <f>((M19)+(Q23*86))</f>
        <v>737.23757999999998</v>
      </c>
      <c r="N23" s="116">
        <v>2.5489999999999999</v>
      </c>
      <c r="O23" s="117">
        <v>0.5</v>
      </c>
      <c r="P23" s="117"/>
      <c r="Q23" s="115">
        <f>N23+(N23*(O23+P23))</f>
        <v>3.8235000000000001</v>
      </c>
    </row>
  </sheetData>
  <mergeCells count="9">
    <mergeCell ref="K21:L21"/>
    <mergeCell ref="K22:L22"/>
    <mergeCell ref="K23:L23"/>
    <mergeCell ref="Q2:Q12"/>
    <mergeCell ref="L2:L12"/>
    <mergeCell ref="M2:M12"/>
    <mergeCell ref="N2:N12"/>
    <mergeCell ref="O2:O12"/>
    <mergeCell ref="P2:P12"/>
  </mergeCells>
  <conditionalFormatting sqref="F1 F25:F1048576 F5:F12 F16">
    <cfRule type="containsText" dxfId="4" priority="9" operator="containsText" text="PS-">
      <formula>NOT(ISERROR(SEARCH("PS-",F1)))</formula>
    </cfRule>
    <cfRule type="containsText" dxfId="3" priority="12" operator="containsText" text="COB-">
      <formula>NOT(ISERROR(SEARCH("COB-",F1)))</formula>
    </cfRule>
    <cfRule type="containsText" dxfId="2" priority="14" operator="containsText" text="TRIM">
      <formula>NOT(ISERROR(SEARCH("TRIM",F1)))</formula>
    </cfRule>
  </conditionalFormatting>
  <conditionalFormatting sqref="F1:G1 F5:F8 F11:F12 F25:G1048576 F9:G10 F16:G16">
    <cfRule type="containsText" dxfId="1" priority="8" operator="containsText" text="REFLECTOR">
      <formula>NOT(ISERROR(SEARCH("REFLECTOR",F1)))</formula>
    </cfRule>
  </conditionalFormatting>
  <pageMargins left="0.69930555555555995" right="0.69930555555555995" top="0.75" bottom="0.75" header="0.3" footer="0.3"/>
  <pageSetup orientation="portrait" verticalDpi="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6" id="{083CFDB7-B029-45DB-A028-8E8ABB73F9A6}">
            <xm:f>$F:$F='Backend data'!$C$2:$H$2</xm:f>
            <x14:dxf>
              <fill>
                <patternFill>
                  <bgColor theme="7" tint="0.59996337778862885"/>
                </patternFill>
              </fill>
            </x14:dxf>
          </x14:cfRule>
          <xm:sqref>G16 G9 F1:G1 F25:G1048576 F10:G10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>
          <x14:formula1>
            <xm:f>Result!$B$2:$B$145</xm:f>
          </x14:formula1>
          <xm:sqref>D2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R368"/>
  <sheetViews>
    <sheetView workbookViewId="0">
      <pane ySplit="1" topLeftCell="A2" activePane="bottomLeft" state="frozen"/>
      <selection pane="bottomLeft" activeCell="B6" sqref="B6"/>
    </sheetView>
  </sheetViews>
  <sheetFormatPr defaultColWidth="8.7109375" defaultRowHeight="12.75"/>
  <cols>
    <col min="1" max="1" width="30.140625" style="1" customWidth="1"/>
    <col min="2" max="3" width="23.42578125" style="1" customWidth="1"/>
    <col min="4" max="4" width="5.85546875" style="2" customWidth="1"/>
    <col min="5" max="11" width="8.7109375" style="2"/>
    <col min="12" max="12" width="6.140625" style="2" customWidth="1"/>
    <col min="13" max="18" width="8.7109375" style="2"/>
    <col min="19" max="16384" width="8.7109375" style="1"/>
  </cols>
  <sheetData>
    <row r="1" spans="1:17" ht="15">
      <c r="A1" s="3" t="s">
        <v>10</v>
      </c>
      <c r="B1" s="3" t="s">
        <v>11</v>
      </c>
      <c r="C1" s="3" t="s">
        <v>12</v>
      </c>
      <c r="E1" s="4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</row>
    <row r="2" spans="1:17">
      <c r="A2" s="6" t="s">
        <v>13</v>
      </c>
      <c r="B2" s="7"/>
      <c r="C2" s="8" t="s">
        <v>14</v>
      </c>
      <c r="E2" s="9"/>
      <c r="F2" s="10"/>
      <c r="G2" s="10"/>
      <c r="H2" s="10"/>
      <c r="I2" s="10"/>
      <c r="J2" s="10"/>
      <c r="K2" s="10"/>
      <c r="L2" s="10"/>
      <c r="M2" s="10"/>
      <c r="N2" s="10"/>
      <c r="O2" s="37"/>
      <c r="P2" s="37"/>
      <c r="Q2" s="40"/>
    </row>
    <row r="3" spans="1:17">
      <c r="A3" s="11" t="s">
        <v>0</v>
      </c>
      <c r="B3" s="12" t="s">
        <v>15</v>
      </c>
      <c r="C3" s="13"/>
      <c r="E3" s="14" t="s">
        <v>16</v>
      </c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41"/>
    </row>
    <row r="4" spans="1:17">
      <c r="A4" s="16" t="s">
        <v>17</v>
      </c>
      <c r="B4" s="12" t="s">
        <v>15</v>
      </c>
      <c r="C4" s="13"/>
      <c r="E4" s="17" t="s">
        <v>18</v>
      </c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41"/>
    </row>
    <row r="5" spans="1:17" ht="12.6" customHeight="1">
      <c r="A5" s="16" t="s">
        <v>19</v>
      </c>
      <c r="B5" s="12" t="s">
        <v>15</v>
      </c>
      <c r="C5" s="13"/>
      <c r="E5" s="136" t="s">
        <v>20</v>
      </c>
      <c r="F5" s="137"/>
      <c r="G5" s="137"/>
      <c r="H5" s="137"/>
      <c r="I5" s="137"/>
      <c r="J5" s="137"/>
      <c r="K5" s="137"/>
      <c r="L5" s="137"/>
      <c r="M5" s="137"/>
      <c r="N5" s="137"/>
      <c r="O5" s="137"/>
      <c r="P5" s="137"/>
      <c r="Q5" s="138"/>
    </row>
    <row r="6" spans="1:17" ht="12.6" customHeight="1">
      <c r="A6" s="16" t="s">
        <v>21</v>
      </c>
      <c r="B6" s="12" t="s">
        <v>15</v>
      </c>
      <c r="C6" s="13"/>
      <c r="E6" s="136"/>
      <c r="F6" s="137"/>
      <c r="G6" s="137"/>
      <c r="H6" s="137"/>
      <c r="I6" s="137"/>
      <c r="J6" s="137"/>
      <c r="K6" s="137"/>
      <c r="L6" s="137"/>
      <c r="M6" s="137"/>
      <c r="N6" s="137"/>
      <c r="O6" s="137"/>
      <c r="P6" s="137"/>
      <c r="Q6" s="138"/>
    </row>
    <row r="7" spans="1:17" ht="12.6" customHeight="1">
      <c r="A7" s="16" t="s">
        <v>22</v>
      </c>
      <c r="B7" s="12" t="s">
        <v>15</v>
      </c>
      <c r="C7" s="13"/>
      <c r="E7" s="136"/>
      <c r="F7" s="137"/>
      <c r="G7" s="137"/>
      <c r="H7" s="137"/>
      <c r="I7" s="137"/>
      <c r="J7" s="137"/>
      <c r="K7" s="137"/>
      <c r="L7" s="137"/>
      <c r="M7" s="137"/>
      <c r="N7" s="137"/>
      <c r="O7" s="137"/>
      <c r="P7" s="137"/>
      <c r="Q7" s="138"/>
    </row>
    <row r="8" spans="1:17" ht="12.6" customHeight="1">
      <c r="A8" s="16" t="s">
        <v>23</v>
      </c>
      <c r="B8" s="12" t="s">
        <v>15</v>
      </c>
      <c r="C8" s="13"/>
      <c r="E8" s="136"/>
      <c r="F8" s="137"/>
      <c r="G8" s="137"/>
      <c r="H8" s="137"/>
      <c r="I8" s="137"/>
      <c r="J8" s="137"/>
      <c r="K8" s="137"/>
      <c r="L8" s="137"/>
      <c r="M8" s="137"/>
      <c r="N8" s="137"/>
      <c r="O8" s="137"/>
      <c r="P8" s="137"/>
      <c r="Q8" s="138"/>
    </row>
    <row r="9" spans="1:17" ht="12.95" customHeight="1">
      <c r="A9" s="16" t="s">
        <v>24</v>
      </c>
      <c r="B9" s="12" t="s">
        <v>15</v>
      </c>
      <c r="C9" s="13"/>
      <c r="E9" s="136"/>
      <c r="F9" s="137"/>
      <c r="G9" s="137"/>
      <c r="H9" s="137"/>
      <c r="I9" s="137"/>
      <c r="J9" s="137"/>
      <c r="K9" s="137"/>
      <c r="L9" s="137"/>
      <c r="M9" s="137"/>
      <c r="N9" s="137"/>
      <c r="O9" s="137"/>
      <c r="P9" s="137"/>
      <c r="Q9" s="138"/>
    </row>
    <row r="10" spans="1:17">
      <c r="A10" s="16" t="s">
        <v>25</v>
      </c>
      <c r="B10" s="12" t="s">
        <v>15</v>
      </c>
      <c r="C10" s="13"/>
      <c r="E10" s="18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41"/>
    </row>
    <row r="11" spans="1:17">
      <c r="A11" s="16" t="s">
        <v>26</v>
      </c>
      <c r="B11" s="12" t="s">
        <v>15</v>
      </c>
      <c r="C11" s="13"/>
      <c r="E11" s="17" t="s">
        <v>27</v>
      </c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41"/>
    </row>
    <row r="12" spans="1:17">
      <c r="A12" s="16" t="s">
        <v>28</v>
      </c>
      <c r="B12" s="12" t="s">
        <v>15</v>
      </c>
      <c r="C12" s="13"/>
      <c r="E12" s="19" t="s">
        <v>29</v>
      </c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42"/>
    </row>
    <row r="13" spans="1:17">
      <c r="A13" s="16" t="s">
        <v>30</v>
      </c>
      <c r="B13" s="12" t="s">
        <v>15</v>
      </c>
      <c r="C13" s="13"/>
      <c r="E13" s="21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41"/>
    </row>
    <row r="14" spans="1:17" ht="15">
      <c r="A14" s="16" t="s">
        <v>31</v>
      </c>
      <c r="B14" s="12" t="s">
        <v>15</v>
      </c>
      <c r="C14" s="13"/>
      <c r="E14" s="22" t="s">
        <v>32</v>
      </c>
      <c r="F14" s="23"/>
      <c r="G14" s="23"/>
      <c r="H14" s="23"/>
      <c r="I14" s="23"/>
      <c r="J14" s="23"/>
      <c r="K14" s="23"/>
      <c r="L14" s="23"/>
      <c r="M14" s="38" t="s">
        <v>33</v>
      </c>
      <c r="N14" s="15"/>
      <c r="O14" s="15"/>
      <c r="P14" s="15"/>
      <c r="Q14" s="41"/>
    </row>
    <row r="15" spans="1:17" ht="15">
      <c r="A15" s="16" t="s">
        <v>34</v>
      </c>
      <c r="B15" s="12" t="s">
        <v>15</v>
      </c>
      <c r="C15" s="24" t="s">
        <v>35</v>
      </c>
      <c r="E15" s="2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43"/>
    </row>
    <row r="16" spans="1:17">
      <c r="A16" s="16" t="s">
        <v>36</v>
      </c>
      <c r="B16" s="12" t="s">
        <v>15</v>
      </c>
      <c r="C16" s="13"/>
      <c r="E16" s="26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44"/>
    </row>
    <row r="17" spans="1:17" ht="15">
      <c r="A17" s="16" t="s">
        <v>37</v>
      </c>
      <c r="B17" s="12" t="s">
        <v>15</v>
      </c>
      <c r="C17" s="13"/>
      <c r="E17" s="28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</row>
    <row r="18" spans="1:17" ht="15">
      <c r="A18" s="16" t="s">
        <v>38</v>
      </c>
      <c r="B18" s="12" t="s">
        <v>15</v>
      </c>
      <c r="C18" s="13"/>
      <c r="E18" s="29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</row>
    <row r="19" spans="1:17">
      <c r="A19" s="16" t="s">
        <v>39</v>
      </c>
      <c r="B19" s="12" t="s">
        <v>15</v>
      </c>
      <c r="C19" s="13"/>
      <c r="E19" s="135"/>
      <c r="F19" s="135"/>
      <c r="G19" s="135"/>
      <c r="H19" s="135"/>
      <c r="I19" s="135"/>
      <c r="J19" s="135"/>
      <c r="K19" s="135"/>
      <c r="L19" s="135"/>
      <c r="M19" s="135"/>
      <c r="N19" s="135"/>
      <c r="O19" s="135"/>
      <c r="P19" s="135"/>
      <c r="Q19" s="135"/>
    </row>
    <row r="20" spans="1:17" ht="25.5">
      <c r="A20" s="16" t="s">
        <v>40</v>
      </c>
      <c r="B20" s="12" t="s">
        <v>15</v>
      </c>
      <c r="C20" s="13"/>
      <c r="E20" s="135"/>
      <c r="F20" s="135"/>
      <c r="G20" s="135"/>
      <c r="H20" s="135"/>
      <c r="I20" s="135"/>
      <c r="J20" s="135"/>
      <c r="K20" s="135"/>
      <c r="L20" s="135"/>
      <c r="M20" s="135"/>
      <c r="N20" s="135"/>
      <c r="O20" s="135"/>
      <c r="P20" s="135"/>
      <c r="Q20" s="135"/>
    </row>
    <row r="21" spans="1:17">
      <c r="A21" s="16" t="s">
        <v>41</v>
      </c>
      <c r="B21" s="12" t="s">
        <v>15</v>
      </c>
      <c r="C21" s="13"/>
      <c r="E21" s="135"/>
      <c r="F21" s="135"/>
      <c r="G21" s="135"/>
      <c r="H21" s="135"/>
      <c r="I21" s="135"/>
      <c r="J21" s="135"/>
      <c r="K21" s="135"/>
      <c r="L21" s="135"/>
      <c r="M21" s="135"/>
      <c r="N21" s="135"/>
      <c r="O21" s="135"/>
      <c r="P21" s="135"/>
      <c r="Q21" s="135"/>
    </row>
    <row r="22" spans="1:17">
      <c r="A22" s="6" t="s">
        <v>42</v>
      </c>
      <c r="B22" s="30"/>
      <c r="C22" s="31"/>
      <c r="E22" s="135"/>
      <c r="F22" s="135"/>
      <c r="G22" s="135"/>
      <c r="H22" s="135"/>
      <c r="I22" s="135"/>
      <c r="J22" s="135"/>
      <c r="K22" s="135"/>
      <c r="L22" s="135"/>
      <c r="M22" s="135"/>
      <c r="N22" s="135"/>
      <c r="O22" s="135"/>
      <c r="P22" s="135"/>
      <c r="Q22" s="135"/>
    </row>
    <row r="23" spans="1:17" ht="38.25">
      <c r="A23" s="16" t="s">
        <v>43</v>
      </c>
      <c r="B23" s="12" t="s">
        <v>44</v>
      </c>
      <c r="C23" s="13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</row>
    <row r="24" spans="1:17" ht="15">
      <c r="A24" s="16" t="s">
        <v>45</v>
      </c>
      <c r="B24" s="12" t="s">
        <v>15</v>
      </c>
      <c r="C24" s="13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</row>
    <row r="25" spans="1:17" ht="15">
      <c r="A25" s="16" t="s">
        <v>46</v>
      </c>
      <c r="B25" s="12" t="s">
        <v>15</v>
      </c>
      <c r="C25" s="13"/>
      <c r="E25" s="29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</row>
    <row r="26" spans="1:17">
      <c r="A26" s="16" t="s">
        <v>47</v>
      </c>
      <c r="B26" s="12" t="s">
        <v>15</v>
      </c>
      <c r="C26" s="1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</row>
    <row r="27" spans="1:17" ht="15">
      <c r="A27" s="16" t="s">
        <v>48</v>
      </c>
      <c r="B27" s="12" t="s">
        <v>15</v>
      </c>
      <c r="C27" s="13"/>
      <c r="E27" s="34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</row>
    <row r="28" spans="1:17" ht="15">
      <c r="A28" s="16" t="s">
        <v>49</v>
      </c>
      <c r="B28" s="12" t="s">
        <v>15</v>
      </c>
      <c r="C28" s="13"/>
      <c r="E28" s="35"/>
      <c r="F28" s="35"/>
      <c r="G28" s="35"/>
      <c r="H28" s="35"/>
      <c r="I28" s="35"/>
      <c r="J28" s="35"/>
      <c r="K28" s="35"/>
      <c r="L28" s="35"/>
      <c r="M28" s="39"/>
      <c r="N28" s="5"/>
      <c r="O28" s="5"/>
      <c r="P28" s="5"/>
      <c r="Q28" s="5"/>
    </row>
    <row r="29" spans="1:17" ht="15">
      <c r="A29" s="16" t="s">
        <v>50</v>
      </c>
      <c r="B29" s="12" t="s">
        <v>15</v>
      </c>
      <c r="C29" s="13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</row>
    <row r="30" spans="1:17" ht="15">
      <c r="A30" s="16" t="s">
        <v>51</v>
      </c>
      <c r="B30" s="12" t="s">
        <v>15</v>
      </c>
      <c r="C30" s="13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</row>
    <row r="31" spans="1:17" ht="38.25">
      <c r="A31" s="16" t="s">
        <v>52</v>
      </c>
      <c r="B31" s="12" t="s">
        <v>53</v>
      </c>
      <c r="C31" s="13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</row>
    <row r="32" spans="1:17" ht="15">
      <c r="A32" s="6" t="s">
        <v>54</v>
      </c>
      <c r="B32" s="30"/>
      <c r="C32" s="31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</row>
    <row r="33" spans="1:3">
      <c r="A33" s="16" t="s">
        <v>55</v>
      </c>
      <c r="B33" s="12" t="s">
        <v>15</v>
      </c>
      <c r="C33" s="13"/>
    </row>
    <row r="34" spans="1:3">
      <c r="A34" s="16" t="s">
        <v>56</v>
      </c>
      <c r="B34" s="12" t="s">
        <v>15</v>
      </c>
      <c r="C34" s="13"/>
    </row>
    <row r="35" spans="1:3">
      <c r="A35" s="16" t="s">
        <v>57</v>
      </c>
      <c r="B35" s="12" t="s">
        <v>15</v>
      </c>
      <c r="C35" s="13"/>
    </row>
    <row r="36" spans="1:3">
      <c r="A36" s="16" t="s">
        <v>58</v>
      </c>
      <c r="B36" s="12" t="s">
        <v>15</v>
      </c>
      <c r="C36" s="13"/>
    </row>
    <row r="37" spans="1:3" ht="76.5">
      <c r="A37" s="16" t="s">
        <v>59</v>
      </c>
      <c r="B37" s="12" t="s">
        <v>15</v>
      </c>
      <c r="C37" s="24" t="s">
        <v>60</v>
      </c>
    </row>
    <row r="38" spans="1:3" ht="38.25">
      <c r="A38" s="16" t="s">
        <v>61</v>
      </c>
      <c r="B38" s="12" t="s">
        <v>15</v>
      </c>
      <c r="C38" s="24" t="s">
        <v>62</v>
      </c>
    </row>
    <row r="39" spans="1:3">
      <c r="A39" s="6" t="s">
        <v>63</v>
      </c>
      <c r="B39" s="30"/>
      <c r="C39" s="31"/>
    </row>
    <row r="40" spans="1:3" ht="25.5">
      <c r="A40" s="16" t="s">
        <v>64</v>
      </c>
      <c r="B40" s="12" t="s">
        <v>15</v>
      </c>
      <c r="C40" s="13"/>
    </row>
    <row r="41" spans="1:3">
      <c r="A41" s="16" t="s">
        <v>65</v>
      </c>
      <c r="B41" s="12" t="s">
        <v>15</v>
      </c>
      <c r="C41" s="13"/>
    </row>
    <row r="42" spans="1:3" ht="25.5">
      <c r="A42" s="16" t="s">
        <v>66</v>
      </c>
      <c r="B42" s="12" t="s">
        <v>15</v>
      </c>
      <c r="C42" s="13"/>
    </row>
    <row r="43" spans="1:3" ht="25.5">
      <c r="A43" s="16" t="s">
        <v>67</v>
      </c>
      <c r="B43" s="12" t="s">
        <v>15</v>
      </c>
      <c r="C43" s="13"/>
    </row>
    <row r="44" spans="1:3">
      <c r="A44" s="16" t="s">
        <v>68</v>
      </c>
      <c r="B44" s="12" t="s">
        <v>15</v>
      </c>
      <c r="C44" s="13"/>
    </row>
    <row r="45" spans="1:3" ht="25.5">
      <c r="A45" s="16" t="s">
        <v>69</v>
      </c>
      <c r="B45" s="12" t="s">
        <v>15</v>
      </c>
      <c r="C45" s="13"/>
    </row>
    <row r="46" spans="1:3">
      <c r="A46" s="6" t="s">
        <v>70</v>
      </c>
      <c r="B46" s="30"/>
      <c r="C46" s="31"/>
    </row>
    <row r="47" spans="1:3">
      <c r="A47" s="16" t="s">
        <v>1</v>
      </c>
      <c r="B47" s="12" t="s">
        <v>15</v>
      </c>
      <c r="C47" s="13"/>
    </row>
    <row r="48" spans="1:3">
      <c r="A48" s="16" t="s">
        <v>2</v>
      </c>
      <c r="B48" s="12" t="s">
        <v>15</v>
      </c>
      <c r="C48" s="13"/>
    </row>
    <row r="49" spans="1:3">
      <c r="A49" s="16" t="s">
        <v>3</v>
      </c>
      <c r="B49" s="12" t="s">
        <v>15</v>
      </c>
      <c r="C49" s="13"/>
    </row>
    <row r="50" spans="1:3">
      <c r="A50" s="16" t="s">
        <v>4</v>
      </c>
      <c r="B50" s="12" t="s">
        <v>15</v>
      </c>
      <c r="C50" s="13"/>
    </row>
    <row r="51" spans="1:3" ht="38.25">
      <c r="A51" s="16" t="s">
        <v>5</v>
      </c>
      <c r="B51" s="12" t="s">
        <v>44</v>
      </c>
      <c r="C51" s="13"/>
    </row>
    <row r="52" spans="1:3" ht="25.5">
      <c r="A52" s="16" t="s">
        <v>6</v>
      </c>
      <c r="B52" s="12" t="s">
        <v>15</v>
      </c>
      <c r="C52" s="36" t="s">
        <v>71</v>
      </c>
    </row>
    <row r="53" spans="1:3">
      <c r="A53" s="16" t="s">
        <v>7</v>
      </c>
      <c r="B53" s="12" t="s">
        <v>15</v>
      </c>
      <c r="C53" s="13"/>
    </row>
    <row r="54" spans="1:3" ht="38.25">
      <c r="A54" s="16" t="s">
        <v>8</v>
      </c>
      <c r="B54" s="12" t="s">
        <v>53</v>
      </c>
      <c r="C54" s="13"/>
    </row>
    <row r="55" spans="1:3" ht="25.5">
      <c r="A55" s="6" t="s">
        <v>72</v>
      </c>
      <c r="B55" s="30"/>
      <c r="C55" s="31"/>
    </row>
    <row r="56" spans="1:3" ht="25.5">
      <c r="A56" s="16" t="s">
        <v>73</v>
      </c>
      <c r="B56" s="12" t="s">
        <v>15</v>
      </c>
      <c r="C56" s="13"/>
    </row>
    <row r="57" spans="1:3" ht="25.5">
      <c r="A57" s="16" t="s">
        <v>74</v>
      </c>
      <c r="B57" s="12" t="s">
        <v>15</v>
      </c>
      <c r="C57" s="13"/>
    </row>
    <row r="58" spans="1:3" ht="25.5">
      <c r="A58" s="16" t="s">
        <v>75</v>
      </c>
      <c r="B58" s="12" t="s">
        <v>15</v>
      </c>
      <c r="C58" s="13"/>
    </row>
    <row r="59" spans="1:3" ht="25.5">
      <c r="A59" s="16" t="s">
        <v>76</v>
      </c>
      <c r="B59" s="12" t="s">
        <v>15</v>
      </c>
      <c r="C59" s="13"/>
    </row>
    <row r="60" spans="1:3">
      <c r="A60" s="16" t="s">
        <v>77</v>
      </c>
      <c r="B60" s="12" t="s">
        <v>78</v>
      </c>
      <c r="C60" s="13"/>
    </row>
    <row r="61" spans="1:3">
      <c r="A61" s="16" t="s">
        <v>79</v>
      </c>
      <c r="B61" s="12" t="s">
        <v>78</v>
      </c>
      <c r="C61" s="13"/>
    </row>
    <row r="62" spans="1:3" ht="63.75">
      <c r="A62" s="16" t="s">
        <v>80</v>
      </c>
      <c r="B62" s="12" t="s">
        <v>81</v>
      </c>
      <c r="C62" s="13"/>
    </row>
    <row r="63" spans="1:3" ht="25.5">
      <c r="A63" s="16" t="s">
        <v>82</v>
      </c>
      <c r="B63" s="12" t="s">
        <v>15</v>
      </c>
      <c r="C63" s="13"/>
    </row>
    <row r="64" spans="1:3" ht="25.5">
      <c r="A64" s="6" t="s">
        <v>83</v>
      </c>
      <c r="B64" s="30"/>
      <c r="C64" s="31"/>
    </row>
    <row r="65" spans="1:3" ht="25.5">
      <c r="A65" s="16" t="s">
        <v>84</v>
      </c>
      <c r="B65" s="12" t="s">
        <v>15</v>
      </c>
      <c r="C65" s="13"/>
    </row>
    <row r="66" spans="1:3" ht="25.5">
      <c r="A66" s="16" t="s">
        <v>85</v>
      </c>
      <c r="B66" s="12" t="s">
        <v>15</v>
      </c>
      <c r="C66" s="13"/>
    </row>
    <row r="67" spans="1:3" ht="25.5">
      <c r="A67" s="16" t="s">
        <v>86</v>
      </c>
      <c r="B67" s="12" t="s">
        <v>15</v>
      </c>
      <c r="C67" s="13"/>
    </row>
    <row r="68" spans="1:3" ht="25.5">
      <c r="A68" s="16" t="s">
        <v>87</v>
      </c>
      <c r="B68" s="12" t="s">
        <v>15</v>
      </c>
      <c r="C68" s="13"/>
    </row>
    <row r="69" spans="1:3">
      <c r="A69" s="16" t="s">
        <v>88</v>
      </c>
      <c r="B69" s="12" t="s">
        <v>78</v>
      </c>
      <c r="C69" s="13"/>
    </row>
    <row r="70" spans="1:3">
      <c r="A70" s="16" t="s">
        <v>89</v>
      </c>
      <c r="B70" s="12" t="s">
        <v>78</v>
      </c>
      <c r="C70" s="13"/>
    </row>
    <row r="71" spans="1:3" ht="63.75">
      <c r="A71" s="16" t="s">
        <v>90</v>
      </c>
      <c r="B71" s="12" t="s">
        <v>81</v>
      </c>
      <c r="C71" s="13"/>
    </row>
    <row r="72" spans="1:3" ht="25.5">
      <c r="A72" s="16" t="s">
        <v>91</v>
      </c>
      <c r="B72" s="12" t="s">
        <v>15</v>
      </c>
      <c r="C72" s="13"/>
    </row>
    <row r="73" spans="1:3">
      <c r="A73" s="6" t="s">
        <v>92</v>
      </c>
      <c r="B73" s="30"/>
      <c r="C73" s="31"/>
    </row>
    <row r="74" spans="1:3">
      <c r="A74" s="16" t="s">
        <v>93</v>
      </c>
      <c r="B74" s="12" t="s">
        <v>78</v>
      </c>
      <c r="C74" s="13"/>
    </row>
    <row r="75" spans="1:3" ht="51">
      <c r="A75" s="16" t="s">
        <v>94</v>
      </c>
      <c r="B75" s="12" t="s">
        <v>78</v>
      </c>
      <c r="C75" s="24" t="s">
        <v>95</v>
      </c>
    </row>
    <row r="76" spans="1:3">
      <c r="A76" s="16" t="s">
        <v>96</v>
      </c>
      <c r="B76" s="12" t="s">
        <v>78</v>
      </c>
      <c r="C76" s="13"/>
    </row>
    <row r="77" spans="1:3">
      <c r="A77" s="16" t="s">
        <v>97</v>
      </c>
      <c r="B77" s="12" t="s">
        <v>78</v>
      </c>
      <c r="C77" s="13"/>
    </row>
    <row r="78" spans="1:3">
      <c r="A78" s="16" t="s">
        <v>98</v>
      </c>
      <c r="B78" s="12" t="s">
        <v>78</v>
      </c>
      <c r="C78" s="13"/>
    </row>
    <row r="79" spans="1:3">
      <c r="A79" s="6" t="s">
        <v>99</v>
      </c>
      <c r="B79" s="30"/>
      <c r="C79" s="31"/>
    </row>
    <row r="80" spans="1:3">
      <c r="A80" s="16" t="s">
        <v>100</v>
      </c>
      <c r="B80" s="12" t="s">
        <v>78</v>
      </c>
      <c r="C80" s="13"/>
    </row>
    <row r="81" spans="1:3" ht="63.75">
      <c r="A81" s="16" t="s">
        <v>101</v>
      </c>
      <c r="B81" s="12" t="s">
        <v>78</v>
      </c>
      <c r="C81" s="24" t="s">
        <v>102</v>
      </c>
    </row>
    <row r="82" spans="1:3">
      <c r="A82" s="16" t="s">
        <v>103</v>
      </c>
      <c r="B82" s="12" t="s">
        <v>78</v>
      </c>
      <c r="C82" s="13"/>
    </row>
    <row r="83" spans="1:3" ht="25.5">
      <c r="A83" s="16" t="s">
        <v>104</v>
      </c>
      <c r="B83" s="12" t="s">
        <v>78</v>
      </c>
      <c r="C83" s="24" t="s">
        <v>105</v>
      </c>
    </row>
    <row r="84" spans="1:3">
      <c r="A84" s="16" t="s">
        <v>106</v>
      </c>
      <c r="B84" s="12" t="s">
        <v>78</v>
      </c>
      <c r="C84" s="13"/>
    </row>
    <row r="85" spans="1:3">
      <c r="A85" s="16" t="s">
        <v>107</v>
      </c>
      <c r="B85" s="12" t="s">
        <v>78</v>
      </c>
      <c r="C85" s="13"/>
    </row>
    <row r="86" spans="1:3">
      <c r="A86" s="16" t="s">
        <v>108</v>
      </c>
      <c r="B86" s="12" t="s">
        <v>78</v>
      </c>
      <c r="C86" s="13"/>
    </row>
    <row r="87" spans="1:3">
      <c r="A87" s="16" t="s">
        <v>109</v>
      </c>
      <c r="B87" s="12" t="s">
        <v>78</v>
      </c>
      <c r="C87" s="13"/>
    </row>
    <row r="88" spans="1:3">
      <c r="A88" s="16" t="s">
        <v>110</v>
      </c>
      <c r="B88" s="12" t="s">
        <v>78</v>
      </c>
      <c r="C88" s="13"/>
    </row>
    <row r="89" spans="1:3">
      <c r="A89" s="16" t="s">
        <v>111</v>
      </c>
      <c r="B89" s="12" t="s">
        <v>78</v>
      </c>
      <c r="C89" s="13"/>
    </row>
    <row r="90" spans="1:3">
      <c r="A90" s="16" t="s">
        <v>112</v>
      </c>
      <c r="B90" s="12" t="s">
        <v>78</v>
      </c>
      <c r="C90" s="13"/>
    </row>
    <row r="91" spans="1:3">
      <c r="A91" s="16" t="s">
        <v>113</v>
      </c>
      <c r="B91" s="12" t="s">
        <v>78</v>
      </c>
      <c r="C91" s="13"/>
    </row>
    <row r="92" spans="1:3">
      <c r="A92" s="16" t="s">
        <v>114</v>
      </c>
      <c r="B92" s="12" t="s">
        <v>78</v>
      </c>
      <c r="C92" s="13"/>
    </row>
    <row r="93" spans="1:3" ht="25.5">
      <c r="A93" s="16" t="s">
        <v>115</v>
      </c>
      <c r="B93" s="12" t="s">
        <v>78</v>
      </c>
      <c r="C93" s="13"/>
    </row>
    <row r="94" spans="1:3" ht="25.5">
      <c r="A94" s="16" t="s">
        <v>116</v>
      </c>
      <c r="B94" s="12" t="s">
        <v>78</v>
      </c>
      <c r="C94" s="13"/>
    </row>
    <row r="95" spans="1:3" ht="25.5">
      <c r="A95" s="16" t="s">
        <v>117</v>
      </c>
      <c r="B95" s="12" t="s">
        <v>78</v>
      </c>
      <c r="C95" s="24" t="s">
        <v>118</v>
      </c>
    </row>
    <row r="96" spans="1:3">
      <c r="A96" s="6" t="s">
        <v>119</v>
      </c>
      <c r="B96" s="30"/>
      <c r="C96" s="31"/>
    </row>
    <row r="97" spans="1:3">
      <c r="A97" s="16" t="s">
        <v>120</v>
      </c>
      <c r="B97" s="12" t="s">
        <v>78</v>
      </c>
      <c r="C97" s="13"/>
    </row>
    <row r="98" spans="1:3">
      <c r="A98" s="16" t="s">
        <v>121</v>
      </c>
      <c r="B98" s="12" t="s">
        <v>78</v>
      </c>
      <c r="C98" s="13"/>
    </row>
    <row r="99" spans="1:3">
      <c r="A99" s="16" t="s">
        <v>122</v>
      </c>
      <c r="B99" s="12" t="s">
        <v>78</v>
      </c>
      <c r="C99" s="13"/>
    </row>
    <row r="100" spans="1:3">
      <c r="A100" s="16" t="s">
        <v>123</v>
      </c>
      <c r="B100" s="12" t="s">
        <v>78</v>
      </c>
      <c r="C100" s="13"/>
    </row>
    <row r="101" spans="1:3">
      <c r="A101" s="16" t="s">
        <v>124</v>
      </c>
      <c r="B101" s="12" t="s">
        <v>78</v>
      </c>
      <c r="C101" s="13"/>
    </row>
    <row r="102" spans="1:3">
      <c r="A102" s="6" t="s">
        <v>125</v>
      </c>
      <c r="B102" s="30"/>
      <c r="C102" s="31"/>
    </row>
    <row r="103" spans="1:3">
      <c r="A103" s="16" t="s">
        <v>126</v>
      </c>
      <c r="B103" s="12" t="s">
        <v>78</v>
      </c>
      <c r="C103" s="13"/>
    </row>
    <row r="104" spans="1:3">
      <c r="A104" s="16" t="s">
        <v>127</v>
      </c>
      <c r="B104" s="12" t="s">
        <v>15</v>
      </c>
      <c r="C104" s="13"/>
    </row>
    <row r="105" spans="1:3">
      <c r="A105" s="6" t="s">
        <v>128</v>
      </c>
      <c r="B105" s="30"/>
      <c r="C105" s="31"/>
    </row>
    <row r="106" spans="1:3">
      <c r="A106" s="16" t="s">
        <v>129</v>
      </c>
      <c r="B106" s="12" t="s">
        <v>15</v>
      </c>
      <c r="C106" s="13"/>
    </row>
    <row r="107" spans="1:3">
      <c r="A107" s="16" t="s">
        <v>130</v>
      </c>
      <c r="B107" s="12" t="s">
        <v>15</v>
      </c>
      <c r="C107" s="13"/>
    </row>
    <row r="108" spans="1:3">
      <c r="A108" s="16" t="s">
        <v>131</v>
      </c>
      <c r="B108" s="12" t="s">
        <v>15</v>
      </c>
      <c r="C108" s="13"/>
    </row>
    <row r="109" spans="1:3">
      <c r="A109" s="16" t="s">
        <v>132</v>
      </c>
      <c r="B109" s="12" t="s">
        <v>15</v>
      </c>
      <c r="C109" s="13"/>
    </row>
    <row r="110" spans="1:3">
      <c r="A110" s="16" t="s">
        <v>133</v>
      </c>
      <c r="B110" s="12" t="s">
        <v>15</v>
      </c>
      <c r="C110" s="13"/>
    </row>
    <row r="111" spans="1:3">
      <c r="A111" s="16" t="s">
        <v>134</v>
      </c>
      <c r="B111" s="12" t="s">
        <v>15</v>
      </c>
      <c r="C111" s="13"/>
    </row>
    <row r="112" spans="1:3">
      <c r="A112" s="6" t="s">
        <v>135</v>
      </c>
      <c r="B112" s="30"/>
      <c r="C112" s="31"/>
    </row>
    <row r="113" spans="1:3">
      <c r="A113" s="16" t="s">
        <v>136</v>
      </c>
      <c r="B113" s="12" t="s">
        <v>15</v>
      </c>
      <c r="C113" s="13"/>
    </row>
    <row r="114" spans="1:3">
      <c r="A114" s="16" t="s">
        <v>137</v>
      </c>
      <c r="B114" s="12" t="s">
        <v>15</v>
      </c>
      <c r="C114" s="13"/>
    </row>
    <row r="115" spans="1:3">
      <c r="A115" s="16" t="s">
        <v>138</v>
      </c>
      <c r="B115" s="12" t="s">
        <v>15</v>
      </c>
      <c r="C115" s="13"/>
    </row>
    <row r="116" spans="1:3">
      <c r="A116" s="6" t="s">
        <v>139</v>
      </c>
      <c r="B116" s="30"/>
      <c r="C116" s="31"/>
    </row>
    <row r="117" spans="1:3" ht="25.5">
      <c r="A117" s="16" t="s">
        <v>140</v>
      </c>
      <c r="B117" s="12" t="s">
        <v>15</v>
      </c>
      <c r="C117" s="13"/>
    </row>
    <row r="118" spans="1:3">
      <c r="A118" s="16" t="s">
        <v>141</v>
      </c>
      <c r="B118" s="12" t="s">
        <v>15</v>
      </c>
      <c r="C118" s="13"/>
    </row>
    <row r="119" spans="1:3">
      <c r="A119" s="16" t="s">
        <v>142</v>
      </c>
      <c r="B119" s="12" t="s">
        <v>15</v>
      </c>
      <c r="C119" s="13"/>
    </row>
    <row r="120" spans="1:3">
      <c r="A120" s="6" t="s">
        <v>143</v>
      </c>
      <c r="B120" s="30"/>
      <c r="C120" s="31"/>
    </row>
    <row r="121" spans="1:3">
      <c r="A121" s="16" t="s">
        <v>144</v>
      </c>
      <c r="B121" s="12" t="s">
        <v>145</v>
      </c>
      <c r="C121" s="13"/>
    </row>
    <row r="122" spans="1:3">
      <c r="A122" s="16" t="s">
        <v>146</v>
      </c>
      <c r="B122" s="12" t="s">
        <v>147</v>
      </c>
      <c r="C122" s="13"/>
    </row>
    <row r="123" spans="1:3">
      <c r="A123" s="6" t="s">
        <v>148</v>
      </c>
      <c r="B123" s="30"/>
      <c r="C123" s="31"/>
    </row>
    <row r="124" spans="1:3">
      <c r="A124" s="16" t="s">
        <v>149</v>
      </c>
      <c r="B124" s="12" t="s">
        <v>78</v>
      </c>
      <c r="C124" s="13"/>
    </row>
    <row r="125" spans="1:3">
      <c r="A125" s="16" t="s">
        <v>150</v>
      </c>
      <c r="B125" s="12" t="s">
        <v>78</v>
      </c>
      <c r="C125" s="13"/>
    </row>
    <row r="126" spans="1:3" ht="25.5">
      <c r="A126" s="6" t="s">
        <v>151</v>
      </c>
      <c r="B126" s="30"/>
      <c r="C126" s="31"/>
    </row>
    <row r="127" spans="1:3">
      <c r="A127" s="16" t="s">
        <v>152</v>
      </c>
      <c r="B127" s="12" t="s">
        <v>78</v>
      </c>
      <c r="C127" s="13"/>
    </row>
    <row r="128" spans="1:3">
      <c r="A128" s="16" t="s">
        <v>153</v>
      </c>
      <c r="B128" s="12" t="s">
        <v>78</v>
      </c>
      <c r="C128" s="13"/>
    </row>
    <row r="129" spans="1:3">
      <c r="A129" s="6" t="s">
        <v>154</v>
      </c>
      <c r="B129" s="30"/>
      <c r="C129" s="31"/>
    </row>
    <row r="130" spans="1:3" ht="51">
      <c r="A130" s="16" t="s">
        <v>155</v>
      </c>
      <c r="B130" s="45" t="s">
        <v>156</v>
      </c>
      <c r="C130" s="13"/>
    </row>
    <row r="131" spans="1:3" ht="51">
      <c r="A131" s="16" t="s">
        <v>157</v>
      </c>
      <c r="B131" s="45" t="s">
        <v>156</v>
      </c>
      <c r="C131" s="13"/>
    </row>
    <row r="132" spans="1:3" ht="51">
      <c r="A132" s="16" t="s">
        <v>158</v>
      </c>
      <c r="B132" s="45" t="s">
        <v>156</v>
      </c>
      <c r="C132" s="13"/>
    </row>
    <row r="133" spans="1:3" ht="38.25">
      <c r="A133" s="16" t="s">
        <v>159</v>
      </c>
      <c r="B133" s="45" t="s">
        <v>160</v>
      </c>
      <c r="C133" s="13"/>
    </row>
    <row r="134" spans="1:3">
      <c r="A134" s="16" t="s">
        <v>161</v>
      </c>
      <c r="B134" s="45" t="s">
        <v>162</v>
      </c>
      <c r="C134" s="13"/>
    </row>
    <row r="135" spans="1:3">
      <c r="A135" s="16" t="s">
        <v>163</v>
      </c>
      <c r="B135" s="45" t="s">
        <v>164</v>
      </c>
      <c r="C135" s="13"/>
    </row>
    <row r="136" spans="1:3">
      <c r="A136" s="16" t="s">
        <v>165</v>
      </c>
      <c r="B136" s="45" t="s">
        <v>166</v>
      </c>
      <c r="C136" s="13"/>
    </row>
    <row r="137" spans="1:3">
      <c r="A137" s="16" t="s">
        <v>167</v>
      </c>
      <c r="B137" s="45" t="s">
        <v>168</v>
      </c>
      <c r="C137" s="13"/>
    </row>
    <row r="138" spans="1:3">
      <c r="A138" s="16" t="s">
        <v>169</v>
      </c>
      <c r="B138" s="45" t="s">
        <v>170</v>
      </c>
      <c r="C138" s="13"/>
    </row>
    <row r="139" spans="1:3">
      <c r="A139" s="16" t="s">
        <v>171</v>
      </c>
      <c r="B139" s="45" t="s">
        <v>170</v>
      </c>
      <c r="C139" s="13"/>
    </row>
    <row r="140" spans="1:3">
      <c r="A140" s="16" t="s">
        <v>172</v>
      </c>
      <c r="B140" s="45" t="s">
        <v>170</v>
      </c>
      <c r="C140" s="13"/>
    </row>
    <row r="141" spans="1:3">
      <c r="A141" s="6" t="s">
        <v>173</v>
      </c>
      <c r="B141" s="30"/>
      <c r="C141" s="31"/>
    </row>
    <row r="142" spans="1:3">
      <c r="A142" s="16" t="s">
        <v>174</v>
      </c>
      <c r="B142" s="12" t="s">
        <v>15</v>
      </c>
      <c r="C142" s="13"/>
    </row>
    <row r="143" spans="1:3">
      <c r="A143" s="16" t="s">
        <v>175</v>
      </c>
      <c r="B143" s="12" t="s">
        <v>15</v>
      </c>
      <c r="C143" s="13"/>
    </row>
    <row r="144" spans="1:3">
      <c r="A144" s="6" t="s">
        <v>176</v>
      </c>
      <c r="B144" s="30"/>
      <c r="C144" s="31"/>
    </row>
    <row r="145" spans="1:3">
      <c r="A145" s="16" t="s">
        <v>177</v>
      </c>
      <c r="B145" s="12" t="s">
        <v>15</v>
      </c>
      <c r="C145" s="13"/>
    </row>
    <row r="146" spans="1:3">
      <c r="A146" s="16" t="s">
        <v>178</v>
      </c>
      <c r="B146" s="12" t="s">
        <v>15</v>
      </c>
      <c r="C146" s="13"/>
    </row>
    <row r="147" spans="1:3">
      <c r="A147" s="16" t="s">
        <v>179</v>
      </c>
      <c r="B147" s="12" t="s">
        <v>15</v>
      </c>
      <c r="C147" s="13"/>
    </row>
    <row r="148" spans="1:3">
      <c r="A148" s="16" t="s">
        <v>180</v>
      </c>
      <c r="B148" s="12" t="s">
        <v>15</v>
      </c>
      <c r="C148" s="13"/>
    </row>
    <row r="149" spans="1:3">
      <c r="A149" s="16" t="s">
        <v>181</v>
      </c>
      <c r="B149" s="12" t="s">
        <v>15</v>
      </c>
      <c r="C149" s="13"/>
    </row>
    <row r="150" spans="1:3">
      <c r="A150" s="16" t="s">
        <v>182</v>
      </c>
      <c r="B150" s="12" t="s">
        <v>15</v>
      </c>
      <c r="C150" s="13"/>
    </row>
    <row r="151" spans="1:3">
      <c r="A151" s="16" t="s">
        <v>183</v>
      </c>
      <c r="B151" s="12" t="s">
        <v>15</v>
      </c>
      <c r="C151" s="13"/>
    </row>
    <row r="152" spans="1:3">
      <c r="A152" s="16" t="s">
        <v>184</v>
      </c>
      <c r="B152" s="12" t="s">
        <v>15</v>
      </c>
      <c r="C152" s="13"/>
    </row>
    <row r="153" spans="1:3">
      <c r="A153" s="16" t="s">
        <v>185</v>
      </c>
      <c r="B153" s="12" t="s">
        <v>15</v>
      </c>
      <c r="C153" s="13"/>
    </row>
    <row r="154" spans="1:3">
      <c r="A154" s="16" t="s">
        <v>186</v>
      </c>
      <c r="B154" s="12" t="s">
        <v>15</v>
      </c>
      <c r="C154" s="13"/>
    </row>
    <row r="155" spans="1:3" ht="25.5">
      <c r="A155" s="16" t="s">
        <v>187</v>
      </c>
      <c r="B155" s="12" t="s">
        <v>15</v>
      </c>
      <c r="C155" s="13"/>
    </row>
    <row r="156" spans="1:3">
      <c r="A156" s="16" t="s">
        <v>188</v>
      </c>
      <c r="B156" s="12" t="s">
        <v>15</v>
      </c>
      <c r="C156" s="13"/>
    </row>
    <row r="241" spans="5:7" ht="15">
      <c r="E241" s="5"/>
      <c r="F241" s="5"/>
      <c r="G241" s="5"/>
    </row>
    <row r="242" spans="5:7" ht="15">
      <c r="E242" s="5"/>
      <c r="F242" s="5"/>
      <c r="G242" s="5"/>
    </row>
    <row r="243" spans="5:7" ht="15">
      <c r="E243" s="5"/>
      <c r="F243" s="5"/>
      <c r="G243" s="46"/>
    </row>
    <row r="244" spans="5:7" ht="15">
      <c r="E244" s="5"/>
      <c r="F244" s="5"/>
      <c r="G244" s="46"/>
    </row>
    <row r="245" spans="5:7" ht="15">
      <c r="E245" s="5"/>
      <c r="F245" s="5"/>
      <c r="G245" s="46"/>
    </row>
    <row r="246" spans="5:7" ht="15">
      <c r="E246" s="5"/>
      <c r="F246" s="5"/>
      <c r="G246" s="46"/>
    </row>
    <row r="247" spans="5:7" ht="15">
      <c r="E247" s="5"/>
      <c r="F247" s="5"/>
      <c r="G247" s="46"/>
    </row>
    <row r="248" spans="5:7" ht="15">
      <c r="E248" s="5"/>
      <c r="F248" s="5"/>
      <c r="G248" s="46"/>
    </row>
    <row r="249" spans="5:7" ht="15">
      <c r="E249" s="5"/>
      <c r="F249" s="5"/>
      <c r="G249" s="46"/>
    </row>
    <row r="250" spans="5:7" ht="15">
      <c r="E250" s="5"/>
      <c r="F250" s="5"/>
      <c r="G250" s="46"/>
    </row>
    <row r="251" spans="5:7" ht="15">
      <c r="E251" s="5"/>
      <c r="F251" s="5"/>
      <c r="G251" s="46"/>
    </row>
    <row r="252" spans="5:7" ht="15">
      <c r="E252" s="5"/>
      <c r="F252" s="5"/>
      <c r="G252" s="46"/>
    </row>
    <row r="253" spans="5:7" ht="15">
      <c r="E253" s="5"/>
      <c r="F253" s="5"/>
      <c r="G253" s="46"/>
    </row>
    <row r="254" spans="5:7" ht="15">
      <c r="E254" s="5"/>
      <c r="F254" s="5"/>
      <c r="G254" s="46"/>
    </row>
    <row r="255" spans="5:7" ht="15">
      <c r="E255" s="5"/>
      <c r="F255" s="5"/>
      <c r="G255" s="46"/>
    </row>
    <row r="256" spans="5:7" ht="15">
      <c r="E256" s="5"/>
      <c r="F256" s="5"/>
      <c r="G256" s="46"/>
    </row>
    <row r="257" spans="5:7" ht="15">
      <c r="E257" s="5"/>
      <c r="F257" s="5"/>
      <c r="G257" s="46"/>
    </row>
    <row r="258" spans="5:7" ht="15">
      <c r="E258" s="5"/>
      <c r="F258" s="5"/>
      <c r="G258" s="46"/>
    </row>
    <row r="259" spans="5:7" ht="15">
      <c r="E259" s="5"/>
      <c r="F259" s="5"/>
      <c r="G259" s="46"/>
    </row>
    <row r="260" spans="5:7" ht="15">
      <c r="E260" s="5"/>
      <c r="F260" s="5"/>
      <c r="G260" s="46"/>
    </row>
    <row r="261" spans="5:7" ht="15">
      <c r="E261" s="5"/>
      <c r="F261" s="5"/>
      <c r="G261" s="46"/>
    </row>
    <row r="262" spans="5:7" ht="15">
      <c r="E262" s="5"/>
      <c r="F262" s="5"/>
      <c r="G262" s="46"/>
    </row>
    <row r="263" spans="5:7" ht="15">
      <c r="E263" s="5"/>
      <c r="F263" s="5"/>
      <c r="G263" s="46"/>
    </row>
    <row r="264" spans="5:7" ht="15">
      <c r="E264" s="5"/>
      <c r="F264" s="5"/>
      <c r="G264" s="46"/>
    </row>
    <row r="265" spans="5:7" ht="15">
      <c r="E265" s="5"/>
      <c r="F265" s="5"/>
      <c r="G265" s="46"/>
    </row>
    <row r="266" spans="5:7" ht="15">
      <c r="E266" s="5"/>
      <c r="F266" s="5"/>
      <c r="G266" s="5"/>
    </row>
    <row r="267" spans="5:7" ht="15">
      <c r="E267" s="5"/>
      <c r="F267" s="5"/>
      <c r="G267" s="5"/>
    </row>
    <row r="268" spans="5:7" ht="15">
      <c r="E268" s="5"/>
      <c r="F268" s="5"/>
      <c r="G268" s="5"/>
    </row>
    <row r="269" spans="5:7" ht="15">
      <c r="E269" s="5"/>
      <c r="F269" s="5"/>
      <c r="G269" s="5"/>
    </row>
    <row r="270" spans="5:7" ht="15">
      <c r="E270" s="5"/>
      <c r="F270" s="5"/>
      <c r="G270" s="5"/>
    </row>
    <row r="271" spans="5:7" ht="15">
      <c r="E271" s="5"/>
      <c r="F271" s="5"/>
      <c r="G271" s="5"/>
    </row>
    <row r="272" spans="5:7" ht="15">
      <c r="E272" s="5"/>
      <c r="F272" s="5"/>
      <c r="G272" s="5"/>
    </row>
    <row r="353" spans="5:5" ht="15">
      <c r="E353" s="5"/>
    </row>
    <row r="354" spans="5:5" ht="15">
      <c r="E354" s="5"/>
    </row>
    <row r="355" spans="5:5" ht="15">
      <c r="E355" s="5"/>
    </row>
    <row r="356" spans="5:5" ht="15">
      <c r="E356" s="5"/>
    </row>
    <row r="358" spans="5:5" ht="15">
      <c r="E358" s="5"/>
    </row>
    <row r="360" spans="5:5" ht="15">
      <c r="E360" s="5"/>
    </row>
    <row r="362" spans="5:5" ht="15">
      <c r="E362" s="5"/>
    </row>
    <row r="365" spans="5:5" ht="15">
      <c r="E365" s="5"/>
    </row>
    <row r="366" spans="5:5" ht="15">
      <c r="E366" s="5"/>
    </row>
    <row r="367" spans="5:5" ht="15">
      <c r="E367" s="5"/>
    </row>
    <row r="368" spans="5:5" ht="15">
      <c r="E368" s="5"/>
    </row>
  </sheetData>
  <mergeCells count="2">
    <mergeCell ref="E19:Q22"/>
    <mergeCell ref="E5:Q9"/>
  </mergeCells>
  <hyperlinks>
    <hyperlink ref="M14" r:id="rId1"/>
  </hyperlinks>
  <pageMargins left="0.69930555555555995" right="0.69930555555555995" top="0.75" bottom="0.75" header="0.3" footer="0.3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I51"/>
  <sheetViews>
    <sheetView topLeftCell="A6" workbookViewId="0">
      <selection activeCell="C23" sqref="C23"/>
    </sheetView>
  </sheetViews>
  <sheetFormatPr defaultRowHeight="15"/>
  <cols>
    <col min="1" max="1" width="2" customWidth="1"/>
    <col min="2" max="2" width="11.5703125" customWidth="1"/>
    <col min="3" max="3" width="51.140625" style="52" customWidth="1"/>
    <col min="4" max="4" width="20.28515625" customWidth="1"/>
    <col min="5" max="5" width="17.140625" customWidth="1"/>
    <col min="6" max="6" width="23.140625" customWidth="1"/>
    <col min="7" max="7" width="23.28515625" customWidth="1"/>
    <col min="8" max="8" width="21.42578125" style="52" customWidth="1"/>
    <col min="9" max="9" width="12.7109375" customWidth="1"/>
    <col min="11" max="11" width="2.7109375" customWidth="1"/>
    <col min="13" max="13" width="53.5703125" style="52" customWidth="1"/>
    <col min="16" max="16" width="2.28515625" customWidth="1"/>
    <col min="18" max="18" width="51.7109375" style="52" customWidth="1"/>
    <col min="21" max="21" width="1.42578125" customWidth="1"/>
    <col min="22" max="22" width="8.140625" customWidth="1"/>
    <col min="23" max="23" width="58.5703125" customWidth="1"/>
    <col min="26" max="26" width="1.28515625" customWidth="1"/>
    <col min="28" max="28" width="45.28515625" style="52" customWidth="1"/>
    <col min="31" max="31" width="1.7109375" customWidth="1"/>
  </cols>
  <sheetData>
    <row r="1" spans="2:9">
      <c r="C1" s="53"/>
    </row>
    <row r="2" spans="2:9">
      <c r="C2" s="55" t="s">
        <v>196</v>
      </c>
      <c r="D2" s="62" t="s">
        <v>205</v>
      </c>
      <c r="E2" s="56" t="s">
        <v>197</v>
      </c>
      <c r="F2" s="56" t="s">
        <v>198</v>
      </c>
      <c r="G2" s="56" t="s">
        <v>201</v>
      </c>
      <c r="H2" s="55" t="s">
        <v>200</v>
      </c>
      <c r="I2" s="63" t="s">
        <v>206</v>
      </c>
    </row>
    <row r="3" spans="2:9">
      <c r="C3" s="64" t="str">
        <f>MID('Stock Item'!$D$2,4,1)</f>
        <v>B</v>
      </c>
      <c r="D3" s="53" t="str">
        <f>MID('Stock Item'!$D$2,6,1)</f>
        <v>5</v>
      </c>
      <c r="E3" s="64" t="str">
        <f>MID('Stock Item'!$D$2,3,1)</f>
        <v>W</v>
      </c>
      <c r="F3" s="64" t="str">
        <f>MID('Stock Item'!$D$2,5,3)</f>
        <v>05N</v>
      </c>
      <c r="G3" s="52" t="str">
        <f>MID('Stock Item'!$D$2,8,4)</f>
        <v>30I</v>
      </c>
      <c r="H3" s="64" t="str">
        <f>MID('Stock Item'!$D$2,10,10)</f>
        <v>I</v>
      </c>
      <c r="I3" t="str">
        <f>MID('Stock Item'!$D$2,2,1)</f>
        <v>G</v>
      </c>
    </row>
    <row r="4" spans="2:9">
      <c r="D4" s="65" t="str">
        <f>CONCATENATE(F3)</f>
        <v>05N</v>
      </c>
      <c r="G4" s="65" t="str">
        <f>CONCATENATE(G3,"-")</f>
        <v>30I-</v>
      </c>
      <c r="H4" s="52" t="str">
        <f>CONCATENATE($H$3,"-")</f>
        <v>I-</v>
      </c>
    </row>
    <row r="5" spans="2:9">
      <c r="G5" t="str">
        <f>CONCATENATE('Stock Item'!D2)</f>
        <v>NGWB05N30I</v>
      </c>
    </row>
    <row r="6" spans="2:9" ht="45">
      <c r="B6" s="55" t="s">
        <v>202</v>
      </c>
      <c r="C6" s="59" t="str">
        <f>VLOOKUP($C$3,$B$23:$E$72,2,0)</f>
        <v>Trim-O-39 I-27 H-22.6mm 0.3W Black NGWR5W (OUCHI)</v>
      </c>
      <c r="D6" s="58" t="e">
        <f>VLOOKUP($D$4,G23:$J$100,2,0)</f>
        <v>#N/A</v>
      </c>
      <c r="E6" s="58" t="str">
        <f>VLOOKUP($E$3,$L$23:$O$72,2,0)</f>
        <v>Refl-O-29.3 H-13 L-13mm 0.3W White NGWR5W (OUCHI)</v>
      </c>
      <c r="F6" s="58" t="str">
        <f>VLOOKUP($F$3,$Q$23:$T$72,2,0)</f>
        <v>Lens-O-16 H-10.4 L-3.4mm 15°-PC 0.3W NGWR5W (OUCHI)</v>
      </c>
      <c r="G6" s="58" t="str">
        <f>VLOOKUP($G$4,$V$23:$Y$72,2,0)</f>
        <v>LED SMD 3535 12V 350MA 3000K</v>
      </c>
      <c r="H6" s="57" t="str">
        <f>VLOOKUP($H$4,$AA$23:$AD$72,2,0)</f>
        <v>PS 4W 300mA 12V Dali Magnetic Single Colour</v>
      </c>
      <c r="I6" s="57" t="e">
        <f>VLOOKUP($I$3,AF23:$AI$100,2,0)</f>
        <v>#N/A</v>
      </c>
    </row>
    <row r="7" spans="2:9" ht="30">
      <c r="B7" s="55" t="s">
        <v>203</v>
      </c>
      <c r="C7" s="59">
        <f>VLOOKUP($C$3,$B$23:$E$72,4,0)</f>
        <v>0</v>
      </c>
      <c r="D7" s="58" t="e">
        <f>VLOOKUP($D$4,G23:$J$100,4,0)</f>
        <v>#N/A</v>
      </c>
      <c r="E7" s="58">
        <f>VLOOKUP($E$3,$L$23:$O$72,4,0)</f>
        <v>0</v>
      </c>
      <c r="F7" s="58">
        <f>VLOOKUP($F$3,$Q$23:$T$72,4,0)</f>
        <v>0</v>
      </c>
      <c r="G7" s="58">
        <f>VLOOKUP($G$4,$V$23:$Y$72,4,0)</f>
        <v>0</v>
      </c>
      <c r="H7" s="57">
        <f>VLOOKUP($H$4,$AA$23:$AD$72,4,0)</f>
        <v>0</v>
      </c>
      <c r="I7" s="57" t="e">
        <f>VLOOKUP($I$3,$AF$23:$AI$100,4,0)</f>
        <v>#N/A</v>
      </c>
    </row>
    <row r="8" spans="2:9" ht="45">
      <c r="B8" s="60" t="s">
        <v>204</v>
      </c>
      <c r="C8" s="59">
        <f>VLOOKUP($C$3,$B$23:$E$72,3,0)</f>
        <v>0</v>
      </c>
      <c r="D8" s="58" t="e">
        <f>VLOOKUP($D$4,G23:$J$100,3,0)</f>
        <v>#N/A</v>
      </c>
      <c r="E8" s="58">
        <f>VLOOKUP($E$3,$L$23:$O$72,3,0)</f>
        <v>0</v>
      </c>
      <c r="F8" s="58">
        <f>VLOOKUP($F$3,$Q$23:$T$72,3,0)</f>
        <v>0</v>
      </c>
      <c r="G8" s="58">
        <f>VLOOKUP($G$4,$V$23:$Y$72,3,0)</f>
        <v>0</v>
      </c>
      <c r="H8" s="57">
        <f>VLOOKUP($H$4,$AA$23:$AD$72,3,0)</f>
        <v>0</v>
      </c>
      <c r="I8" s="57" t="e">
        <f>VLOOKUP($I$3,$AF$23:$AI$100,3,0)</f>
        <v>#N/A</v>
      </c>
    </row>
    <row r="10" spans="2:9">
      <c r="G10" s="81" t="s">
        <v>421</v>
      </c>
    </row>
    <row r="19" spans="2:35" ht="13.9" customHeight="1"/>
    <row r="21" spans="2:35">
      <c r="B21" s="142" t="s">
        <v>196</v>
      </c>
      <c r="C21" s="143"/>
      <c r="D21" s="143"/>
      <c r="E21" s="143"/>
      <c r="G21" s="142" t="s">
        <v>205</v>
      </c>
      <c r="H21" s="143"/>
      <c r="I21" s="143"/>
      <c r="J21" s="143"/>
      <c r="L21" s="142" t="s">
        <v>197</v>
      </c>
      <c r="M21" s="143"/>
      <c r="N21" s="143"/>
      <c r="O21" s="143"/>
      <c r="Q21" s="142" t="s">
        <v>198</v>
      </c>
      <c r="R21" s="143"/>
      <c r="S21" s="143"/>
      <c r="T21" s="143"/>
      <c r="V21" s="142" t="s">
        <v>199</v>
      </c>
      <c r="W21" s="143"/>
      <c r="X21" s="143"/>
      <c r="Y21" s="143"/>
      <c r="AA21" s="139" t="s">
        <v>200</v>
      </c>
      <c r="AB21" s="140"/>
      <c r="AC21" s="140"/>
      <c r="AD21" s="141"/>
      <c r="AF21" s="139" t="s">
        <v>206</v>
      </c>
      <c r="AG21" s="140"/>
      <c r="AH21" s="140"/>
      <c r="AI21" s="141"/>
    </row>
    <row r="22" spans="2:35">
      <c r="B22" s="51" t="s">
        <v>192</v>
      </c>
      <c r="C22" s="54" t="s">
        <v>193</v>
      </c>
      <c r="D22" s="51" t="s">
        <v>194</v>
      </c>
      <c r="E22" s="51" t="s">
        <v>195</v>
      </c>
      <c r="G22" s="51" t="s">
        <v>192</v>
      </c>
      <c r="H22" s="54" t="s">
        <v>193</v>
      </c>
      <c r="I22" s="51" t="s">
        <v>194</v>
      </c>
      <c r="J22" s="51" t="s">
        <v>195</v>
      </c>
      <c r="L22" s="51" t="s">
        <v>192</v>
      </c>
      <c r="M22" s="54" t="s">
        <v>193</v>
      </c>
      <c r="N22" s="51" t="s">
        <v>194</v>
      </c>
      <c r="O22" s="51" t="s">
        <v>195</v>
      </c>
      <c r="Q22" s="51" t="s">
        <v>192</v>
      </c>
      <c r="R22" s="54" t="s">
        <v>193</v>
      </c>
      <c r="S22" s="51" t="s">
        <v>194</v>
      </c>
      <c r="T22" s="51" t="s">
        <v>195</v>
      </c>
      <c r="V22" s="51" t="s">
        <v>192</v>
      </c>
      <c r="W22" s="51" t="s">
        <v>193</v>
      </c>
      <c r="X22" s="51" t="s">
        <v>194</v>
      </c>
      <c r="Y22" s="51" t="s">
        <v>195</v>
      </c>
      <c r="AA22" s="51" t="s">
        <v>192</v>
      </c>
      <c r="AB22" s="54" t="s">
        <v>193</v>
      </c>
      <c r="AC22" s="51" t="s">
        <v>194</v>
      </c>
      <c r="AD22" s="51" t="s">
        <v>195</v>
      </c>
      <c r="AF22" s="51" t="s">
        <v>192</v>
      </c>
      <c r="AG22" s="51" t="s">
        <v>193</v>
      </c>
      <c r="AH22" s="51" t="s">
        <v>194</v>
      </c>
      <c r="AI22" s="51" t="s">
        <v>195</v>
      </c>
    </row>
    <row r="23" spans="2:35">
      <c r="B23" s="75" t="s">
        <v>207</v>
      </c>
      <c r="C23" s="144" t="s">
        <v>228</v>
      </c>
      <c r="D23" s="49"/>
      <c r="E23" s="49"/>
      <c r="G23" s="61"/>
      <c r="H23" s="50"/>
      <c r="L23" s="50" t="s">
        <v>231</v>
      </c>
      <c r="M23" s="50" t="s">
        <v>232</v>
      </c>
      <c r="Q23" s="50" t="s">
        <v>216</v>
      </c>
      <c r="R23" s="66" t="s">
        <v>247</v>
      </c>
      <c r="V23" s="50" t="s">
        <v>208</v>
      </c>
      <c r="W23" s="114" t="s">
        <v>550</v>
      </c>
      <c r="AA23" s="97" t="s">
        <v>239</v>
      </c>
      <c r="AB23" s="98" t="s">
        <v>539</v>
      </c>
      <c r="AD23" s="47"/>
    </row>
    <row r="24" spans="2:35">
      <c r="B24" s="49" t="s">
        <v>19</v>
      </c>
      <c r="C24" s="49" t="s">
        <v>229</v>
      </c>
      <c r="D24" s="49"/>
      <c r="E24" s="49"/>
      <c r="G24" s="61"/>
      <c r="H24" s="50"/>
      <c r="L24" s="50" t="s">
        <v>19</v>
      </c>
      <c r="M24" s="50" t="s">
        <v>233</v>
      </c>
      <c r="Q24" s="50" t="s">
        <v>215</v>
      </c>
      <c r="R24" s="66" t="s">
        <v>238</v>
      </c>
      <c r="V24" s="50" t="s">
        <v>209</v>
      </c>
      <c r="W24" s="50" t="s">
        <v>551</v>
      </c>
      <c r="AA24" s="97" t="s">
        <v>241</v>
      </c>
      <c r="AB24" s="97" t="s">
        <v>541</v>
      </c>
      <c r="AD24" s="47"/>
    </row>
    <row r="25" spans="2:35" ht="32.25" customHeight="1">
      <c r="B25" s="49" t="s">
        <v>214</v>
      </c>
      <c r="C25" s="70" t="s">
        <v>230</v>
      </c>
      <c r="D25" s="49"/>
      <c r="E25" s="49"/>
      <c r="G25" s="61"/>
      <c r="H25" s="50"/>
      <c r="L25" s="50" t="s">
        <v>234</v>
      </c>
      <c r="M25" s="50" t="s">
        <v>235</v>
      </c>
      <c r="Q25" s="50"/>
      <c r="R25" s="50"/>
      <c r="V25" s="50" t="s">
        <v>240</v>
      </c>
      <c r="W25" s="50" t="s">
        <v>552</v>
      </c>
      <c r="AA25" s="97" t="s">
        <v>242</v>
      </c>
      <c r="AB25" s="97" t="s">
        <v>540</v>
      </c>
      <c r="AD25" s="47"/>
    </row>
    <row r="26" spans="2:35">
      <c r="G26" s="61"/>
      <c r="H26" s="50"/>
      <c r="L26" s="50" t="s">
        <v>236</v>
      </c>
      <c r="M26" s="50" t="s">
        <v>237</v>
      </c>
      <c r="R26"/>
      <c r="V26" s="50"/>
      <c r="W26" s="50"/>
      <c r="AA26" s="67"/>
      <c r="AB26" s="66"/>
    </row>
    <row r="27" spans="2:35">
      <c r="R27"/>
      <c r="V27" s="50"/>
      <c r="W27" s="50"/>
      <c r="AA27" s="68"/>
      <c r="AB27" s="66"/>
    </row>
    <row r="28" spans="2:35">
      <c r="V28" s="66" t="s">
        <v>210</v>
      </c>
      <c r="W28" s="50" t="s">
        <v>550</v>
      </c>
      <c r="AA28" s="68"/>
      <c r="AB28" s="66"/>
    </row>
    <row r="29" spans="2:35">
      <c r="V29" s="66" t="s">
        <v>211</v>
      </c>
      <c r="W29" s="50" t="s">
        <v>551</v>
      </c>
    </row>
    <row r="30" spans="2:35">
      <c r="V30" s="66" t="s">
        <v>419</v>
      </c>
      <c r="W30" s="50" t="s">
        <v>552</v>
      </c>
      <c r="AB30"/>
    </row>
    <row r="31" spans="2:35">
      <c r="V31" s="50"/>
      <c r="W31" s="50"/>
      <c r="AB31"/>
    </row>
    <row r="32" spans="2:35">
      <c r="V32" s="50"/>
      <c r="W32" s="50"/>
      <c r="AB32"/>
    </row>
    <row r="33" spans="22:28">
      <c r="V33" s="66" t="s">
        <v>212</v>
      </c>
      <c r="W33" s="50" t="s">
        <v>550</v>
      </c>
      <c r="AB33"/>
    </row>
    <row r="34" spans="22:28">
      <c r="V34" s="66" t="s">
        <v>213</v>
      </c>
      <c r="W34" s="50" t="s">
        <v>551</v>
      </c>
      <c r="AB34"/>
    </row>
    <row r="35" spans="22:28">
      <c r="V35" s="66" t="s">
        <v>420</v>
      </c>
      <c r="W35" s="50" t="s">
        <v>552</v>
      </c>
      <c r="AB35"/>
    </row>
    <row r="36" spans="22:28">
      <c r="V36" s="50"/>
      <c r="W36" s="50"/>
      <c r="AB36"/>
    </row>
    <row r="37" spans="22:28">
      <c r="AB37"/>
    </row>
    <row r="38" spans="22:28">
      <c r="AB38"/>
    </row>
    <row r="39" spans="22:28">
      <c r="AB39"/>
    </row>
    <row r="40" spans="22:28">
      <c r="AB40"/>
    </row>
    <row r="41" spans="22:28">
      <c r="AB41"/>
    </row>
    <row r="42" spans="22:28">
      <c r="AB42"/>
    </row>
    <row r="43" spans="22:28">
      <c r="AB43"/>
    </row>
    <row r="44" spans="22:28">
      <c r="AB44"/>
    </row>
    <row r="45" spans="22:28">
      <c r="AB45"/>
    </row>
    <row r="46" spans="22:28">
      <c r="AB46"/>
    </row>
    <row r="47" spans="22:28">
      <c r="AB47"/>
    </row>
    <row r="48" spans="22:28">
      <c r="AB48"/>
    </row>
    <row r="49" spans="28:28">
      <c r="AB49"/>
    </row>
    <row r="50" spans="28:28">
      <c r="AB50"/>
    </row>
    <row r="51" spans="28:28">
      <c r="AB51"/>
    </row>
  </sheetData>
  <mergeCells count="7">
    <mergeCell ref="AF21:AI21"/>
    <mergeCell ref="B21:E21"/>
    <mergeCell ref="G21:J21"/>
    <mergeCell ref="L21:O21"/>
    <mergeCell ref="Q21:T21"/>
    <mergeCell ref="V21:Y21"/>
    <mergeCell ref="AA21:AD21"/>
  </mergeCells>
  <phoneticPr fontId="2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P145"/>
  <sheetViews>
    <sheetView workbookViewId="0">
      <selection activeCell="C146" sqref="C146"/>
    </sheetView>
  </sheetViews>
  <sheetFormatPr defaultRowHeight="15"/>
  <cols>
    <col min="1" max="1" width="9.140625" style="77"/>
    <col min="2" max="2" width="14.7109375" style="77" bestFit="1" customWidth="1"/>
    <col min="3" max="16384" width="9.140625" style="77"/>
  </cols>
  <sheetData>
    <row r="1" spans="1:16">
      <c r="A1" s="77" t="s">
        <v>248</v>
      </c>
      <c r="C1" s="77" t="s">
        <v>249</v>
      </c>
      <c r="D1" s="77" t="s">
        <v>250</v>
      </c>
      <c r="E1" s="77" t="s">
        <v>251</v>
      </c>
      <c r="F1" s="77" t="s">
        <v>252</v>
      </c>
      <c r="G1" s="77" t="s">
        <v>253</v>
      </c>
      <c r="H1" s="77" t="s">
        <v>254</v>
      </c>
      <c r="I1" s="77" t="s">
        <v>255</v>
      </c>
      <c r="J1" s="77" t="s">
        <v>256</v>
      </c>
      <c r="K1" s="77" t="s">
        <v>257</v>
      </c>
      <c r="L1" s="77" t="s">
        <v>258</v>
      </c>
      <c r="M1" s="77" t="s">
        <v>259</v>
      </c>
      <c r="N1" s="77" t="s">
        <v>260</v>
      </c>
      <c r="O1" s="77" t="s">
        <v>261</v>
      </c>
      <c r="P1" s="77" t="s">
        <v>262</v>
      </c>
    </row>
    <row r="2" spans="1:16">
      <c r="A2" s="77">
        <v>191462</v>
      </c>
      <c r="B2" s="77" t="s">
        <v>375</v>
      </c>
      <c r="C2" s="77" t="s">
        <v>263</v>
      </c>
      <c r="D2" s="77">
        <v>0</v>
      </c>
      <c r="E2" s="77">
        <v>0</v>
      </c>
      <c r="F2" s="77">
        <v>0</v>
      </c>
      <c r="G2" s="77">
        <v>0</v>
      </c>
      <c r="H2" s="77">
        <v>0</v>
      </c>
      <c r="I2" s="77">
        <v>0</v>
      </c>
      <c r="J2" s="77">
        <v>0</v>
      </c>
      <c r="K2" s="77" t="s">
        <v>264</v>
      </c>
      <c r="L2" s="77" t="s">
        <v>265</v>
      </c>
      <c r="M2" s="77" t="s">
        <v>266</v>
      </c>
      <c r="N2" s="77" t="s">
        <v>267</v>
      </c>
      <c r="O2" s="77" t="s">
        <v>268</v>
      </c>
      <c r="P2" s="77" t="s">
        <v>269</v>
      </c>
    </row>
    <row r="3" spans="1:16">
      <c r="A3" s="77">
        <v>191463</v>
      </c>
      <c r="B3" s="77" t="s">
        <v>376</v>
      </c>
      <c r="C3" s="77" t="s">
        <v>263</v>
      </c>
      <c r="D3" s="77">
        <v>0</v>
      </c>
      <c r="E3" s="77">
        <v>0</v>
      </c>
      <c r="F3" s="77">
        <v>0</v>
      </c>
      <c r="G3" s="77">
        <v>0</v>
      </c>
      <c r="H3" s="77">
        <v>0</v>
      </c>
      <c r="I3" s="77">
        <v>0</v>
      </c>
      <c r="J3" s="77">
        <v>0</v>
      </c>
      <c r="K3" s="77" t="s">
        <v>264</v>
      </c>
      <c r="L3" s="77" t="s">
        <v>265</v>
      </c>
      <c r="M3" s="77" t="s">
        <v>266</v>
      </c>
      <c r="N3" s="77" t="s">
        <v>267</v>
      </c>
      <c r="O3" s="77" t="s">
        <v>268</v>
      </c>
      <c r="P3" s="77" t="s">
        <v>270</v>
      </c>
    </row>
    <row r="4" spans="1:16">
      <c r="A4" s="77">
        <v>191464</v>
      </c>
      <c r="B4" s="77" t="s">
        <v>377</v>
      </c>
      <c r="C4" s="77" t="s">
        <v>263</v>
      </c>
      <c r="D4" s="77">
        <v>0</v>
      </c>
      <c r="E4" s="77">
        <v>0</v>
      </c>
      <c r="F4" s="77">
        <v>0</v>
      </c>
      <c r="G4" s="77">
        <v>0</v>
      </c>
      <c r="H4" s="77">
        <v>0</v>
      </c>
      <c r="I4" s="77">
        <v>0</v>
      </c>
      <c r="J4" s="77">
        <v>0</v>
      </c>
      <c r="K4" s="77" t="s">
        <v>264</v>
      </c>
      <c r="L4" s="77" t="s">
        <v>265</v>
      </c>
      <c r="M4" s="77" t="s">
        <v>266</v>
      </c>
      <c r="N4" s="77" t="s">
        <v>267</v>
      </c>
      <c r="O4" s="77" t="s">
        <v>268</v>
      </c>
      <c r="P4" s="77" t="s">
        <v>271</v>
      </c>
    </row>
    <row r="5" spans="1:16">
      <c r="A5" s="77">
        <v>191465</v>
      </c>
      <c r="B5" s="77" t="s">
        <v>381</v>
      </c>
      <c r="C5" s="77" t="s">
        <v>263</v>
      </c>
      <c r="D5" s="77">
        <v>0</v>
      </c>
      <c r="E5" s="77">
        <v>0</v>
      </c>
      <c r="F5" s="77">
        <v>0</v>
      </c>
      <c r="G5" s="77">
        <v>0</v>
      </c>
      <c r="H5" s="77">
        <v>0</v>
      </c>
      <c r="I5" s="77">
        <v>0</v>
      </c>
      <c r="J5" s="77">
        <v>0</v>
      </c>
      <c r="K5" s="77" t="s">
        <v>264</v>
      </c>
      <c r="L5" s="77" t="s">
        <v>265</v>
      </c>
      <c r="M5" s="77" t="s">
        <v>266</v>
      </c>
      <c r="N5" s="77" t="s">
        <v>267</v>
      </c>
      <c r="O5" s="77" t="s">
        <v>268</v>
      </c>
      <c r="P5" s="77" t="s">
        <v>272</v>
      </c>
    </row>
    <row r="6" spans="1:16">
      <c r="A6" s="77">
        <v>191466</v>
      </c>
      <c r="B6" s="77" t="s">
        <v>243</v>
      </c>
      <c r="C6" s="77" t="s">
        <v>263</v>
      </c>
      <c r="D6" s="77">
        <v>0</v>
      </c>
      <c r="E6" s="77">
        <v>0</v>
      </c>
      <c r="F6" s="77">
        <v>0</v>
      </c>
      <c r="G6" s="77">
        <v>0</v>
      </c>
      <c r="H6" s="77">
        <v>0</v>
      </c>
      <c r="I6" s="77">
        <v>0</v>
      </c>
      <c r="J6" s="77">
        <v>0</v>
      </c>
      <c r="K6" s="77" t="s">
        <v>264</v>
      </c>
      <c r="L6" s="77" t="s">
        <v>265</v>
      </c>
      <c r="M6" s="77" t="s">
        <v>273</v>
      </c>
      <c r="N6" s="77" t="s">
        <v>267</v>
      </c>
      <c r="O6" s="77" t="s">
        <v>268</v>
      </c>
      <c r="P6" s="77" t="s">
        <v>269</v>
      </c>
    </row>
    <row r="7" spans="1:16">
      <c r="A7" s="77">
        <v>191467</v>
      </c>
      <c r="B7" s="77" t="s">
        <v>382</v>
      </c>
      <c r="C7" s="77" t="s">
        <v>263</v>
      </c>
      <c r="D7" s="77">
        <v>0</v>
      </c>
      <c r="E7" s="77">
        <v>0</v>
      </c>
      <c r="F7" s="77">
        <v>0</v>
      </c>
      <c r="G7" s="77">
        <v>0</v>
      </c>
      <c r="H7" s="77">
        <v>0</v>
      </c>
      <c r="I7" s="77">
        <v>0</v>
      </c>
      <c r="J7" s="77">
        <v>0</v>
      </c>
      <c r="K7" s="77" t="s">
        <v>264</v>
      </c>
      <c r="L7" s="77" t="s">
        <v>265</v>
      </c>
      <c r="M7" s="77" t="s">
        <v>273</v>
      </c>
      <c r="N7" s="77" t="s">
        <v>267</v>
      </c>
      <c r="O7" s="77" t="s">
        <v>268</v>
      </c>
      <c r="P7" s="77" t="s">
        <v>270</v>
      </c>
    </row>
    <row r="8" spans="1:16">
      <c r="A8" s="77">
        <v>191468</v>
      </c>
      <c r="B8" s="77" t="s">
        <v>383</v>
      </c>
      <c r="D8" s="77">
        <v>0</v>
      </c>
      <c r="E8" s="77">
        <v>0</v>
      </c>
      <c r="F8" s="77">
        <v>0</v>
      </c>
      <c r="G8" s="77">
        <v>0</v>
      </c>
      <c r="H8" s="77">
        <v>0</v>
      </c>
      <c r="I8" s="77">
        <v>0</v>
      </c>
      <c r="J8" s="77">
        <v>0</v>
      </c>
      <c r="K8" s="77" t="s">
        <v>264</v>
      </c>
      <c r="L8" s="77" t="s">
        <v>265</v>
      </c>
      <c r="M8" s="77" t="s">
        <v>273</v>
      </c>
      <c r="N8" s="77" t="s">
        <v>267</v>
      </c>
      <c r="O8" s="77" t="s">
        <v>268</v>
      </c>
      <c r="P8" s="77" t="s">
        <v>271</v>
      </c>
    </row>
    <row r="9" spans="1:16">
      <c r="A9" s="77">
        <v>191469</v>
      </c>
      <c r="B9" s="77" t="s">
        <v>384</v>
      </c>
      <c r="C9" s="77" t="s">
        <v>263</v>
      </c>
      <c r="D9" s="77">
        <v>0</v>
      </c>
      <c r="E9" s="77">
        <v>0</v>
      </c>
      <c r="F9" s="77">
        <v>0</v>
      </c>
      <c r="G9" s="77">
        <v>0</v>
      </c>
      <c r="H9" s="77">
        <v>0</v>
      </c>
      <c r="I9" s="77">
        <v>0</v>
      </c>
      <c r="J9" s="77">
        <v>0</v>
      </c>
      <c r="K9" s="77" t="s">
        <v>264</v>
      </c>
      <c r="L9" s="77" t="s">
        <v>265</v>
      </c>
      <c r="M9" s="77" t="s">
        <v>273</v>
      </c>
      <c r="N9" s="77" t="s">
        <v>267</v>
      </c>
      <c r="O9" s="77" t="s">
        <v>268</v>
      </c>
      <c r="P9" s="77" t="s">
        <v>272</v>
      </c>
    </row>
    <row r="10" spans="1:16">
      <c r="A10" s="77">
        <v>191470</v>
      </c>
      <c r="B10" s="77" t="s">
        <v>385</v>
      </c>
      <c r="C10" s="77" t="s">
        <v>263</v>
      </c>
      <c r="D10" s="77">
        <v>0</v>
      </c>
      <c r="E10" s="77">
        <v>0</v>
      </c>
      <c r="F10" s="77">
        <v>0</v>
      </c>
      <c r="G10" s="77">
        <v>0</v>
      </c>
      <c r="H10" s="77">
        <v>0</v>
      </c>
      <c r="I10" s="77">
        <v>0</v>
      </c>
      <c r="J10" s="77">
        <v>0</v>
      </c>
      <c r="K10" s="77" t="s">
        <v>264</v>
      </c>
      <c r="L10" s="77" t="s">
        <v>265</v>
      </c>
      <c r="M10" s="77" t="s">
        <v>266</v>
      </c>
      <c r="N10" s="77" t="s">
        <v>274</v>
      </c>
      <c r="O10" s="77" t="s">
        <v>268</v>
      </c>
      <c r="P10" s="77" t="s">
        <v>269</v>
      </c>
    </row>
    <row r="11" spans="1:16">
      <c r="A11" s="77">
        <v>191471</v>
      </c>
      <c r="B11" s="77" t="s">
        <v>386</v>
      </c>
      <c r="C11" s="77" t="s">
        <v>263</v>
      </c>
      <c r="D11" s="77">
        <v>0</v>
      </c>
      <c r="E11" s="77">
        <v>0</v>
      </c>
      <c r="F11" s="77">
        <v>0</v>
      </c>
      <c r="G11" s="77">
        <v>0</v>
      </c>
      <c r="H11" s="77">
        <v>0</v>
      </c>
      <c r="I11" s="77">
        <v>0</v>
      </c>
      <c r="J11" s="77">
        <v>0</v>
      </c>
      <c r="K11" s="77" t="s">
        <v>264</v>
      </c>
      <c r="L11" s="77" t="s">
        <v>265</v>
      </c>
      <c r="M11" s="77" t="s">
        <v>266</v>
      </c>
      <c r="N11" s="77" t="s">
        <v>274</v>
      </c>
      <c r="O11" s="77" t="s">
        <v>268</v>
      </c>
      <c r="P11" s="77" t="s">
        <v>270</v>
      </c>
    </row>
    <row r="12" spans="1:16">
      <c r="A12" s="77">
        <v>191472</v>
      </c>
      <c r="B12" s="77" t="s">
        <v>387</v>
      </c>
      <c r="C12" s="77" t="s">
        <v>263</v>
      </c>
      <c r="D12" s="77">
        <v>0</v>
      </c>
      <c r="E12" s="77">
        <v>0</v>
      </c>
      <c r="F12" s="77">
        <v>0</v>
      </c>
      <c r="G12" s="77">
        <v>0</v>
      </c>
      <c r="H12" s="77">
        <v>0</v>
      </c>
      <c r="I12" s="77">
        <v>0</v>
      </c>
      <c r="J12" s="77">
        <v>0</v>
      </c>
      <c r="K12" s="77" t="s">
        <v>264</v>
      </c>
      <c r="L12" s="77" t="s">
        <v>265</v>
      </c>
      <c r="M12" s="77" t="s">
        <v>266</v>
      </c>
      <c r="N12" s="77" t="s">
        <v>274</v>
      </c>
      <c r="O12" s="77" t="s">
        <v>268</v>
      </c>
      <c r="P12" s="77" t="s">
        <v>271</v>
      </c>
    </row>
    <row r="13" spans="1:16">
      <c r="A13" s="77">
        <v>191473</v>
      </c>
      <c r="B13" s="77" t="s">
        <v>388</v>
      </c>
      <c r="C13" s="77" t="s">
        <v>263</v>
      </c>
      <c r="D13" s="77">
        <v>0</v>
      </c>
      <c r="E13" s="77">
        <v>0</v>
      </c>
      <c r="F13" s="77">
        <v>0</v>
      </c>
      <c r="G13" s="77">
        <v>0</v>
      </c>
      <c r="H13" s="77">
        <v>0</v>
      </c>
      <c r="I13" s="77">
        <v>0</v>
      </c>
      <c r="J13" s="77">
        <v>0</v>
      </c>
      <c r="K13" s="77" t="s">
        <v>264</v>
      </c>
      <c r="L13" s="77" t="s">
        <v>265</v>
      </c>
      <c r="M13" s="77" t="s">
        <v>266</v>
      </c>
      <c r="N13" s="77" t="s">
        <v>274</v>
      </c>
      <c r="O13" s="77" t="s">
        <v>268</v>
      </c>
      <c r="P13" s="77" t="s">
        <v>272</v>
      </c>
    </row>
    <row r="14" spans="1:16">
      <c r="A14" s="77">
        <v>191474</v>
      </c>
      <c r="B14" s="77" t="s">
        <v>244</v>
      </c>
      <c r="C14" s="77" t="s">
        <v>263</v>
      </c>
      <c r="D14" s="77">
        <v>0</v>
      </c>
      <c r="E14" s="77">
        <v>0</v>
      </c>
      <c r="F14" s="77">
        <v>0</v>
      </c>
      <c r="G14" s="77">
        <v>0</v>
      </c>
      <c r="H14" s="77">
        <v>0</v>
      </c>
      <c r="I14" s="77">
        <v>0</v>
      </c>
      <c r="J14" s="77">
        <v>0</v>
      </c>
      <c r="K14" s="77" t="s">
        <v>264</v>
      </c>
      <c r="L14" s="77" t="s">
        <v>265</v>
      </c>
      <c r="M14" s="77" t="s">
        <v>273</v>
      </c>
      <c r="N14" s="77" t="s">
        <v>274</v>
      </c>
      <c r="O14" s="77" t="s">
        <v>268</v>
      </c>
      <c r="P14" s="77" t="s">
        <v>269</v>
      </c>
    </row>
    <row r="15" spans="1:16">
      <c r="A15" s="77">
        <v>191475</v>
      </c>
      <c r="B15" s="77" t="s">
        <v>389</v>
      </c>
      <c r="C15" s="77" t="s">
        <v>263</v>
      </c>
      <c r="D15" s="77">
        <v>0</v>
      </c>
      <c r="E15" s="77">
        <v>0</v>
      </c>
      <c r="F15" s="77">
        <v>0</v>
      </c>
      <c r="G15" s="77">
        <v>0</v>
      </c>
      <c r="H15" s="77">
        <v>0</v>
      </c>
      <c r="I15" s="77">
        <v>0</v>
      </c>
      <c r="J15" s="77">
        <v>0</v>
      </c>
      <c r="K15" s="77" t="s">
        <v>264</v>
      </c>
      <c r="L15" s="77" t="s">
        <v>265</v>
      </c>
      <c r="M15" s="77" t="s">
        <v>273</v>
      </c>
      <c r="N15" s="77" t="s">
        <v>274</v>
      </c>
      <c r="O15" s="77" t="s">
        <v>268</v>
      </c>
      <c r="P15" s="77" t="s">
        <v>270</v>
      </c>
    </row>
    <row r="16" spans="1:16">
      <c r="A16" s="77">
        <v>191476</v>
      </c>
      <c r="B16" s="77" t="s">
        <v>390</v>
      </c>
      <c r="C16" s="77" t="s">
        <v>263</v>
      </c>
      <c r="D16" s="77">
        <v>0</v>
      </c>
      <c r="E16" s="77">
        <v>0</v>
      </c>
      <c r="F16" s="77">
        <v>0</v>
      </c>
      <c r="G16" s="77">
        <v>0</v>
      </c>
      <c r="H16" s="77">
        <v>0</v>
      </c>
      <c r="I16" s="77">
        <v>0</v>
      </c>
      <c r="J16" s="77">
        <v>0</v>
      </c>
      <c r="K16" s="77" t="s">
        <v>264</v>
      </c>
      <c r="L16" s="77" t="s">
        <v>265</v>
      </c>
      <c r="M16" s="77" t="s">
        <v>273</v>
      </c>
      <c r="N16" s="77" t="s">
        <v>274</v>
      </c>
      <c r="O16" s="77" t="s">
        <v>268</v>
      </c>
      <c r="P16" s="77" t="s">
        <v>271</v>
      </c>
    </row>
    <row r="17" spans="1:16">
      <c r="A17" s="77">
        <v>191477</v>
      </c>
      <c r="B17" s="77" t="s">
        <v>391</v>
      </c>
      <c r="C17" s="77" t="s">
        <v>263</v>
      </c>
      <c r="D17" s="77">
        <v>0</v>
      </c>
      <c r="E17" s="77">
        <v>0</v>
      </c>
      <c r="F17" s="77">
        <v>0</v>
      </c>
      <c r="G17" s="77">
        <v>0</v>
      </c>
      <c r="H17" s="77">
        <v>0</v>
      </c>
      <c r="I17" s="77">
        <v>0</v>
      </c>
      <c r="J17" s="77">
        <v>0</v>
      </c>
      <c r="K17" s="77" t="s">
        <v>264</v>
      </c>
      <c r="L17" s="77" t="s">
        <v>265</v>
      </c>
      <c r="M17" s="77" t="s">
        <v>273</v>
      </c>
      <c r="N17" s="77" t="s">
        <v>274</v>
      </c>
      <c r="O17" s="77" t="s">
        <v>268</v>
      </c>
      <c r="P17" s="77" t="s">
        <v>272</v>
      </c>
    </row>
    <row r="18" spans="1:16">
      <c r="A18" s="77">
        <v>191478</v>
      </c>
      <c r="B18" s="77" t="s">
        <v>392</v>
      </c>
      <c r="C18" s="77" t="s">
        <v>263</v>
      </c>
      <c r="D18" s="77">
        <v>0</v>
      </c>
      <c r="E18" s="77">
        <v>0</v>
      </c>
      <c r="F18" s="77">
        <v>0</v>
      </c>
      <c r="G18" s="77">
        <v>0</v>
      </c>
      <c r="H18" s="77">
        <v>0</v>
      </c>
      <c r="I18" s="77">
        <v>0</v>
      </c>
      <c r="J18" s="77">
        <v>0</v>
      </c>
      <c r="K18" s="77" t="s">
        <v>264</v>
      </c>
      <c r="L18" s="77" t="s">
        <v>275</v>
      </c>
      <c r="M18" s="77" t="s">
        <v>266</v>
      </c>
      <c r="N18" s="77" t="s">
        <v>267</v>
      </c>
      <c r="O18" s="77" t="s">
        <v>268</v>
      </c>
      <c r="P18" s="77" t="s">
        <v>269</v>
      </c>
    </row>
    <row r="19" spans="1:16">
      <c r="A19" s="77">
        <v>191479</v>
      </c>
      <c r="B19" s="77" t="s">
        <v>393</v>
      </c>
      <c r="C19" s="77" t="s">
        <v>263</v>
      </c>
      <c r="D19" s="77">
        <v>0</v>
      </c>
      <c r="E19" s="77">
        <v>0</v>
      </c>
      <c r="F19" s="77">
        <v>0</v>
      </c>
      <c r="G19" s="77">
        <v>0</v>
      </c>
      <c r="H19" s="77">
        <v>0</v>
      </c>
      <c r="I19" s="77">
        <v>0</v>
      </c>
      <c r="J19" s="77">
        <v>0</v>
      </c>
      <c r="K19" s="77" t="s">
        <v>264</v>
      </c>
      <c r="L19" s="77" t="s">
        <v>275</v>
      </c>
      <c r="M19" s="77" t="s">
        <v>266</v>
      </c>
      <c r="N19" s="77" t="s">
        <v>267</v>
      </c>
      <c r="O19" s="77" t="s">
        <v>268</v>
      </c>
      <c r="P19" s="77" t="s">
        <v>270</v>
      </c>
    </row>
    <row r="20" spans="1:16">
      <c r="A20" s="77">
        <v>191480</v>
      </c>
      <c r="B20" s="77" t="s">
        <v>394</v>
      </c>
      <c r="C20" s="77" t="s">
        <v>263</v>
      </c>
      <c r="D20" s="77">
        <v>0</v>
      </c>
      <c r="E20" s="77">
        <v>0</v>
      </c>
      <c r="F20" s="77">
        <v>0</v>
      </c>
      <c r="G20" s="77">
        <v>0</v>
      </c>
      <c r="H20" s="77">
        <v>0</v>
      </c>
      <c r="I20" s="77">
        <v>0</v>
      </c>
      <c r="J20" s="77">
        <v>0</v>
      </c>
      <c r="K20" s="77" t="s">
        <v>264</v>
      </c>
      <c r="L20" s="77" t="s">
        <v>275</v>
      </c>
      <c r="M20" s="77" t="s">
        <v>266</v>
      </c>
      <c r="N20" s="77" t="s">
        <v>267</v>
      </c>
      <c r="O20" s="77" t="s">
        <v>268</v>
      </c>
      <c r="P20" s="77" t="s">
        <v>271</v>
      </c>
    </row>
    <row r="21" spans="1:16">
      <c r="A21" s="77">
        <v>191481</v>
      </c>
      <c r="B21" s="77" t="s">
        <v>395</v>
      </c>
      <c r="C21" s="77" t="s">
        <v>263</v>
      </c>
      <c r="D21" s="77">
        <v>0</v>
      </c>
      <c r="E21" s="77">
        <v>0</v>
      </c>
      <c r="F21" s="77">
        <v>0</v>
      </c>
      <c r="G21" s="77">
        <v>0</v>
      </c>
      <c r="H21" s="77">
        <v>0</v>
      </c>
      <c r="I21" s="77">
        <v>0</v>
      </c>
      <c r="J21" s="77">
        <v>0</v>
      </c>
      <c r="K21" s="77" t="s">
        <v>264</v>
      </c>
      <c r="L21" s="77" t="s">
        <v>275</v>
      </c>
      <c r="M21" s="77" t="s">
        <v>266</v>
      </c>
      <c r="N21" s="77" t="s">
        <v>267</v>
      </c>
      <c r="O21" s="77" t="s">
        <v>268</v>
      </c>
      <c r="P21" s="77" t="s">
        <v>272</v>
      </c>
    </row>
    <row r="22" spans="1:16">
      <c r="A22" s="77">
        <v>191482</v>
      </c>
      <c r="B22" s="77" t="s">
        <v>396</v>
      </c>
      <c r="C22" s="77" t="s">
        <v>263</v>
      </c>
      <c r="D22" s="77">
        <v>0</v>
      </c>
      <c r="E22" s="77">
        <v>0</v>
      </c>
      <c r="F22" s="77">
        <v>0</v>
      </c>
      <c r="G22" s="77">
        <v>0</v>
      </c>
      <c r="H22" s="77">
        <v>0</v>
      </c>
      <c r="I22" s="77">
        <v>0</v>
      </c>
      <c r="J22" s="77">
        <v>0</v>
      </c>
      <c r="K22" s="77" t="s">
        <v>264</v>
      </c>
      <c r="L22" s="77" t="s">
        <v>275</v>
      </c>
      <c r="M22" s="77" t="s">
        <v>273</v>
      </c>
      <c r="N22" s="77" t="s">
        <v>267</v>
      </c>
      <c r="O22" s="77" t="s">
        <v>268</v>
      </c>
      <c r="P22" s="77" t="s">
        <v>269</v>
      </c>
    </row>
    <row r="23" spans="1:16">
      <c r="A23" s="77">
        <v>191483</v>
      </c>
      <c r="B23" s="77" t="s">
        <v>397</v>
      </c>
      <c r="C23" s="77" t="s">
        <v>263</v>
      </c>
      <c r="D23" s="77">
        <v>0</v>
      </c>
      <c r="E23" s="77">
        <v>0</v>
      </c>
      <c r="F23" s="77">
        <v>0</v>
      </c>
      <c r="G23" s="77">
        <v>0</v>
      </c>
      <c r="H23" s="77">
        <v>0</v>
      </c>
      <c r="I23" s="77">
        <v>0</v>
      </c>
      <c r="J23" s="77">
        <v>0</v>
      </c>
      <c r="K23" s="77" t="s">
        <v>264</v>
      </c>
      <c r="L23" s="77" t="s">
        <v>275</v>
      </c>
      <c r="M23" s="77" t="s">
        <v>273</v>
      </c>
      <c r="N23" s="77" t="s">
        <v>267</v>
      </c>
      <c r="O23" s="77" t="s">
        <v>268</v>
      </c>
      <c r="P23" s="77" t="s">
        <v>270</v>
      </c>
    </row>
    <row r="24" spans="1:16">
      <c r="A24" s="77">
        <v>191484</v>
      </c>
      <c r="B24" s="77" t="s">
        <v>398</v>
      </c>
      <c r="C24" s="77" t="s">
        <v>263</v>
      </c>
      <c r="D24" s="77">
        <v>0</v>
      </c>
      <c r="E24" s="77">
        <v>0</v>
      </c>
      <c r="F24" s="77">
        <v>0</v>
      </c>
      <c r="G24" s="77">
        <v>0</v>
      </c>
      <c r="H24" s="77">
        <v>0</v>
      </c>
      <c r="I24" s="77">
        <v>0</v>
      </c>
      <c r="J24" s="77">
        <v>0</v>
      </c>
      <c r="K24" s="77" t="s">
        <v>264</v>
      </c>
      <c r="L24" s="77" t="s">
        <v>275</v>
      </c>
      <c r="M24" s="77" t="s">
        <v>273</v>
      </c>
      <c r="N24" s="77" t="s">
        <v>267</v>
      </c>
      <c r="O24" s="77" t="s">
        <v>268</v>
      </c>
      <c r="P24" s="77" t="s">
        <v>271</v>
      </c>
    </row>
    <row r="25" spans="1:16">
      <c r="A25" s="77">
        <v>191485</v>
      </c>
      <c r="B25" s="77" t="s">
        <v>399</v>
      </c>
      <c r="C25" s="77" t="s">
        <v>263</v>
      </c>
      <c r="D25" s="77">
        <v>0</v>
      </c>
      <c r="E25" s="77">
        <v>0</v>
      </c>
      <c r="F25" s="77">
        <v>0</v>
      </c>
      <c r="G25" s="77">
        <v>0</v>
      </c>
      <c r="H25" s="77">
        <v>0</v>
      </c>
      <c r="I25" s="77">
        <v>0</v>
      </c>
      <c r="J25" s="77">
        <v>0</v>
      </c>
      <c r="K25" s="77" t="s">
        <v>264</v>
      </c>
      <c r="L25" s="77" t="s">
        <v>275</v>
      </c>
      <c r="M25" s="77" t="s">
        <v>273</v>
      </c>
      <c r="N25" s="77" t="s">
        <v>267</v>
      </c>
      <c r="O25" s="77" t="s">
        <v>268</v>
      </c>
      <c r="P25" s="77" t="s">
        <v>272</v>
      </c>
    </row>
    <row r="26" spans="1:16">
      <c r="A26" s="77">
        <v>191486</v>
      </c>
      <c r="B26" s="77" t="s">
        <v>400</v>
      </c>
      <c r="C26" s="77" t="s">
        <v>263</v>
      </c>
      <c r="D26" s="77">
        <v>0</v>
      </c>
      <c r="E26" s="77">
        <v>0</v>
      </c>
      <c r="F26" s="77">
        <v>0</v>
      </c>
      <c r="G26" s="77">
        <v>0</v>
      </c>
      <c r="H26" s="77">
        <v>0</v>
      </c>
      <c r="I26" s="77">
        <v>0</v>
      </c>
      <c r="J26" s="77">
        <v>0</v>
      </c>
      <c r="K26" s="77" t="s">
        <v>264</v>
      </c>
      <c r="L26" s="77" t="s">
        <v>275</v>
      </c>
      <c r="M26" s="77" t="s">
        <v>266</v>
      </c>
      <c r="N26" s="77" t="s">
        <v>274</v>
      </c>
      <c r="O26" s="77" t="s">
        <v>268</v>
      </c>
      <c r="P26" s="77" t="s">
        <v>269</v>
      </c>
    </row>
    <row r="27" spans="1:16">
      <c r="A27" s="77">
        <v>191487</v>
      </c>
      <c r="B27" s="77" t="s">
        <v>401</v>
      </c>
      <c r="C27" s="77" t="s">
        <v>263</v>
      </c>
      <c r="D27" s="77">
        <v>0</v>
      </c>
      <c r="E27" s="77">
        <v>0</v>
      </c>
      <c r="F27" s="77">
        <v>0</v>
      </c>
      <c r="G27" s="77">
        <v>0</v>
      </c>
      <c r="H27" s="77">
        <v>0</v>
      </c>
      <c r="I27" s="77">
        <v>0</v>
      </c>
      <c r="J27" s="77">
        <v>0</v>
      </c>
      <c r="K27" s="77" t="s">
        <v>264</v>
      </c>
      <c r="L27" s="77" t="s">
        <v>275</v>
      </c>
      <c r="M27" s="77" t="s">
        <v>266</v>
      </c>
      <c r="N27" s="77" t="s">
        <v>274</v>
      </c>
      <c r="O27" s="77" t="s">
        <v>268</v>
      </c>
      <c r="P27" s="77" t="s">
        <v>270</v>
      </c>
    </row>
    <row r="28" spans="1:16">
      <c r="A28" s="77">
        <v>191488</v>
      </c>
      <c r="B28" s="77" t="s">
        <v>402</v>
      </c>
      <c r="C28" s="77" t="s">
        <v>263</v>
      </c>
      <c r="D28" s="77">
        <v>0</v>
      </c>
      <c r="E28" s="77">
        <v>0</v>
      </c>
      <c r="F28" s="77">
        <v>0</v>
      </c>
      <c r="G28" s="77">
        <v>0</v>
      </c>
      <c r="H28" s="77">
        <v>0</v>
      </c>
      <c r="I28" s="77">
        <v>0</v>
      </c>
      <c r="J28" s="77">
        <v>0</v>
      </c>
      <c r="K28" s="77" t="s">
        <v>264</v>
      </c>
      <c r="L28" s="77" t="s">
        <v>275</v>
      </c>
      <c r="M28" s="77" t="s">
        <v>266</v>
      </c>
      <c r="N28" s="77" t="s">
        <v>274</v>
      </c>
      <c r="O28" s="77" t="s">
        <v>268</v>
      </c>
      <c r="P28" s="77" t="s">
        <v>271</v>
      </c>
    </row>
    <row r="29" spans="1:16">
      <c r="A29" s="77">
        <v>191489</v>
      </c>
      <c r="B29" s="77" t="s">
        <v>403</v>
      </c>
      <c r="C29" s="77" t="s">
        <v>263</v>
      </c>
      <c r="D29" s="77">
        <v>0</v>
      </c>
      <c r="E29" s="77">
        <v>0</v>
      </c>
      <c r="F29" s="77">
        <v>0</v>
      </c>
      <c r="G29" s="77">
        <v>0</v>
      </c>
      <c r="H29" s="77">
        <v>0</v>
      </c>
      <c r="I29" s="77">
        <v>0</v>
      </c>
      <c r="J29" s="77">
        <v>0</v>
      </c>
      <c r="K29" s="77" t="s">
        <v>264</v>
      </c>
      <c r="L29" s="77" t="s">
        <v>275</v>
      </c>
      <c r="M29" s="77" t="s">
        <v>266</v>
      </c>
      <c r="N29" s="77" t="s">
        <v>274</v>
      </c>
      <c r="O29" s="77" t="s">
        <v>268</v>
      </c>
      <c r="P29" s="77" t="s">
        <v>272</v>
      </c>
    </row>
    <row r="30" spans="1:16">
      <c r="A30" s="77">
        <v>191490</v>
      </c>
      <c r="B30" s="77" t="s">
        <v>246</v>
      </c>
      <c r="C30" s="77" t="s">
        <v>263</v>
      </c>
      <c r="D30" s="77">
        <v>0</v>
      </c>
      <c r="E30" s="77">
        <v>0</v>
      </c>
      <c r="F30" s="77">
        <v>0</v>
      </c>
      <c r="G30" s="77">
        <v>0</v>
      </c>
      <c r="H30" s="77">
        <v>0</v>
      </c>
      <c r="I30" s="77">
        <v>0</v>
      </c>
      <c r="J30" s="77">
        <v>0</v>
      </c>
      <c r="K30" s="77" t="s">
        <v>264</v>
      </c>
      <c r="L30" s="77" t="s">
        <v>275</v>
      </c>
      <c r="M30" s="77" t="s">
        <v>273</v>
      </c>
      <c r="N30" s="77" t="s">
        <v>274</v>
      </c>
      <c r="O30" s="77" t="s">
        <v>268</v>
      </c>
      <c r="P30" s="77" t="s">
        <v>269</v>
      </c>
    </row>
    <row r="31" spans="1:16">
      <c r="A31" s="77">
        <v>191491</v>
      </c>
      <c r="B31" s="77" t="s">
        <v>404</v>
      </c>
      <c r="C31" s="77" t="s">
        <v>263</v>
      </c>
      <c r="D31" s="77">
        <v>0</v>
      </c>
      <c r="E31" s="77">
        <v>0</v>
      </c>
      <c r="F31" s="77">
        <v>0</v>
      </c>
      <c r="G31" s="77">
        <v>0</v>
      </c>
      <c r="H31" s="77">
        <v>0</v>
      </c>
      <c r="I31" s="77">
        <v>0</v>
      </c>
      <c r="J31" s="77">
        <v>0</v>
      </c>
      <c r="K31" s="77" t="s">
        <v>264</v>
      </c>
      <c r="L31" s="77" t="s">
        <v>275</v>
      </c>
      <c r="M31" s="77" t="s">
        <v>273</v>
      </c>
      <c r="N31" s="77" t="s">
        <v>274</v>
      </c>
      <c r="O31" s="77" t="s">
        <v>268</v>
      </c>
      <c r="P31" s="77" t="s">
        <v>270</v>
      </c>
    </row>
    <row r="32" spans="1:16">
      <c r="A32" s="77">
        <v>191492</v>
      </c>
      <c r="B32" s="77" t="s">
        <v>408</v>
      </c>
      <c r="C32" s="77" t="s">
        <v>263</v>
      </c>
      <c r="D32" s="77">
        <v>0</v>
      </c>
      <c r="E32" s="77">
        <v>0</v>
      </c>
      <c r="F32" s="77">
        <v>0</v>
      </c>
      <c r="G32" s="77">
        <v>0</v>
      </c>
      <c r="H32" s="77">
        <v>0</v>
      </c>
      <c r="I32" s="77">
        <v>0</v>
      </c>
      <c r="J32" s="77">
        <v>0</v>
      </c>
      <c r="K32" s="77" t="s">
        <v>264</v>
      </c>
      <c r="L32" s="77" t="s">
        <v>275</v>
      </c>
      <c r="M32" s="77" t="s">
        <v>273</v>
      </c>
      <c r="N32" s="77" t="s">
        <v>274</v>
      </c>
      <c r="O32" s="77" t="s">
        <v>268</v>
      </c>
      <c r="P32" s="77" t="s">
        <v>271</v>
      </c>
    </row>
    <row r="33" spans="1:16">
      <c r="A33" s="77">
        <v>191493</v>
      </c>
      <c r="B33" s="77" t="s">
        <v>409</v>
      </c>
      <c r="C33" s="77" t="s">
        <v>263</v>
      </c>
      <c r="D33" s="77">
        <v>0</v>
      </c>
      <c r="E33" s="77">
        <v>0</v>
      </c>
      <c r="F33" s="77">
        <v>0</v>
      </c>
      <c r="G33" s="77">
        <v>0</v>
      </c>
      <c r="H33" s="77">
        <v>0</v>
      </c>
      <c r="I33" s="77">
        <v>0</v>
      </c>
      <c r="J33" s="77">
        <v>0</v>
      </c>
      <c r="K33" s="77" t="s">
        <v>264</v>
      </c>
      <c r="L33" s="77" t="s">
        <v>275</v>
      </c>
      <c r="M33" s="77" t="s">
        <v>273</v>
      </c>
      <c r="N33" s="77" t="s">
        <v>274</v>
      </c>
      <c r="O33" s="77" t="s">
        <v>268</v>
      </c>
      <c r="P33" s="77" t="s">
        <v>272</v>
      </c>
    </row>
    <row r="34" spans="1:16">
      <c r="A34" s="77">
        <v>191494</v>
      </c>
      <c r="B34" s="77" t="s">
        <v>410</v>
      </c>
      <c r="C34" s="77" t="s">
        <v>263</v>
      </c>
      <c r="D34" s="77">
        <v>0</v>
      </c>
      <c r="E34" s="77">
        <v>0</v>
      </c>
      <c r="F34" s="77">
        <v>0</v>
      </c>
      <c r="G34" s="77">
        <v>0</v>
      </c>
      <c r="H34" s="77">
        <v>0</v>
      </c>
      <c r="I34" s="77">
        <v>0</v>
      </c>
      <c r="J34" s="77">
        <v>0</v>
      </c>
      <c r="K34" s="77" t="s">
        <v>264</v>
      </c>
      <c r="L34" s="77" t="s">
        <v>276</v>
      </c>
      <c r="M34" s="77" t="s">
        <v>266</v>
      </c>
      <c r="N34" s="77" t="s">
        <v>267</v>
      </c>
      <c r="O34" s="77" t="s">
        <v>268</v>
      </c>
      <c r="P34" s="77" t="s">
        <v>269</v>
      </c>
    </row>
    <row r="35" spans="1:16">
      <c r="A35" s="77">
        <v>191495</v>
      </c>
      <c r="B35" s="77" t="s">
        <v>411</v>
      </c>
      <c r="C35" s="77" t="s">
        <v>263</v>
      </c>
      <c r="D35" s="77">
        <v>0</v>
      </c>
      <c r="E35" s="77">
        <v>0</v>
      </c>
      <c r="F35" s="77">
        <v>0</v>
      </c>
      <c r="G35" s="77">
        <v>0</v>
      </c>
      <c r="H35" s="77">
        <v>0</v>
      </c>
      <c r="I35" s="77">
        <v>0</v>
      </c>
      <c r="J35" s="77">
        <v>0</v>
      </c>
      <c r="K35" s="77" t="s">
        <v>264</v>
      </c>
      <c r="L35" s="77" t="s">
        <v>276</v>
      </c>
      <c r="M35" s="77" t="s">
        <v>266</v>
      </c>
      <c r="N35" s="77" t="s">
        <v>267</v>
      </c>
      <c r="O35" s="77" t="s">
        <v>268</v>
      </c>
      <c r="P35" s="77" t="s">
        <v>270</v>
      </c>
    </row>
    <row r="36" spans="1:16">
      <c r="A36" s="77">
        <v>191496</v>
      </c>
      <c r="B36" s="77" t="s">
        <v>412</v>
      </c>
      <c r="C36" s="77" t="s">
        <v>263</v>
      </c>
      <c r="D36" s="77">
        <v>0</v>
      </c>
      <c r="E36" s="77">
        <v>0</v>
      </c>
      <c r="F36" s="77">
        <v>0</v>
      </c>
      <c r="G36" s="77">
        <v>0</v>
      </c>
      <c r="H36" s="77">
        <v>0</v>
      </c>
      <c r="I36" s="77">
        <v>0</v>
      </c>
      <c r="J36" s="77">
        <v>0</v>
      </c>
      <c r="K36" s="77" t="s">
        <v>264</v>
      </c>
      <c r="L36" s="77" t="s">
        <v>276</v>
      </c>
      <c r="M36" s="77" t="s">
        <v>266</v>
      </c>
      <c r="N36" s="77" t="s">
        <v>267</v>
      </c>
      <c r="O36" s="77" t="s">
        <v>268</v>
      </c>
      <c r="P36" s="77" t="s">
        <v>271</v>
      </c>
    </row>
    <row r="37" spans="1:16">
      <c r="A37" s="77">
        <v>191497</v>
      </c>
      <c r="B37" s="77" t="s">
        <v>413</v>
      </c>
      <c r="C37" s="77" t="s">
        <v>263</v>
      </c>
      <c r="D37" s="77">
        <v>0</v>
      </c>
      <c r="E37" s="77">
        <v>0</v>
      </c>
      <c r="F37" s="77">
        <v>0</v>
      </c>
      <c r="G37" s="77">
        <v>0</v>
      </c>
      <c r="H37" s="77">
        <v>0</v>
      </c>
      <c r="I37" s="77">
        <v>0</v>
      </c>
      <c r="J37" s="77">
        <v>0</v>
      </c>
      <c r="K37" s="77" t="s">
        <v>264</v>
      </c>
      <c r="L37" s="77" t="s">
        <v>276</v>
      </c>
      <c r="M37" s="77" t="s">
        <v>266</v>
      </c>
      <c r="N37" s="77" t="s">
        <v>267</v>
      </c>
      <c r="O37" s="77" t="s">
        <v>268</v>
      </c>
      <c r="P37" s="77" t="s">
        <v>272</v>
      </c>
    </row>
    <row r="38" spans="1:16">
      <c r="A38" s="77">
        <v>191498</v>
      </c>
      <c r="B38" s="77" t="s">
        <v>414</v>
      </c>
      <c r="C38" s="77" t="s">
        <v>263</v>
      </c>
      <c r="D38" s="77">
        <v>0</v>
      </c>
      <c r="E38" s="77">
        <v>0</v>
      </c>
      <c r="F38" s="77">
        <v>0</v>
      </c>
      <c r="G38" s="77">
        <v>0</v>
      </c>
      <c r="H38" s="77">
        <v>0</v>
      </c>
      <c r="I38" s="77">
        <v>0</v>
      </c>
      <c r="J38" s="77">
        <v>0</v>
      </c>
      <c r="K38" s="77" t="s">
        <v>264</v>
      </c>
      <c r="L38" s="77" t="s">
        <v>276</v>
      </c>
      <c r="M38" s="77" t="s">
        <v>273</v>
      </c>
      <c r="N38" s="77" t="s">
        <v>267</v>
      </c>
      <c r="O38" s="77" t="s">
        <v>268</v>
      </c>
      <c r="P38" s="77" t="s">
        <v>269</v>
      </c>
    </row>
    <row r="39" spans="1:16">
      <c r="A39" s="77">
        <v>191499</v>
      </c>
      <c r="B39" s="77" t="s">
        <v>415</v>
      </c>
      <c r="C39" s="77" t="s">
        <v>263</v>
      </c>
      <c r="D39" s="77">
        <v>0</v>
      </c>
      <c r="E39" s="77">
        <v>0</v>
      </c>
      <c r="F39" s="77">
        <v>0</v>
      </c>
      <c r="G39" s="77">
        <v>0</v>
      </c>
      <c r="H39" s="77">
        <v>0</v>
      </c>
      <c r="I39" s="77">
        <v>0</v>
      </c>
      <c r="J39" s="77">
        <v>0</v>
      </c>
      <c r="K39" s="77" t="s">
        <v>264</v>
      </c>
      <c r="L39" s="77" t="s">
        <v>276</v>
      </c>
      <c r="M39" s="77" t="s">
        <v>273</v>
      </c>
      <c r="N39" s="77" t="s">
        <v>267</v>
      </c>
      <c r="O39" s="77" t="s">
        <v>268</v>
      </c>
      <c r="P39" s="77" t="s">
        <v>270</v>
      </c>
    </row>
    <row r="40" spans="1:16">
      <c r="A40" s="77">
        <v>191500</v>
      </c>
      <c r="B40" s="77" t="s">
        <v>416</v>
      </c>
      <c r="C40" s="77" t="s">
        <v>263</v>
      </c>
      <c r="D40" s="77">
        <v>0</v>
      </c>
      <c r="E40" s="77">
        <v>0</v>
      </c>
      <c r="F40" s="77">
        <v>0</v>
      </c>
      <c r="G40" s="77">
        <v>0</v>
      </c>
      <c r="H40" s="77">
        <v>0</v>
      </c>
      <c r="I40" s="77">
        <v>0</v>
      </c>
      <c r="J40" s="77">
        <v>0</v>
      </c>
      <c r="K40" s="77" t="s">
        <v>264</v>
      </c>
      <c r="L40" s="77" t="s">
        <v>276</v>
      </c>
      <c r="M40" s="77" t="s">
        <v>273</v>
      </c>
      <c r="N40" s="77" t="s">
        <v>267</v>
      </c>
      <c r="O40" s="77" t="s">
        <v>268</v>
      </c>
      <c r="P40" s="77" t="s">
        <v>271</v>
      </c>
    </row>
    <row r="41" spans="1:16">
      <c r="A41" s="77">
        <v>191501</v>
      </c>
      <c r="B41" s="77" t="s">
        <v>417</v>
      </c>
      <c r="C41" s="77" t="s">
        <v>263</v>
      </c>
      <c r="D41" s="77">
        <v>0</v>
      </c>
      <c r="E41" s="77">
        <v>0</v>
      </c>
      <c r="F41" s="77">
        <v>0</v>
      </c>
      <c r="G41" s="77">
        <v>0</v>
      </c>
      <c r="H41" s="77">
        <v>0</v>
      </c>
      <c r="I41" s="77">
        <v>0</v>
      </c>
      <c r="J41" s="77">
        <v>0</v>
      </c>
      <c r="K41" s="77" t="s">
        <v>264</v>
      </c>
      <c r="L41" s="77" t="s">
        <v>276</v>
      </c>
      <c r="M41" s="77" t="s">
        <v>273</v>
      </c>
      <c r="N41" s="77" t="s">
        <v>267</v>
      </c>
      <c r="O41" s="77" t="s">
        <v>268</v>
      </c>
      <c r="P41" s="77" t="s">
        <v>272</v>
      </c>
    </row>
    <row r="42" spans="1:16">
      <c r="A42" s="77">
        <v>191502</v>
      </c>
      <c r="B42" s="77" t="s">
        <v>418</v>
      </c>
      <c r="C42" s="77" t="s">
        <v>263</v>
      </c>
      <c r="D42" s="77">
        <v>0</v>
      </c>
      <c r="E42" s="77">
        <v>0</v>
      </c>
      <c r="F42" s="77">
        <v>0</v>
      </c>
      <c r="G42" s="77">
        <v>0</v>
      </c>
      <c r="H42" s="77">
        <v>0</v>
      </c>
      <c r="I42" s="77">
        <v>0</v>
      </c>
      <c r="J42" s="77">
        <v>0</v>
      </c>
      <c r="K42" s="77" t="s">
        <v>264</v>
      </c>
      <c r="L42" s="77" t="s">
        <v>276</v>
      </c>
      <c r="M42" s="77" t="s">
        <v>266</v>
      </c>
      <c r="N42" s="77" t="s">
        <v>274</v>
      </c>
      <c r="O42" s="77" t="s">
        <v>268</v>
      </c>
      <c r="P42" s="77" t="s">
        <v>269</v>
      </c>
    </row>
    <row r="43" spans="1:16">
      <c r="A43" s="77">
        <v>191503</v>
      </c>
      <c r="B43" s="77" t="s">
        <v>407</v>
      </c>
      <c r="C43" s="77" t="s">
        <v>263</v>
      </c>
      <c r="D43" s="77">
        <v>0</v>
      </c>
      <c r="E43" s="77">
        <v>0</v>
      </c>
      <c r="F43" s="77">
        <v>0</v>
      </c>
      <c r="G43" s="77">
        <v>0</v>
      </c>
      <c r="H43" s="77">
        <v>0</v>
      </c>
      <c r="I43" s="77">
        <v>0</v>
      </c>
      <c r="J43" s="77">
        <v>0</v>
      </c>
      <c r="K43" s="77" t="s">
        <v>264</v>
      </c>
      <c r="L43" s="77" t="s">
        <v>276</v>
      </c>
      <c r="M43" s="77" t="s">
        <v>266</v>
      </c>
      <c r="N43" s="77" t="s">
        <v>274</v>
      </c>
      <c r="O43" s="77" t="s">
        <v>268</v>
      </c>
      <c r="P43" s="77" t="s">
        <v>270</v>
      </c>
    </row>
    <row r="44" spans="1:16">
      <c r="A44" s="77">
        <v>191504</v>
      </c>
      <c r="B44" s="77" t="s">
        <v>406</v>
      </c>
      <c r="C44" s="77" t="s">
        <v>263</v>
      </c>
      <c r="D44" s="77">
        <v>0</v>
      </c>
      <c r="E44" s="77">
        <v>0</v>
      </c>
      <c r="F44" s="77">
        <v>0</v>
      </c>
      <c r="G44" s="77">
        <v>0</v>
      </c>
      <c r="H44" s="77">
        <v>0</v>
      </c>
      <c r="I44" s="77">
        <v>0</v>
      </c>
      <c r="J44" s="77">
        <v>0</v>
      </c>
      <c r="K44" s="77" t="s">
        <v>264</v>
      </c>
      <c r="L44" s="77" t="s">
        <v>276</v>
      </c>
      <c r="M44" s="77" t="s">
        <v>266</v>
      </c>
      <c r="N44" s="77" t="s">
        <v>274</v>
      </c>
      <c r="O44" s="77" t="s">
        <v>268</v>
      </c>
      <c r="P44" s="77" t="s">
        <v>271</v>
      </c>
    </row>
    <row r="45" spans="1:16">
      <c r="A45" s="77">
        <v>191505</v>
      </c>
      <c r="B45" s="77" t="s">
        <v>405</v>
      </c>
      <c r="C45" s="77" t="s">
        <v>263</v>
      </c>
      <c r="D45" s="77">
        <v>0</v>
      </c>
      <c r="E45" s="77">
        <v>0</v>
      </c>
      <c r="F45" s="77">
        <v>0</v>
      </c>
      <c r="G45" s="77">
        <v>0</v>
      </c>
      <c r="H45" s="77">
        <v>0</v>
      </c>
      <c r="I45" s="77">
        <v>0</v>
      </c>
      <c r="J45" s="77">
        <v>0</v>
      </c>
      <c r="K45" s="77" t="s">
        <v>264</v>
      </c>
      <c r="L45" s="77" t="s">
        <v>276</v>
      </c>
      <c r="M45" s="77" t="s">
        <v>266</v>
      </c>
      <c r="N45" s="77" t="s">
        <v>274</v>
      </c>
      <c r="O45" s="77" t="s">
        <v>268</v>
      </c>
      <c r="P45" s="77" t="s">
        <v>272</v>
      </c>
    </row>
    <row r="46" spans="1:16">
      <c r="A46" s="77">
        <v>191506</v>
      </c>
      <c r="B46" s="77" t="s">
        <v>245</v>
      </c>
      <c r="C46" s="77" t="s">
        <v>263</v>
      </c>
      <c r="D46" s="77">
        <v>0</v>
      </c>
      <c r="E46" s="77">
        <v>0</v>
      </c>
      <c r="F46" s="77">
        <v>0</v>
      </c>
      <c r="G46" s="77">
        <v>0</v>
      </c>
      <c r="H46" s="77">
        <v>0</v>
      </c>
      <c r="I46" s="77">
        <v>0</v>
      </c>
      <c r="J46" s="77">
        <v>0</v>
      </c>
      <c r="K46" s="77" t="s">
        <v>264</v>
      </c>
      <c r="L46" s="77" t="s">
        <v>276</v>
      </c>
      <c r="M46" s="77" t="s">
        <v>273</v>
      </c>
      <c r="N46" s="77" t="s">
        <v>274</v>
      </c>
      <c r="O46" s="77" t="s">
        <v>268</v>
      </c>
      <c r="P46" s="77" t="s">
        <v>269</v>
      </c>
    </row>
    <row r="47" spans="1:16">
      <c r="A47" s="77">
        <v>191507</v>
      </c>
      <c r="B47" s="77" t="s">
        <v>380</v>
      </c>
      <c r="C47" s="77" t="s">
        <v>263</v>
      </c>
      <c r="D47" s="77">
        <v>0</v>
      </c>
      <c r="E47" s="77">
        <v>0</v>
      </c>
      <c r="F47" s="77">
        <v>0</v>
      </c>
      <c r="G47" s="77">
        <v>0</v>
      </c>
      <c r="H47" s="77">
        <v>0</v>
      </c>
      <c r="I47" s="77">
        <v>0</v>
      </c>
      <c r="J47" s="77">
        <v>0</v>
      </c>
      <c r="K47" s="77" t="s">
        <v>264</v>
      </c>
      <c r="L47" s="77" t="s">
        <v>276</v>
      </c>
      <c r="M47" s="77" t="s">
        <v>273</v>
      </c>
      <c r="N47" s="77" t="s">
        <v>274</v>
      </c>
      <c r="O47" s="77" t="s">
        <v>268</v>
      </c>
      <c r="P47" s="77" t="s">
        <v>270</v>
      </c>
    </row>
    <row r="48" spans="1:16">
      <c r="A48" s="77">
        <v>191508</v>
      </c>
      <c r="B48" s="77" t="s">
        <v>379</v>
      </c>
      <c r="C48" s="77" t="s">
        <v>263</v>
      </c>
      <c r="D48" s="77">
        <v>0</v>
      </c>
      <c r="E48" s="77">
        <v>0</v>
      </c>
      <c r="F48" s="77">
        <v>0</v>
      </c>
      <c r="G48" s="77">
        <v>0</v>
      </c>
      <c r="H48" s="77">
        <v>0</v>
      </c>
      <c r="I48" s="77">
        <v>0</v>
      </c>
      <c r="J48" s="77">
        <v>0</v>
      </c>
      <c r="K48" s="77" t="s">
        <v>264</v>
      </c>
      <c r="L48" s="77" t="s">
        <v>276</v>
      </c>
      <c r="M48" s="77" t="s">
        <v>273</v>
      </c>
      <c r="N48" s="77" t="s">
        <v>274</v>
      </c>
      <c r="O48" s="77" t="s">
        <v>268</v>
      </c>
      <c r="P48" s="77" t="s">
        <v>271</v>
      </c>
    </row>
    <row r="49" spans="1:16">
      <c r="A49" s="77">
        <v>191509</v>
      </c>
      <c r="B49" s="77" t="s">
        <v>378</v>
      </c>
      <c r="C49" s="77" t="s">
        <v>263</v>
      </c>
      <c r="D49" s="77">
        <v>0</v>
      </c>
      <c r="E49" s="77">
        <v>0</v>
      </c>
      <c r="F49" s="77">
        <v>0</v>
      </c>
      <c r="G49" s="77">
        <v>0</v>
      </c>
      <c r="H49" s="77">
        <v>0</v>
      </c>
      <c r="I49" s="77">
        <v>0</v>
      </c>
      <c r="J49" s="77">
        <v>0</v>
      </c>
      <c r="K49" s="77" t="s">
        <v>264</v>
      </c>
      <c r="L49" s="77" t="s">
        <v>276</v>
      </c>
      <c r="M49" s="77" t="s">
        <v>273</v>
      </c>
      <c r="N49" s="77" t="s">
        <v>274</v>
      </c>
      <c r="O49" s="77" t="s">
        <v>268</v>
      </c>
      <c r="P49" s="77" t="s">
        <v>272</v>
      </c>
    </row>
    <row r="50" spans="1:16" hidden="1">
      <c r="A50" s="77">
        <v>191510</v>
      </c>
      <c r="B50" s="77" t="s">
        <v>351</v>
      </c>
      <c r="C50" s="77" t="s">
        <v>263</v>
      </c>
      <c r="D50" s="77">
        <v>0</v>
      </c>
      <c r="E50" s="77">
        <v>0</v>
      </c>
      <c r="F50" s="77">
        <v>0</v>
      </c>
      <c r="G50" s="77">
        <v>0</v>
      </c>
      <c r="H50" s="77">
        <v>0</v>
      </c>
      <c r="I50" s="77">
        <v>0</v>
      </c>
      <c r="J50" s="77">
        <v>0</v>
      </c>
      <c r="K50" s="77" t="s">
        <v>264</v>
      </c>
      <c r="L50" s="77" t="s">
        <v>265</v>
      </c>
      <c r="M50" s="77" t="s">
        <v>266</v>
      </c>
      <c r="N50" s="77" t="s">
        <v>267</v>
      </c>
      <c r="O50" s="77" t="s">
        <v>277</v>
      </c>
      <c r="P50" s="77" t="s">
        <v>269</v>
      </c>
    </row>
    <row r="51" spans="1:16" hidden="1">
      <c r="A51" s="77">
        <v>191511</v>
      </c>
      <c r="B51" s="77" t="s">
        <v>278</v>
      </c>
      <c r="C51" s="77" t="s">
        <v>263</v>
      </c>
      <c r="D51" s="77">
        <v>0</v>
      </c>
      <c r="E51" s="77">
        <v>0</v>
      </c>
      <c r="F51" s="77">
        <v>0</v>
      </c>
      <c r="G51" s="77">
        <v>0</v>
      </c>
      <c r="H51" s="77">
        <v>0</v>
      </c>
      <c r="I51" s="77">
        <v>0</v>
      </c>
      <c r="J51" s="77">
        <v>0</v>
      </c>
      <c r="K51" s="77" t="s">
        <v>264</v>
      </c>
      <c r="L51" s="77" t="s">
        <v>265</v>
      </c>
      <c r="M51" s="77" t="s">
        <v>266</v>
      </c>
      <c r="N51" s="77" t="s">
        <v>267</v>
      </c>
      <c r="O51" s="77" t="s">
        <v>277</v>
      </c>
      <c r="P51" s="77" t="s">
        <v>270</v>
      </c>
    </row>
    <row r="52" spans="1:16" hidden="1">
      <c r="A52" s="77">
        <v>191512</v>
      </c>
      <c r="B52" s="77" t="s">
        <v>279</v>
      </c>
      <c r="D52" s="77">
        <v>0</v>
      </c>
      <c r="E52" s="77">
        <v>0</v>
      </c>
      <c r="F52" s="77">
        <v>0</v>
      </c>
      <c r="G52" s="77">
        <v>0</v>
      </c>
      <c r="H52" s="77">
        <v>0</v>
      </c>
      <c r="I52" s="77">
        <v>0</v>
      </c>
      <c r="J52" s="77">
        <v>0</v>
      </c>
      <c r="K52" s="77" t="s">
        <v>264</v>
      </c>
      <c r="L52" s="77" t="s">
        <v>265</v>
      </c>
      <c r="M52" s="77" t="s">
        <v>266</v>
      </c>
      <c r="N52" s="77" t="s">
        <v>267</v>
      </c>
      <c r="O52" s="77" t="s">
        <v>277</v>
      </c>
      <c r="P52" s="77" t="s">
        <v>271</v>
      </c>
    </row>
    <row r="53" spans="1:16" hidden="1">
      <c r="A53" s="77">
        <v>191513</v>
      </c>
      <c r="B53" s="77" t="s">
        <v>280</v>
      </c>
      <c r="D53" s="77">
        <v>0</v>
      </c>
      <c r="E53" s="77">
        <v>0</v>
      </c>
      <c r="F53" s="77">
        <v>0</v>
      </c>
      <c r="G53" s="77">
        <v>0</v>
      </c>
      <c r="H53" s="77">
        <v>0</v>
      </c>
      <c r="I53" s="77">
        <v>0</v>
      </c>
      <c r="J53" s="77">
        <v>0</v>
      </c>
      <c r="K53" s="77" t="s">
        <v>264</v>
      </c>
      <c r="L53" s="77" t="s">
        <v>265</v>
      </c>
      <c r="M53" s="77" t="s">
        <v>266</v>
      </c>
      <c r="N53" s="77" t="s">
        <v>267</v>
      </c>
      <c r="O53" s="77" t="s">
        <v>277</v>
      </c>
      <c r="P53" s="77" t="s">
        <v>272</v>
      </c>
    </row>
    <row r="54" spans="1:16" hidden="1">
      <c r="A54" s="77">
        <v>191514</v>
      </c>
      <c r="B54" s="77" t="s">
        <v>352</v>
      </c>
      <c r="D54" s="77">
        <v>0</v>
      </c>
      <c r="E54" s="77">
        <v>0</v>
      </c>
      <c r="F54" s="77">
        <v>0</v>
      </c>
      <c r="G54" s="77">
        <v>0</v>
      </c>
      <c r="H54" s="77">
        <v>0</v>
      </c>
      <c r="I54" s="77">
        <v>0</v>
      </c>
      <c r="J54" s="77">
        <v>0</v>
      </c>
      <c r="K54" s="77" t="s">
        <v>264</v>
      </c>
      <c r="L54" s="77" t="s">
        <v>265</v>
      </c>
      <c r="M54" s="77" t="s">
        <v>273</v>
      </c>
      <c r="N54" s="77" t="s">
        <v>267</v>
      </c>
      <c r="O54" s="77" t="s">
        <v>277</v>
      </c>
      <c r="P54" s="77" t="s">
        <v>269</v>
      </c>
    </row>
    <row r="55" spans="1:16" hidden="1">
      <c r="A55" s="77">
        <v>191515</v>
      </c>
      <c r="B55" s="77" t="s">
        <v>281</v>
      </c>
      <c r="D55" s="77">
        <v>0</v>
      </c>
      <c r="E55" s="77">
        <v>0</v>
      </c>
      <c r="F55" s="77">
        <v>0</v>
      </c>
      <c r="G55" s="77">
        <v>0</v>
      </c>
      <c r="H55" s="77">
        <v>0</v>
      </c>
      <c r="I55" s="77">
        <v>0</v>
      </c>
      <c r="J55" s="77">
        <v>0</v>
      </c>
      <c r="K55" s="77" t="s">
        <v>264</v>
      </c>
      <c r="L55" s="77" t="s">
        <v>265</v>
      </c>
      <c r="M55" s="77" t="s">
        <v>273</v>
      </c>
      <c r="N55" s="77" t="s">
        <v>267</v>
      </c>
      <c r="O55" s="77" t="s">
        <v>277</v>
      </c>
      <c r="P55" s="77" t="s">
        <v>270</v>
      </c>
    </row>
    <row r="56" spans="1:16" hidden="1">
      <c r="A56" s="77">
        <v>191516</v>
      </c>
      <c r="B56" s="77" t="s">
        <v>282</v>
      </c>
      <c r="D56" s="77">
        <v>0</v>
      </c>
      <c r="E56" s="77">
        <v>0</v>
      </c>
      <c r="F56" s="77">
        <v>0</v>
      </c>
      <c r="G56" s="77">
        <v>0</v>
      </c>
      <c r="H56" s="77">
        <v>0</v>
      </c>
      <c r="I56" s="77">
        <v>0</v>
      </c>
      <c r="J56" s="77">
        <v>0</v>
      </c>
      <c r="K56" s="77" t="s">
        <v>264</v>
      </c>
      <c r="L56" s="77" t="s">
        <v>265</v>
      </c>
      <c r="M56" s="77" t="s">
        <v>273</v>
      </c>
      <c r="N56" s="77" t="s">
        <v>267</v>
      </c>
      <c r="O56" s="77" t="s">
        <v>277</v>
      </c>
      <c r="P56" s="77" t="s">
        <v>271</v>
      </c>
    </row>
    <row r="57" spans="1:16" hidden="1">
      <c r="A57" s="77">
        <v>191517</v>
      </c>
      <c r="B57" s="77" t="s">
        <v>283</v>
      </c>
      <c r="D57" s="77">
        <v>0</v>
      </c>
      <c r="E57" s="77">
        <v>0</v>
      </c>
      <c r="F57" s="77">
        <v>0</v>
      </c>
      <c r="G57" s="77">
        <v>0</v>
      </c>
      <c r="H57" s="77">
        <v>0</v>
      </c>
      <c r="I57" s="77">
        <v>0</v>
      </c>
      <c r="J57" s="77">
        <v>0</v>
      </c>
      <c r="K57" s="77" t="s">
        <v>264</v>
      </c>
      <c r="L57" s="77" t="s">
        <v>265</v>
      </c>
      <c r="M57" s="77" t="s">
        <v>273</v>
      </c>
      <c r="N57" s="77" t="s">
        <v>267</v>
      </c>
      <c r="O57" s="77" t="s">
        <v>277</v>
      </c>
      <c r="P57" s="77" t="s">
        <v>272</v>
      </c>
    </row>
    <row r="58" spans="1:16" hidden="1">
      <c r="A58" s="77">
        <v>191518</v>
      </c>
      <c r="B58" s="77" t="s">
        <v>353</v>
      </c>
      <c r="D58" s="77">
        <v>0</v>
      </c>
      <c r="E58" s="77">
        <v>0</v>
      </c>
      <c r="F58" s="77">
        <v>0</v>
      </c>
      <c r="G58" s="77">
        <v>0</v>
      </c>
      <c r="H58" s="77">
        <v>0</v>
      </c>
      <c r="I58" s="77">
        <v>0</v>
      </c>
      <c r="J58" s="77">
        <v>0</v>
      </c>
      <c r="K58" s="77" t="s">
        <v>264</v>
      </c>
      <c r="L58" s="77" t="s">
        <v>265</v>
      </c>
      <c r="M58" s="77" t="s">
        <v>266</v>
      </c>
      <c r="N58" s="77" t="s">
        <v>274</v>
      </c>
      <c r="O58" s="77" t="s">
        <v>277</v>
      </c>
      <c r="P58" s="77" t="s">
        <v>269</v>
      </c>
    </row>
    <row r="59" spans="1:16" hidden="1">
      <c r="A59" s="77">
        <v>191519</v>
      </c>
      <c r="B59" s="77" t="s">
        <v>284</v>
      </c>
      <c r="D59" s="77">
        <v>0</v>
      </c>
      <c r="E59" s="77">
        <v>0</v>
      </c>
      <c r="F59" s="77">
        <v>0</v>
      </c>
      <c r="G59" s="77">
        <v>0</v>
      </c>
      <c r="H59" s="77">
        <v>0</v>
      </c>
      <c r="I59" s="77">
        <v>0</v>
      </c>
      <c r="J59" s="77">
        <v>0</v>
      </c>
      <c r="K59" s="77" t="s">
        <v>264</v>
      </c>
      <c r="L59" s="77" t="s">
        <v>265</v>
      </c>
      <c r="M59" s="77" t="s">
        <v>266</v>
      </c>
      <c r="N59" s="77" t="s">
        <v>274</v>
      </c>
      <c r="O59" s="77" t="s">
        <v>277</v>
      </c>
      <c r="P59" s="77" t="s">
        <v>270</v>
      </c>
    </row>
    <row r="60" spans="1:16" hidden="1">
      <c r="A60" s="77">
        <v>191520</v>
      </c>
      <c r="B60" s="77" t="s">
        <v>285</v>
      </c>
      <c r="D60" s="77">
        <v>0</v>
      </c>
      <c r="E60" s="77">
        <v>0</v>
      </c>
      <c r="F60" s="77">
        <v>0</v>
      </c>
      <c r="G60" s="77">
        <v>0</v>
      </c>
      <c r="H60" s="77">
        <v>0</v>
      </c>
      <c r="I60" s="77">
        <v>0</v>
      </c>
      <c r="J60" s="77">
        <v>0</v>
      </c>
      <c r="K60" s="77" t="s">
        <v>264</v>
      </c>
      <c r="L60" s="77" t="s">
        <v>265</v>
      </c>
      <c r="M60" s="77" t="s">
        <v>266</v>
      </c>
      <c r="N60" s="77" t="s">
        <v>274</v>
      </c>
      <c r="O60" s="77" t="s">
        <v>277</v>
      </c>
      <c r="P60" s="77" t="s">
        <v>271</v>
      </c>
    </row>
    <row r="61" spans="1:16" hidden="1">
      <c r="A61" s="77">
        <v>191521</v>
      </c>
      <c r="B61" s="77" t="s">
        <v>286</v>
      </c>
      <c r="D61" s="77">
        <v>0</v>
      </c>
      <c r="E61" s="77">
        <v>0</v>
      </c>
      <c r="F61" s="77">
        <v>0</v>
      </c>
      <c r="G61" s="77">
        <v>0</v>
      </c>
      <c r="H61" s="77">
        <v>0</v>
      </c>
      <c r="I61" s="77">
        <v>0</v>
      </c>
      <c r="J61" s="77">
        <v>0</v>
      </c>
      <c r="K61" s="77" t="s">
        <v>264</v>
      </c>
      <c r="L61" s="77" t="s">
        <v>265</v>
      </c>
      <c r="M61" s="77" t="s">
        <v>266</v>
      </c>
      <c r="N61" s="77" t="s">
        <v>274</v>
      </c>
      <c r="O61" s="77" t="s">
        <v>277</v>
      </c>
      <c r="P61" s="77" t="s">
        <v>272</v>
      </c>
    </row>
    <row r="62" spans="1:16" hidden="1">
      <c r="A62" s="77">
        <v>191522</v>
      </c>
      <c r="B62" s="77" t="s">
        <v>354</v>
      </c>
      <c r="D62" s="77">
        <v>0</v>
      </c>
      <c r="E62" s="77">
        <v>0</v>
      </c>
      <c r="F62" s="77">
        <v>0</v>
      </c>
      <c r="G62" s="77">
        <v>0</v>
      </c>
      <c r="H62" s="77">
        <v>0</v>
      </c>
      <c r="I62" s="77">
        <v>0</v>
      </c>
      <c r="J62" s="77">
        <v>0</v>
      </c>
      <c r="K62" s="77" t="s">
        <v>264</v>
      </c>
      <c r="L62" s="77" t="s">
        <v>265</v>
      </c>
      <c r="M62" s="77" t="s">
        <v>273</v>
      </c>
      <c r="N62" s="77" t="s">
        <v>274</v>
      </c>
      <c r="O62" s="77" t="s">
        <v>277</v>
      </c>
      <c r="P62" s="77" t="s">
        <v>269</v>
      </c>
    </row>
    <row r="63" spans="1:16" hidden="1">
      <c r="A63" s="77">
        <v>191523</v>
      </c>
      <c r="B63" s="77" t="s">
        <v>287</v>
      </c>
      <c r="D63" s="77">
        <v>0</v>
      </c>
      <c r="E63" s="77">
        <v>0</v>
      </c>
      <c r="F63" s="77">
        <v>0</v>
      </c>
      <c r="G63" s="77">
        <v>0</v>
      </c>
      <c r="H63" s="77">
        <v>0</v>
      </c>
      <c r="I63" s="77">
        <v>0</v>
      </c>
      <c r="J63" s="77">
        <v>0</v>
      </c>
      <c r="K63" s="77" t="s">
        <v>264</v>
      </c>
      <c r="L63" s="77" t="s">
        <v>265</v>
      </c>
      <c r="M63" s="77" t="s">
        <v>273</v>
      </c>
      <c r="N63" s="77" t="s">
        <v>274</v>
      </c>
      <c r="O63" s="77" t="s">
        <v>277</v>
      </c>
      <c r="P63" s="77" t="s">
        <v>270</v>
      </c>
    </row>
    <row r="64" spans="1:16" hidden="1">
      <c r="A64" s="77">
        <v>191524</v>
      </c>
      <c r="B64" s="77" t="s">
        <v>288</v>
      </c>
      <c r="D64" s="77">
        <v>0</v>
      </c>
      <c r="E64" s="77">
        <v>0</v>
      </c>
      <c r="F64" s="77">
        <v>0</v>
      </c>
      <c r="G64" s="77">
        <v>0</v>
      </c>
      <c r="H64" s="77">
        <v>0</v>
      </c>
      <c r="I64" s="77">
        <v>0</v>
      </c>
      <c r="J64" s="77">
        <v>0</v>
      </c>
      <c r="K64" s="77" t="s">
        <v>264</v>
      </c>
      <c r="L64" s="77" t="s">
        <v>265</v>
      </c>
      <c r="M64" s="77" t="s">
        <v>273</v>
      </c>
      <c r="N64" s="77" t="s">
        <v>274</v>
      </c>
      <c r="O64" s="77" t="s">
        <v>277</v>
      </c>
      <c r="P64" s="77" t="s">
        <v>271</v>
      </c>
    </row>
    <row r="65" spans="1:16" hidden="1">
      <c r="A65" s="77">
        <v>191525</v>
      </c>
      <c r="B65" s="77" t="s">
        <v>289</v>
      </c>
      <c r="D65" s="77">
        <v>0</v>
      </c>
      <c r="E65" s="77">
        <v>0</v>
      </c>
      <c r="F65" s="77">
        <v>0</v>
      </c>
      <c r="G65" s="77">
        <v>0</v>
      </c>
      <c r="H65" s="77">
        <v>0</v>
      </c>
      <c r="I65" s="77">
        <v>0</v>
      </c>
      <c r="J65" s="77">
        <v>0</v>
      </c>
      <c r="K65" s="77" t="s">
        <v>264</v>
      </c>
      <c r="L65" s="77" t="s">
        <v>265</v>
      </c>
      <c r="M65" s="77" t="s">
        <v>273</v>
      </c>
      <c r="N65" s="77" t="s">
        <v>274</v>
      </c>
      <c r="O65" s="77" t="s">
        <v>277</v>
      </c>
      <c r="P65" s="77" t="s">
        <v>272</v>
      </c>
    </row>
    <row r="66" spans="1:16" hidden="1">
      <c r="A66" s="77">
        <v>191526</v>
      </c>
      <c r="B66" s="77" t="s">
        <v>355</v>
      </c>
      <c r="D66" s="77">
        <v>0</v>
      </c>
      <c r="E66" s="77">
        <v>0</v>
      </c>
      <c r="F66" s="77">
        <v>0</v>
      </c>
      <c r="G66" s="77">
        <v>0</v>
      </c>
      <c r="H66" s="77">
        <v>0</v>
      </c>
      <c r="I66" s="77">
        <v>0</v>
      </c>
      <c r="J66" s="77">
        <v>0</v>
      </c>
      <c r="K66" s="77" t="s">
        <v>264</v>
      </c>
      <c r="L66" s="77" t="s">
        <v>275</v>
      </c>
      <c r="M66" s="77" t="s">
        <v>266</v>
      </c>
      <c r="N66" s="77" t="s">
        <v>267</v>
      </c>
      <c r="O66" s="77" t="s">
        <v>277</v>
      </c>
      <c r="P66" s="77" t="s">
        <v>269</v>
      </c>
    </row>
    <row r="67" spans="1:16" hidden="1">
      <c r="A67" s="77">
        <v>191527</v>
      </c>
      <c r="B67" s="77" t="s">
        <v>290</v>
      </c>
      <c r="D67" s="77">
        <v>0</v>
      </c>
      <c r="E67" s="77">
        <v>0</v>
      </c>
      <c r="F67" s="77">
        <v>0</v>
      </c>
      <c r="G67" s="77">
        <v>0</v>
      </c>
      <c r="H67" s="77">
        <v>0</v>
      </c>
      <c r="I67" s="77">
        <v>0</v>
      </c>
      <c r="J67" s="77">
        <v>0</v>
      </c>
      <c r="K67" s="77" t="s">
        <v>264</v>
      </c>
      <c r="L67" s="77" t="s">
        <v>275</v>
      </c>
      <c r="M67" s="77" t="s">
        <v>266</v>
      </c>
      <c r="N67" s="77" t="s">
        <v>267</v>
      </c>
      <c r="O67" s="77" t="s">
        <v>277</v>
      </c>
      <c r="P67" s="77" t="s">
        <v>270</v>
      </c>
    </row>
    <row r="68" spans="1:16" hidden="1">
      <c r="A68" s="77">
        <v>191528</v>
      </c>
      <c r="B68" s="77" t="s">
        <v>291</v>
      </c>
      <c r="D68" s="77">
        <v>0</v>
      </c>
      <c r="E68" s="77">
        <v>0</v>
      </c>
      <c r="F68" s="77">
        <v>0</v>
      </c>
      <c r="G68" s="77">
        <v>0</v>
      </c>
      <c r="H68" s="77">
        <v>0</v>
      </c>
      <c r="I68" s="77">
        <v>0</v>
      </c>
      <c r="J68" s="77">
        <v>0</v>
      </c>
      <c r="K68" s="77" t="s">
        <v>264</v>
      </c>
      <c r="L68" s="77" t="s">
        <v>275</v>
      </c>
      <c r="M68" s="77" t="s">
        <v>266</v>
      </c>
      <c r="N68" s="77" t="s">
        <v>267</v>
      </c>
      <c r="O68" s="77" t="s">
        <v>277</v>
      </c>
      <c r="P68" s="77" t="s">
        <v>271</v>
      </c>
    </row>
    <row r="69" spans="1:16" hidden="1">
      <c r="A69" s="77">
        <v>191529</v>
      </c>
      <c r="B69" s="77" t="s">
        <v>292</v>
      </c>
      <c r="D69" s="77">
        <v>0</v>
      </c>
      <c r="E69" s="77">
        <v>0</v>
      </c>
      <c r="F69" s="77">
        <v>0</v>
      </c>
      <c r="G69" s="77">
        <v>0</v>
      </c>
      <c r="H69" s="77">
        <v>0</v>
      </c>
      <c r="I69" s="77">
        <v>0</v>
      </c>
      <c r="J69" s="77">
        <v>0</v>
      </c>
      <c r="K69" s="77" t="s">
        <v>264</v>
      </c>
      <c r="L69" s="77" t="s">
        <v>275</v>
      </c>
      <c r="M69" s="77" t="s">
        <v>266</v>
      </c>
      <c r="N69" s="77" t="s">
        <v>267</v>
      </c>
      <c r="O69" s="77" t="s">
        <v>277</v>
      </c>
      <c r="P69" s="77" t="s">
        <v>272</v>
      </c>
    </row>
    <row r="70" spans="1:16" hidden="1">
      <c r="A70" s="77">
        <v>191530</v>
      </c>
      <c r="B70" s="77" t="s">
        <v>356</v>
      </c>
      <c r="D70" s="77">
        <v>0</v>
      </c>
      <c r="E70" s="77">
        <v>0</v>
      </c>
      <c r="F70" s="77">
        <v>0</v>
      </c>
      <c r="G70" s="77">
        <v>0</v>
      </c>
      <c r="H70" s="77">
        <v>0</v>
      </c>
      <c r="I70" s="77">
        <v>0</v>
      </c>
      <c r="J70" s="77">
        <v>0</v>
      </c>
      <c r="K70" s="77" t="s">
        <v>264</v>
      </c>
      <c r="L70" s="77" t="s">
        <v>275</v>
      </c>
      <c r="M70" s="77" t="s">
        <v>273</v>
      </c>
      <c r="N70" s="77" t="s">
        <v>267</v>
      </c>
      <c r="O70" s="77" t="s">
        <v>277</v>
      </c>
      <c r="P70" s="77" t="s">
        <v>269</v>
      </c>
    </row>
    <row r="71" spans="1:16" hidden="1">
      <c r="A71" s="77">
        <v>191531</v>
      </c>
      <c r="B71" s="77" t="s">
        <v>293</v>
      </c>
      <c r="D71" s="77">
        <v>0</v>
      </c>
      <c r="E71" s="77">
        <v>0</v>
      </c>
      <c r="F71" s="77">
        <v>0</v>
      </c>
      <c r="G71" s="77">
        <v>0</v>
      </c>
      <c r="H71" s="77">
        <v>0</v>
      </c>
      <c r="I71" s="77">
        <v>0</v>
      </c>
      <c r="J71" s="77">
        <v>0</v>
      </c>
      <c r="K71" s="77" t="s">
        <v>264</v>
      </c>
      <c r="L71" s="77" t="s">
        <v>275</v>
      </c>
      <c r="M71" s="77" t="s">
        <v>273</v>
      </c>
      <c r="N71" s="77" t="s">
        <v>267</v>
      </c>
      <c r="O71" s="77" t="s">
        <v>277</v>
      </c>
      <c r="P71" s="77" t="s">
        <v>270</v>
      </c>
    </row>
    <row r="72" spans="1:16" hidden="1">
      <c r="A72" s="77">
        <v>191532</v>
      </c>
      <c r="B72" s="77" t="s">
        <v>294</v>
      </c>
      <c r="D72" s="77">
        <v>0</v>
      </c>
      <c r="E72" s="77">
        <v>0</v>
      </c>
      <c r="F72" s="77">
        <v>0</v>
      </c>
      <c r="G72" s="77">
        <v>0</v>
      </c>
      <c r="H72" s="77">
        <v>0</v>
      </c>
      <c r="I72" s="77">
        <v>0</v>
      </c>
      <c r="J72" s="77">
        <v>0</v>
      </c>
      <c r="K72" s="77" t="s">
        <v>264</v>
      </c>
      <c r="L72" s="77" t="s">
        <v>275</v>
      </c>
      <c r="M72" s="77" t="s">
        <v>273</v>
      </c>
      <c r="N72" s="77" t="s">
        <v>267</v>
      </c>
      <c r="O72" s="77" t="s">
        <v>277</v>
      </c>
      <c r="P72" s="77" t="s">
        <v>271</v>
      </c>
    </row>
    <row r="73" spans="1:16" hidden="1">
      <c r="A73" s="77">
        <v>191533</v>
      </c>
      <c r="B73" s="77" t="s">
        <v>295</v>
      </c>
      <c r="D73" s="77">
        <v>0</v>
      </c>
      <c r="E73" s="77">
        <v>0</v>
      </c>
      <c r="F73" s="77">
        <v>0</v>
      </c>
      <c r="G73" s="77">
        <v>0</v>
      </c>
      <c r="H73" s="77">
        <v>0</v>
      </c>
      <c r="I73" s="77">
        <v>0</v>
      </c>
      <c r="J73" s="77">
        <v>0</v>
      </c>
      <c r="K73" s="77" t="s">
        <v>264</v>
      </c>
      <c r="L73" s="77" t="s">
        <v>275</v>
      </c>
      <c r="M73" s="77" t="s">
        <v>273</v>
      </c>
      <c r="N73" s="77" t="s">
        <v>267</v>
      </c>
      <c r="O73" s="77" t="s">
        <v>277</v>
      </c>
      <c r="P73" s="77" t="s">
        <v>272</v>
      </c>
    </row>
    <row r="74" spans="1:16" hidden="1">
      <c r="A74" s="77">
        <v>191534</v>
      </c>
      <c r="B74" s="77" t="s">
        <v>357</v>
      </c>
      <c r="D74" s="77">
        <v>0</v>
      </c>
      <c r="E74" s="77">
        <v>0</v>
      </c>
      <c r="F74" s="77">
        <v>0</v>
      </c>
      <c r="G74" s="77">
        <v>0</v>
      </c>
      <c r="H74" s="77">
        <v>0</v>
      </c>
      <c r="I74" s="77">
        <v>0</v>
      </c>
      <c r="J74" s="77">
        <v>0</v>
      </c>
      <c r="K74" s="77" t="s">
        <v>264</v>
      </c>
      <c r="L74" s="77" t="s">
        <v>275</v>
      </c>
      <c r="M74" s="77" t="s">
        <v>266</v>
      </c>
      <c r="N74" s="77" t="s">
        <v>274</v>
      </c>
      <c r="O74" s="77" t="s">
        <v>277</v>
      </c>
      <c r="P74" s="77" t="s">
        <v>269</v>
      </c>
    </row>
    <row r="75" spans="1:16" hidden="1">
      <c r="A75" s="77">
        <v>191535</v>
      </c>
      <c r="B75" s="77" t="s">
        <v>296</v>
      </c>
      <c r="D75" s="77">
        <v>0</v>
      </c>
      <c r="E75" s="77">
        <v>0</v>
      </c>
      <c r="F75" s="77">
        <v>0</v>
      </c>
      <c r="G75" s="77">
        <v>0</v>
      </c>
      <c r="H75" s="77">
        <v>0</v>
      </c>
      <c r="I75" s="77">
        <v>0</v>
      </c>
      <c r="J75" s="77">
        <v>0</v>
      </c>
      <c r="K75" s="77" t="s">
        <v>264</v>
      </c>
      <c r="L75" s="77" t="s">
        <v>275</v>
      </c>
      <c r="M75" s="77" t="s">
        <v>266</v>
      </c>
      <c r="N75" s="77" t="s">
        <v>274</v>
      </c>
      <c r="O75" s="77" t="s">
        <v>277</v>
      </c>
      <c r="P75" s="77" t="s">
        <v>270</v>
      </c>
    </row>
    <row r="76" spans="1:16" hidden="1">
      <c r="A76" s="77">
        <v>191536</v>
      </c>
      <c r="B76" s="77" t="s">
        <v>297</v>
      </c>
      <c r="D76" s="77">
        <v>0</v>
      </c>
      <c r="E76" s="77">
        <v>0</v>
      </c>
      <c r="F76" s="77">
        <v>0</v>
      </c>
      <c r="G76" s="77">
        <v>0</v>
      </c>
      <c r="H76" s="77">
        <v>0</v>
      </c>
      <c r="I76" s="77">
        <v>0</v>
      </c>
      <c r="J76" s="77">
        <v>0</v>
      </c>
      <c r="K76" s="77" t="s">
        <v>264</v>
      </c>
      <c r="L76" s="77" t="s">
        <v>275</v>
      </c>
      <c r="M76" s="77" t="s">
        <v>266</v>
      </c>
      <c r="N76" s="77" t="s">
        <v>274</v>
      </c>
      <c r="O76" s="77" t="s">
        <v>277</v>
      </c>
      <c r="P76" s="77" t="s">
        <v>271</v>
      </c>
    </row>
    <row r="77" spans="1:16" hidden="1">
      <c r="A77" s="77">
        <v>191537</v>
      </c>
      <c r="B77" s="77" t="s">
        <v>298</v>
      </c>
      <c r="D77" s="77">
        <v>0</v>
      </c>
      <c r="E77" s="77">
        <v>0</v>
      </c>
      <c r="F77" s="77">
        <v>0</v>
      </c>
      <c r="G77" s="77">
        <v>0</v>
      </c>
      <c r="H77" s="77">
        <v>0</v>
      </c>
      <c r="I77" s="77">
        <v>0</v>
      </c>
      <c r="J77" s="77">
        <v>0</v>
      </c>
      <c r="K77" s="77" t="s">
        <v>264</v>
      </c>
      <c r="L77" s="77" t="s">
        <v>275</v>
      </c>
      <c r="M77" s="77" t="s">
        <v>266</v>
      </c>
      <c r="N77" s="77" t="s">
        <v>274</v>
      </c>
      <c r="O77" s="77" t="s">
        <v>277</v>
      </c>
      <c r="P77" s="77" t="s">
        <v>272</v>
      </c>
    </row>
    <row r="78" spans="1:16" hidden="1">
      <c r="A78" s="77">
        <v>191538</v>
      </c>
      <c r="B78" s="77" t="s">
        <v>358</v>
      </c>
      <c r="D78" s="77">
        <v>0</v>
      </c>
      <c r="E78" s="77">
        <v>0</v>
      </c>
      <c r="F78" s="77">
        <v>0</v>
      </c>
      <c r="G78" s="77">
        <v>0</v>
      </c>
      <c r="H78" s="77">
        <v>0</v>
      </c>
      <c r="I78" s="77">
        <v>0</v>
      </c>
      <c r="J78" s="77">
        <v>0</v>
      </c>
      <c r="K78" s="77" t="s">
        <v>264</v>
      </c>
      <c r="L78" s="77" t="s">
        <v>275</v>
      </c>
      <c r="M78" s="77" t="s">
        <v>273</v>
      </c>
      <c r="N78" s="77" t="s">
        <v>274</v>
      </c>
      <c r="O78" s="77" t="s">
        <v>277</v>
      </c>
      <c r="P78" s="77" t="s">
        <v>269</v>
      </c>
    </row>
    <row r="79" spans="1:16" hidden="1">
      <c r="A79" s="77">
        <v>191539</v>
      </c>
      <c r="B79" s="77" t="s">
        <v>299</v>
      </c>
      <c r="D79" s="77">
        <v>0</v>
      </c>
      <c r="E79" s="77">
        <v>0</v>
      </c>
      <c r="F79" s="77">
        <v>0</v>
      </c>
      <c r="G79" s="77">
        <v>0</v>
      </c>
      <c r="H79" s="77">
        <v>0</v>
      </c>
      <c r="I79" s="77">
        <v>0</v>
      </c>
      <c r="J79" s="77">
        <v>0</v>
      </c>
      <c r="K79" s="77" t="s">
        <v>264</v>
      </c>
      <c r="L79" s="77" t="s">
        <v>275</v>
      </c>
      <c r="M79" s="77" t="s">
        <v>273</v>
      </c>
      <c r="N79" s="77" t="s">
        <v>274</v>
      </c>
      <c r="O79" s="77" t="s">
        <v>277</v>
      </c>
      <c r="P79" s="77" t="s">
        <v>270</v>
      </c>
    </row>
    <row r="80" spans="1:16" hidden="1">
      <c r="A80" s="77">
        <v>191540</v>
      </c>
      <c r="B80" s="77" t="s">
        <v>300</v>
      </c>
      <c r="D80" s="77">
        <v>0</v>
      </c>
      <c r="E80" s="77">
        <v>0</v>
      </c>
      <c r="F80" s="77">
        <v>0</v>
      </c>
      <c r="G80" s="77">
        <v>0</v>
      </c>
      <c r="H80" s="77">
        <v>0</v>
      </c>
      <c r="I80" s="77">
        <v>0</v>
      </c>
      <c r="J80" s="77">
        <v>0</v>
      </c>
      <c r="K80" s="77" t="s">
        <v>264</v>
      </c>
      <c r="L80" s="77" t="s">
        <v>275</v>
      </c>
      <c r="M80" s="77" t="s">
        <v>273</v>
      </c>
      <c r="N80" s="77" t="s">
        <v>274</v>
      </c>
      <c r="O80" s="77" t="s">
        <v>277</v>
      </c>
      <c r="P80" s="77" t="s">
        <v>271</v>
      </c>
    </row>
    <row r="81" spans="1:16" hidden="1">
      <c r="A81" s="77">
        <v>191541</v>
      </c>
      <c r="B81" s="77" t="s">
        <v>301</v>
      </c>
      <c r="D81" s="77">
        <v>0</v>
      </c>
      <c r="E81" s="77">
        <v>0</v>
      </c>
      <c r="F81" s="77">
        <v>0</v>
      </c>
      <c r="G81" s="77">
        <v>0</v>
      </c>
      <c r="H81" s="77">
        <v>0</v>
      </c>
      <c r="I81" s="77">
        <v>0</v>
      </c>
      <c r="J81" s="77">
        <v>0</v>
      </c>
      <c r="K81" s="77" t="s">
        <v>264</v>
      </c>
      <c r="L81" s="77" t="s">
        <v>275</v>
      </c>
      <c r="M81" s="77" t="s">
        <v>273</v>
      </c>
      <c r="N81" s="77" t="s">
        <v>274</v>
      </c>
      <c r="O81" s="77" t="s">
        <v>277</v>
      </c>
      <c r="P81" s="77" t="s">
        <v>272</v>
      </c>
    </row>
    <row r="82" spans="1:16" hidden="1">
      <c r="A82" s="77">
        <v>191542</v>
      </c>
      <c r="B82" s="77" t="s">
        <v>359</v>
      </c>
      <c r="D82" s="77">
        <v>0</v>
      </c>
      <c r="E82" s="77">
        <v>0</v>
      </c>
      <c r="F82" s="77">
        <v>0</v>
      </c>
      <c r="G82" s="77">
        <v>0</v>
      </c>
      <c r="H82" s="77">
        <v>0</v>
      </c>
      <c r="I82" s="77">
        <v>0</v>
      </c>
      <c r="J82" s="77">
        <v>0</v>
      </c>
      <c r="K82" s="77" t="s">
        <v>264</v>
      </c>
      <c r="L82" s="77" t="s">
        <v>276</v>
      </c>
      <c r="M82" s="77" t="s">
        <v>266</v>
      </c>
      <c r="N82" s="77" t="s">
        <v>267</v>
      </c>
      <c r="O82" s="77" t="s">
        <v>277</v>
      </c>
      <c r="P82" s="77" t="s">
        <v>269</v>
      </c>
    </row>
    <row r="83" spans="1:16" hidden="1">
      <c r="A83" s="77">
        <v>191543</v>
      </c>
      <c r="B83" s="77" t="s">
        <v>302</v>
      </c>
      <c r="D83" s="77">
        <v>0</v>
      </c>
      <c r="E83" s="77">
        <v>0</v>
      </c>
      <c r="F83" s="77">
        <v>0</v>
      </c>
      <c r="G83" s="77">
        <v>0</v>
      </c>
      <c r="H83" s="77">
        <v>0</v>
      </c>
      <c r="I83" s="77">
        <v>0</v>
      </c>
      <c r="J83" s="77">
        <v>0</v>
      </c>
      <c r="K83" s="77" t="s">
        <v>264</v>
      </c>
      <c r="L83" s="77" t="s">
        <v>276</v>
      </c>
      <c r="M83" s="77" t="s">
        <v>266</v>
      </c>
      <c r="N83" s="77" t="s">
        <v>267</v>
      </c>
      <c r="O83" s="77" t="s">
        <v>277</v>
      </c>
      <c r="P83" s="77" t="s">
        <v>270</v>
      </c>
    </row>
    <row r="84" spans="1:16" hidden="1">
      <c r="A84" s="77">
        <v>191544</v>
      </c>
      <c r="B84" s="77" t="s">
        <v>303</v>
      </c>
      <c r="D84" s="77">
        <v>0</v>
      </c>
      <c r="E84" s="77">
        <v>0</v>
      </c>
      <c r="F84" s="77">
        <v>0</v>
      </c>
      <c r="G84" s="77">
        <v>0</v>
      </c>
      <c r="H84" s="77">
        <v>0</v>
      </c>
      <c r="I84" s="77">
        <v>0</v>
      </c>
      <c r="J84" s="77">
        <v>0</v>
      </c>
      <c r="K84" s="77" t="s">
        <v>264</v>
      </c>
      <c r="L84" s="77" t="s">
        <v>276</v>
      </c>
      <c r="M84" s="77" t="s">
        <v>266</v>
      </c>
      <c r="N84" s="77" t="s">
        <v>267</v>
      </c>
      <c r="O84" s="77" t="s">
        <v>277</v>
      </c>
      <c r="P84" s="77" t="s">
        <v>271</v>
      </c>
    </row>
    <row r="85" spans="1:16" hidden="1">
      <c r="A85" s="77">
        <v>191545</v>
      </c>
      <c r="B85" s="77" t="s">
        <v>304</v>
      </c>
      <c r="D85" s="77">
        <v>0</v>
      </c>
      <c r="E85" s="77">
        <v>0</v>
      </c>
      <c r="F85" s="77">
        <v>0</v>
      </c>
      <c r="G85" s="77">
        <v>0</v>
      </c>
      <c r="H85" s="77">
        <v>0</v>
      </c>
      <c r="I85" s="77">
        <v>0</v>
      </c>
      <c r="J85" s="77">
        <v>0</v>
      </c>
      <c r="K85" s="77" t="s">
        <v>264</v>
      </c>
      <c r="L85" s="77" t="s">
        <v>276</v>
      </c>
      <c r="M85" s="77" t="s">
        <v>266</v>
      </c>
      <c r="N85" s="77" t="s">
        <v>267</v>
      </c>
      <c r="O85" s="77" t="s">
        <v>277</v>
      </c>
      <c r="P85" s="77" t="s">
        <v>272</v>
      </c>
    </row>
    <row r="86" spans="1:16" hidden="1">
      <c r="A86" s="77">
        <v>191546</v>
      </c>
      <c r="B86" s="77" t="s">
        <v>360</v>
      </c>
      <c r="D86" s="77">
        <v>0</v>
      </c>
      <c r="E86" s="77">
        <v>0</v>
      </c>
      <c r="F86" s="77">
        <v>0</v>
      </c>
      <c r="G86" s="77">
        <v>0</v>
      </c>
      <c r="H86" s="77">
        <v>0</v>
      </c>
      <c r="I86" s="77">
        <v>0</v>
      </c>
      <c r="J86" s="77">
        <v>0</v>
      </c>
      <c r="K86" s="77" t="s">
        <v>264</v>
      </c>
      <c r="L86" s="77" t="s">
        <v>276</v>
      </c>
      <c r="M86" s="77" t="s">
        <v>273</v>
      </c>
      <c r="N86" s="77" t="s">
        <v>267</v>
      </c>
      <c r="O86" s="77" t="s">
        <v>277</v>
      </c>
      <c r="P86" s="77" t="s">
        <v>269</v>
      </c>
    </row>
    <row r="87" spans="1:16" hidden="1">
      <c r="A87" s="77">
        <v>191547</v>
      </c>
      <c r="B87" s="77" t="s">
        <v>305</v>
      </c>
      <c r="D87" s="77">
        <v>0</v>
      </c>
      <c r="E87" s="77">
        <v>0</v>
      </c>
      <c r="F87" s="77">
        <v>0</v>
      </c>
      <c r="G87" s="77">
        <v>0</v>
      </c>
      <c r="H87" s="77">
        <v>0</v>
      </c>
      <c r="I87" s="77">
        <v>0</v>
      </c>
      <c r="J87" s="77">
        <v>0</v>
      </c>
      <c r="K87" s="77" t="s">
        <v>264</v>
      </c>
      <c r="L87" s="77" t="s">
        <v>276</v>
      </c>
      <c r="M87" s="77" t="s">
        <v>273</v>
      </c>
      <c r="N87" s="77" t="s">
        <v>267</v>
      </c>
      <c r="O87" s="77" t="s">
        <v>277</v>
      </c>
      <c r="P87" s="77" t="s">
        <v>270</v>
      </c>
    </row>
    <row r="88" spans="1:16" hidden="1">
      <c r="A88" s="77">
        <v>191548</v>
      </c>
      <c r="B88" s="77" t="s">
        <v>306</v>
      </c>
      <c r="D88" s="77">
        <v>0</v>
      </c>
      <c r="E88" s="77">
        <v>0</v>
      </c>
      <c r="F88" s="77">
        <v>0</v>
      </c>
      <c r="G88" s="77">
        <v>0</v>
      </c>
      <c r="H88" s="77">
        <v>0</v>
      </c>
      <c r="I88" s="77">
        <v>0</v>
      </c>
      <c r="J88" s="77">
        <v>0</v>
      </c>
      <c r="K88" s="77" t="s">
        <v>264</v>
      </c>
      <c r="L88" s="77" t="s">
        <v>276</v>
      </c>
      <c r="M88" s="77" t="s">
        <v>273</v>
      </c>
      <c r="N88" s="77" t="s">
        <v>267</v>
      </c>
      <c r="O88" s="77" t="s">
        <v>277</v>
      </c>
      <c r="P88" s="77" t="s">
        <v>271</v>
      </c>
    </row>
    <row r="89" spans="1:16" hidden="1">
      <c r="A89" s="77">
        <v>191549</v>
      </c>
      <c r="B89" s="77" t="s">
        <v>307</v>
      </c>
      <c r="D89" s="77">
        <v>0</v>
      </c>
      <c r="E89" s="77">
        <v>0</v>
      </c>
      <c r="F89" s="77">
        <v>0</v>
      </c>
      <c r="G89" s="77">
        <v>0</v>
      </c>
      <c r="H89" s="77">
        <v>0</v>
      </c>
      <c r="I89" s="77">
        <v>0</v>
      </c>
      <c r="J89" s="77">
        <v>0</v>
      </c>
      <c r="K89" s="77" t="s">
        <v>264</v>
      </c>
      <c r="L89" s="77" t="s">
        <v>276</v>
      </c>
      <c r="M89" s="77" t="s">
        <v>273</v>
      </c>
      <c r="N89" s="77" t="s">
        <v>267</v>
      </c>
      <c r="O89" s="77" t="s">
        <v>277</v>
      </c>
      <c r="P89" s="77" t="s">
        <v>272</v>
      </c>
    </row>
    <row r="90" spans="1:16" hidden="1">
      <c r="A90" s="77">
        <v>191550</v>
      </c>
      <c r="B90" s="77" t="s">
        <v>361</v>
      </c>
      <c r="D90" s="77">
        <v>0</v>
      </c>
      <c r="E90" s="77">
        <v>0</v>
      </c>
      <c r="F90" s="77">
        <v>0</v>
      </c>
      <c r="G90" s="77">
        <v>0</v>
      </c>
      <c r="H90" s="77">
        <v>0</v>
      </c>
      <c r="I90" s="77">
        <v>0</v>
      </c>
      <c r="J90" s="77">
        <v>0</v>
      </c>
      <c r="K90" s="77" t="s">
        <v>264</v>
      </c>
      <c r="L90" s="77" t="s">
        <v>276</v>
      </c>
      <c r="M90" s="77" t="s">
        <v>266</v>
      </c>
      <c r="N90" s="77" t="s">
        <v>274</v>
      </c>
      <c r="O90" s="77" t="s">
        <v>277</v>
      </c>
      <c r="P90" s="77" t="s">
        <v>269</v>
      </c>
    </row>
    <row r="91" spans="1:16" hidden="1">
      <c r="A91" s="77">
        <v>191551</v>
      </c>
      <c r="B91" s="77" t="s">
        <v>308</v>
      </c>
      <c r="D91" s="77">
        <v>0</v>
      </c>
      <c r="E91" s="77">
        <v>0</v>
      </c>
      <c r="F91" s="77">
        <v>0</v>
      </c>
      <c r="G91" s="77">
        <v>0</v>
      </c>
      <c r="H91" s="77">
        <v>0</v>
      </c>
      <c r="I91" s="77">
        <v>0</v>
      </c>
      <c r="J91" s="77">
        <v>0</v>
      </c>
      <c r="K91" s="77" t="s">
        <v>264</v>
      </c>
      <c r="L91" s="77" t="s">
        <v>276</v>
      </c>
      <c r="M91" s="77" t="s">
        <v>266</v>
      </c>
      <c r="N91" s="77" t="s">
        <v>274</v>
      </c>
      <c r="O91" s="77" t="s">
        <v>277</v>
      </c>
      <c r="P91" s="77" t="s">
        <v>270</v>
      </c>
    </row>
    <row r="92" spans="1:16" hidden="1">
      <c r="A92" s="77">
        <v>191552</v>
      </c>
      <c r="B92" s="77" t="s">
        <v>309</v>
      </c>
      <c r="D92" s="77">
        <v>0</v>
      </c>
      <c r="E92" s="77">
        <v>0</v>
      </c>
      <c r="F92" s="77">
        <v>0</v>
      </c>
      <c r="G92" s="77">
        <v>0</v>
      </c>
      <c r="H92" s="77">
        <v>0</v>
      </c>
      <c r="I92" s="77">
        <v>0</v>
      </c>
      <c r="J92" s="77">
        <v>0</v>
      </c>
      <c r="K92" s="77" t="s">
        <v>264</v>
      </c>
      <c r="L92" s="77" t="s">
        <v>276</v>
      </c>
      <c r="M92" s="77" t="s">
        <v>266</v>
      </c>
      <c r="N92" s="77" t="s">
        <v>274</v>
      </c>
      <c r="O92" s="77" t="s">
        <v>277</v>
      </c>
      <c r="P92" s="77" t="s">
        <v>271</v>
      </c>
    </row>
    <row r="93" spans="1:16" hidden="1">
      <c r="A93" s="77">
        <v>191553</v>
      </c>
      <c r="B93" s="77" t="s">
        <v>310</v>
      </c>
      <c r="D93" s="77">
        <v>0</v>
      </c>
      <c r="E93" s="77">
        <v>0</v>
      </c>
      <c r="F93" s="77">
        <v>0</v>
      </c>
      <c r="G93" s="77">
        <v>0</v>
      </c>
      <c r="H93" s="77">
        <v>0</v>
      </c>
      <c r="I93" s="77">
        <v>0</v>
      </c>
      <c r="J93" s="77">
        <v>0</v>
      </c>
      <c r="K93" s="77" t="s">
        <v>264</v>
      </c>
      <c r="L93" s="77" t="s">
        <v>276</v>
      </c>
      <c r="M93" s="77" t="s">
        <v>266</v>
      </c>
      <c r="N93" s="77" t="s">
        <v>274</v>
      </c>
      <c r="O93" s="77" t="s">
        <v>277</v>
      </c>
      <c r="P93" s="77" t="s">
        <v>272</v>
      </c>
    </row>
    <row r="94" spans="1:16" hidden="1">
      <c r="A94" s="77">
        <v>191554</v>
      </c>
      <c r="B94" s="77" t="s">
        <v>362</v>
      </c>
      <c r="D94" s="77">
        <v>0</v>
      </c>
      <c r="E94" s="77">
        <v>0</v>
      </c>
      <c r="F94" s="77">
        <v>0</v>
      </c>
      <c r="G94" s="77">
        <v>0</v>
      </c>
      <c r="H94" s="77">
        <v>0</v>
      </c>
      <c r="I94" s="77">
        <v>0</v>
      </c>
      <c r="J94" s="77">
        <v>0</v>
      </c>
      <c r="K94" s="77" t="s">
        <v>264</v>
      </c>
      <c r="L94" s="77" t="s">
        <v>276</v>
      </c>
      <c r="M94" s="77" t="s">
        <v>273</v>
      </c>
      <c r="N94" s="77" t="s">
        <v>274</v>
      </c>
      <c r="O94" s="77" t="s">
        <v>277</v>
      </c>
      <c r="P94" s="77" t="s">
        <v>269</v>
      </c>
    </row>
    <row r="95" spans="1:16" hidden="1">
      <c r="A95" s="77">
        <v>191555</v>
      </c>
      <c r="B95" s="77" t="s">
        <v>311</v>
      </c>
      <c r="D95" s="77">
        <v>0</v>
      </c>
      <c r="E95" s="77">
        <v>0</v>
      </c>
      <c r="F95" s="77">
        <v>0</v>
      </c>
      <c r="G95" s="77">
        <v>0</v>
      </c>
      <c r="H95" s="77">
        <v>0</v>
      </c>
      <c r="I95" s="77">
        <v>0</v>
      </c>
      <c r="J95" s="77">
        <v>0</v>
      </c>
      <c r="K95" s="77" t="s">
        <v>264</v>
      </c>
      <c r="L95" s="77" t="s">
        <v>276</v>
      </c>
      <c r="M95" s="77" t="s">
        <v>273</v>
      </c>
      <c r="N95" s="77" t="s">
        <v>274</v>
      </c>
      <c r="O95" s="77" t="s">
        <v>277</v>
      </c>
      <c r="P95" s="77" t="s">
        <v>270</v>
      </c>
    </row>
    <row r="96" spans="1:16" hidden="1">
      <c r="A96" s="77">
        <v>191556</v>
      </c>
      <c r="B96" s="77" t="s">
        <v>312</v>
      </c>
      <c r="D96" s="77">
        <v>0</v>
      </c>
      <c r="E96" s="77">
        <v>0</v>
      </c>
      <c r="F96" s="77">
        <v>0</v>
      </c>
      <c r="G96" s="77">
        <v>0</v>
      </c>
      <c r="H96" s="77">
        <v>0</v>
      </c>
      <c r="I96" s="77">
        <v>0</v>
      </c>
      <c r="J96" s="77">
        <v>0</v>
      </c>
      <c r="K96" s="77" t="s">
        <v>264</v>
      </c>
      <c r="L96" s="77" t="s">
        <v>276</v>
      </c>
      <c r="M96" s="77" t="s">
        <v>273</v>
      </c>
      <c r="N96" s="77" t="s">
        <v>274</v>
      </c>
      <c r="O96" s="77" t="s">
        <v>277</v>
      </c>
      <c r="P96" s="77" t="s">
        <v>271</v>
      </c>
    </row>
    <row r="97" spans="1:16" hidden="1">
      <c r="A97" s="77">
        <v>191557</v>
      </c>
      <c r="B97" s="77" t="s">
        <v>313</v>
      </c>
      <c r="D97" s="77">
        <v>0</v>
      </c>
      <c r="E97" s="77">
        <v>0</v>
      </c>
      <c r="F97" s="77">
        <v>0</v>
      </c>
      <c r="G97" s="77">
        <v>0</v>
      </c>
      <c r="H97" s="77">
        <v>0</v>
      </c>
      <c r="I97" s="77">
        <v>0</v>
      </c>
      <c r="J97" s="77">
        <v>0</v>
      </c>
      <c r="K97" s="77" t="s">
        <v>264</v>
      </c>
      <c r="L97" s="77" t="s">
        <v>276</v>
      </c>
      <c r="M97" s="77" t="s">
        <v>273</v>
      </c>
      <c r="N97" s="77" t="s">
        <v>274</v>
      </c>
      <c r="O97" s="77" t="s">
        <v>277</v>
      </c>
      <c r="P97" s="77" t="s">
        <v>272</v>
      </c>
    </row>
    <row r="98" spans="1:16" hidden="1">
      <c r="A98" s="77">
        <v>191558</v>
      </c>
      <c r="B98" s="77" t="s">
        <v>363</v>
      </c>
      <c r="D98" s="77">
        <v>0</v>
      </c>
      <c r="E98" s="77">
        <v>0</v>
      </c>
      <c r="F98" s="77">
        <v>0</v>
      </c>
      <c r="G98" s="77">
        <v>0</v>
      </c>
      <c r="H98" s="77">
        <v>0</v>
      </c>
      <c r="I98" s="77">
        <v>0</v>
      </c>
      <c r="J98" s="77">
        <v>0</v>
      </c>
      <c r="K98" s="77" t="s">
        <v>264</v>
      </c>
      <c r="L98" s="77" t="s">
        <v>265</v>
      </c>
      <c r="M98" s="77" t="s">
        <v>266</v>
      </c>
      <c r="N98" s="77" t="s">
        <v>267</v>
      </c>
      <c r="O98" s="77" t="s">
        <v>314</v>
      </c>
      <c r="P98" s="77" t="s">
        <v>269</v>
      </c>
    </row>
    <row r="99" spans="1:16" hidden="1">
      <c r="A99" s="77">
        <v>191559</v>
      </c>
      <c r="B99" s="77" t="s">
        <v>315</v>
      </c>
      <c r="D99" s="77">
        <v>0</v>
      </c>
      <c r="E99" s="77">
        <v>0</v>
      </c>
      <c r="F99" s="77">
        <v>0</v>
      </c>
      <c r="G99" s="77">
        <v>0</v>
      </c>
      <c r="H99" s="77">
        <v>0</v>
      </c>
      <c r="I99" s="77">
        <v>0</v>
      </c>
      <c r="J99" s="77">
        <v>0</v>
      </c>
      <c r="K99" s="77" t="s">
        <v>264</v>
      </c>
      <c r="L99" s="77" t="s">
        <v>265</v>
      </c>
      <c r="M99" s="77" t="s">
        <v>266</v>
      </c>
      <c r="N99" s="77" t="s">
        <v>267</v>
      </c>
      <c r="O99" s="77" t="s">
        <v>314</v>
      </c>
      <c r="P99" s="77" t="s">
        <v>270</v>
      </c>
    </row>
    <row r="100" spans="1:16" hidden="1">
      <c r="A100" s="77">
        <v>191560</v>
      </c>
      <c r="B100" s="77" t="s">
        <v>316</v>
      </c>
      <c r="D100" s="77">
        <v>0</v>
      </c>
      <c r="E100" s="77">
        <v>0</v>
      </c>
      <c r="F100" s="77">
        <v>0</v>
      </c>
      <c r="G100" s="77">
        <v>0</v>
      </c>
      <c r="H100" s="77">
        <v>0</v>
      </c>
      <c r="I100" s="77">
        <v>0</v>
      </c>
      <c r="J100" s="77">
        <v>0</v>
      </c>
      <c r="K100" s="77" t="s">
        <v>264</v>
      </c>
      <c r="L100" s="77" t="s">
        <v>265</v>
      </c>
      <c r="M100" s="77" t="s">
        <v>266</v>
      </c>
      <c r="N100" s="77" t="s">
        <v>267</v>
      </c>
      <c r="O100" s="77" t="s">
        <v>314</v>
      </c>
      <c r="P100" s="77" t="s">
        <v>271</v>
      </c>
    </row>
    <row r="101" spans="1:16" hidden="1">
      <c r="A101" s="77">
        <v>191561</v>
      </c>
      <c r="B101" s="77" t="s">
        <v>317</v>
      </c>
      <c r="D101" s="77">
        <v>0</v>
      </c>
      <c r="E101" s="77">
        <v>0</v>
      </c>
      <c r="F101" s="77">
        <v>0</v>
      </c>
      <c r="G101" s="77">
        <v>0</v>
      </c>
      <c r="H101" s="77">
        <v>0</v>
      </c>
      <c r="I101" s="77">
        <v>0</v>
      </c>
      <c r="J101" s="77">
        <v>0</v>
      </c>
      <c r="K101" s="77" t="s">
        <v>264</v>
      </c>
      <c r="L101" s="77" t="s">
        <v>265</v>
      </c>
      <c r="M101" s="77" t="s">
        <v>266</v>
      </c>
      <c r="N101" s="77" t="s">
        <v>267</v>
      </c>
      <c r="O101" s="77" t="s">
        <v>314</v>
      </c>
      <c r="P101" s="77" t="s">
        <v>272</v>
      </c>
    </row>
    <row r="102" spans="1:16" hidden="1">
      <c r="A102" s="77">
        <v>191562</v>
      </c>
      <c r="B102" s="77" t="s">
        <v>364</v>
      </c>
      <c r="D102" s="77">
        <v>0</v>
      </c>
      <c r="E102" s="77">
        <v>0</v>
      </c>
      <c r="F102" s="77">
        <v>0</v>
      </c>
      <c r="G102" s="77">
        <v>0</v>
      </c>
      <c r="H102" s="77">
        <v>0</v>
      </c>
      <c r="I102" s="77">
        <v>0</v>
      </c>
      <c r="J102" s="77">
        <v>0</v>
      </c>
      <c r="K102" s="77" t="s">
        <v>264</v>
      </c>
      <c r="L102" s="77" t="s">
        <v>265</v>
      </c>
      <c r="M102" s="77" t="s">
        <v>273</v>
      </c>
      <c r="N102" s="77" t="s">
        <v>267</v>
      </c>
      <c r="O102" s="77" t="s">
        <v>314</v>
      </c>
      <c r="P102" s="77" t="s">
        <v>269</v>
      </c>
    </row>
    <row r="103" spans="1:16" hidden="1">
      <c r="A103" s="77">
        <v>191563</v>
      </c>
      <c r="B103" s="77" t="s">
        <v>318</v>
      </c>
      <c r="D103" s="77">
        <v>0</v>
      </c>
      <c r="E103" s="77">
        <v>0</v>
      </c>
      <c r="F103" s="77">
        <v>0</v>
      </c>
      <c r="G103" s="77">
        <v>0</v>
      </c>
      <c r="H103" s="77">
        <v>0</v>
      </c>
      <c r="I103" s="77">
        <v>0</v>
      </c>
      <c r="J103" s="77">
        <v>0</v>
      </c>
      <c r="K103" s="77" t="s">
        <v>264</v>
      </c>
      <c r="L103" s="77" t="s">
        <v>265</v>
      </c>
      <c r="M103" s="77" t="s">
        <v>273</v>
      </c>
      <c r="N103" s="77" t="s">
        <v>267</v>
      </c>
      <c r="O103" s="77" t="s">
        <v>314</v>
      </c>
      <c r="P103" s="77" t="s">
        <v>270</v>
      </c>
    </row>
    <row r="104" spans="1:16" hidden="1">
      <c r="A104" s="77">
        <v>191564</v>
      </c>
      <c r="B104" s="77" t="s">
        <v>319</v>
      </c>
      <c r="D104" s="77">
        <v>0</v>
      </c>
      <c r="E104" s="77">
        <v>0</v>
      </c>
      <c r="F104" s="77">
        <v>0</v>
      </c>
      <c r="G104" s="77">
        <v>0</v>
      </c>
      <c r="H104" s="77">
        <v>0</v>
      </c>
      <c r="I104" s="77">
        <v>0</v>
      </c>
      <c r="J104" s="77">
        <v>0</v>
      </c>
      <c r="K104" s="77" t="s">
        <v>264</v>
      </c>
      <c r="L104" s="77" t="s">
        <v>265</v>
      </c>
      <c r="M104" s="77" t="s">
        <v>273</v>
      </c>
      <c r="N104" s="77" t="s">
        <v>267</v>
      </c>
      <c r="O104" s="77" t="s">
        <v>314</v>
      </c>
      <c r="P104" s="77" t="s">
        <v>271</v>
      </c>
    </row>
    <row r="105" spans="1:16" hidden="1">
      <c r="A105" s="77">
        <v>191565</v>
      </c>
      <c r="B105" s="77" t="s">
        <v>320</v>
      </c>
      <c r="D105" s="77">
        <v>0</v>
      </c>
      <c r="E105" s="77">
        <v>0</v>
      </c>
      <c r="F105" s="77">
        <v>0</v>
      </c>
      <c r="G105" s="77">
        <v>0</v>
      </c>
      <c r="H105" s="77">
        <v>0</v>
      </c>
      <c r="I105" s="77">
        <v>0</v>
      </c>
      <c r="J105" s="77">
        <v>0</v>
      </c>
      <c r="K105" s="77" t="s">
        <v>264</v>
      </c>
      <c r="L105" s="77" t="s">
        <v>265</v>
      </c>
      <c r="M105" s="77" t="s">
        <v>273</v>
      </c>
      <c r="N105" s="77" t="s">
        <v>267</v>
      </c>
      <c r="O105" s="77" t="s">
        <v>314</v>
      </c>
      <c r="P105" s="77" t="s">
        <v>272</v>
      </c>
    </row>
    <row r="106" spans="1:16" hidden="1">
      <c r="A106" s="77">
        <v>191566</v>
      </c>
      <c r="B106" s="77" t="s">
        <v>365</v>
      </c>
      <c r="D106" s="77">
        <v>0</v>
      </c>
      <c r="E106" s="77">
        <v>0</v>
      </c>
      <c r="F106" s="77">
        <v>0</v>
      </c>
      <c r="G106" s="77">
        <v>0</v>
      </c>
      <c r="H106" s="77">
        <v>0</v>
      </c>
      <c r="I106" s="77">
        <v>0</v>
      </c>
      <c r="J106" s="77">
        <v>0</v>
      </c>
      <c r="K106" s="77" t="s">
        <v>264</v>
      </c>
      <c r="L106" s="77" t="s">
        <v>265</v>
      </c>
      <c r="M106" s="77" t="s">
        <v>266</v>
      </c>
      <c r="N106" s="77" t="s">
        <v>274</v>
      </c>
      <c r="O106" s="77" t="s">
        <v>314</v>
      </c>
      <c r="P106" s="77" t="s">
        <v>269</v>
      </c>
    </row>
    <row r="107" spans="1:16" hidden="1">
      <c r="A107" s="77">
        <v>191567</v>
      </c>
      <c r="B107" s="77" t="s">
        <v>321</v>
      </c>
      <c r="D107" s="77">
        <v>0</v>
      </c>
      <c r="E107" s="77">
        <v>0</v>
      </c>
      <c r="F107" s="77">
        <v>0</v>
      </c>
      <c r="G107" s="77">
        <v>0</v>
      </c>
      <c r="H107" s="77">
        <v>0</v>
      </c>
      <c r="I107" s="77">
        <v>0</v>
      </c>
      <c r="J107" s="77">
        <v>0</v>
      </c>
      <c r="K107" s="77" t="s">
        <v>264</v>
      </c>
      <c r="L107" s="77" t="s">
        <v>265</v>
      </c>
      <c r="M107" s="77" t="s">
        <v>266</v>
      </c>
      <c r="N107" s="77" t="s">
        <v>274</v>
      </c>
      <c r="O107" s="77" t="s">
        <v>314</v>
      </c>
      <c r="P107" s="77" t="s">
        <v>270</v>
      </c>
    </row>
    <row r="108" spans="1:16" hidden="1">
      <c r="A108" s="77">
        <v>191568</v>
      </c>
      <c r="B108" s="77" t="s">
        <v>322</v>
      </c>
      <c r="D108" s="77">
        <v>0</v>
      </c>
      <c r="E108" s="77">
        <v>0</v>
      </c>
      <c r="F108" s="77">
        <v>0</v>
      </c>
      <c r="G108" s="77">
        <v>0</v>
      </c>
      <c r="H108" s="77">
        <v>0</v>
      </c>
      <c r="I108" s="77">
        <v>0</v>
      </c>
      <c r="J108" s="77">
        <v>0</v>
      </c>
      <c r="K108" s="77" t="s">
        <v>264</v>
      </c>
      <c r="L108" s="77" t="s">
        <v>265</v>
      </c>
      <c r="M108" s="77" t="s">
        <v>266</v>
      </c>
      <c r="N108" s="77" t="s">
        <v>274</v>
      </c>
      <c r="O108" s="77" t="s">
        <v>314</v>
      </c>
      <c r="P108" s="77" t="s">
        <v>271</v>
      </c>
    </row>
    <row r="109" spans="1:16" hidden="1">
      <c r="A109" s="77">
        <v>191569</v>
      </c>
      <c r="B109" s="77" t="s">
        <v>323</v>
      </c>
      <c r="D109" s="77">
        <v>0</v>
      </c>
      <c r="E109" s="77">
        <v>0</v>
      </c>
      <c r="F109" s="77">
        <v>0</v>
      </c>
      <c r="G109" s="77">
        <v>0</v>
      </c>
      <c r="H109" s="77">
        <v>0</v>
      </c>
      <c r="I109" s="77">
        <v>0</v>
      </c>
      <c r="J109" s="77">
        <v>0</v>
      </c>
      <c r="K109" s="77" t="s">
        <v>264</v>
      </c>
      <c r="L109" s="77" t="s">
        <v>265</v>
      </c>
      <c r="M109" s="77" t="s">
        <v>266</v>
      </c>
      <c r="N109" s="77" t="s">
        <v>274</v>
      </c>
      <c r="O109" s="77" t="s">
        <v>314</v>
      </c>
      <c r="P109" s="77" t="s">
        <v>272</v>
      </c>
    </row>
    <row r="110" spans="1:16" hidden="1">
      <c r="A110" s="77">
        <v>191570</v>
      </c>
      <c r="B110" s="77" t="s">
        <v>366</v>
      </c>
      <c r="D110" s="77">
        <v>0</v>
      </c>
      <c r="E110" s="77">
        <v>0</v>
      </c>
      <c r="F110" s="77">
        <v>0</v>
      </c>
      <c r="G110" s="77">
        <v>0</v>
      </c>
      <c r="H110" s="77">
        <v>0</v>
      </c>
      <c r="I110" s="77">
        <v>0</v>
      </c>
      <c r="J110" s="77">
        <v>0</v>
      </c>
      <c r="K110" s="77" t="s">
        <v>264</v>
      </c>
      <c r="L110" s="77" t="s">
        <v>265</v>
      </c>
      <c r="M110" s="77" t="s">
        <v>273</v>
      </c>
      <c r="N110" s="77" t="s">
        <v>274</v>
      </c>
      <c r="O110" s="77" t="s">
        <v>314</v>
      </c>
      <c r="P110" s="77" t="s">
        <v>269</v>
      </c>
    </row>
    <row r="111" spans="1:16" hidden="1">
      <c r="A111" s="77">
        <v>191571</v>
      </c>
      <c r="B111" s="77" t="s">
        <v>324</v>
      </c>
      <c r="D111" s="77">
        <v>0</v>
      </c>
      <c r="E111" s="77">
        <v>0</v>
      </c>
      <c r="F111" s="77">
        <v>0</v>
      </c>
      <c r="G111" s="77">
        <v>0</v>
      </c>
      <c r="H111" s="77">
        <v>0</v>
      </c>
      <c r="I111" s="77">
        <v>0</v>
      </c>
      <c r="J111" s="77">
        <v>0</v>
      </c>
      <c r="K111" s="77" t="s">
        <v>264</v>
      </c>
      <c r="L111" s="77" t="s">
        <v>265</v>
      </c>
      <c r="M111" s="77" t="s">
        <v>273</v>
      </c>
      <c r="N111" s="77" t="s">
        <v>274</v>
      </c>
      <c r="O111" s="77" t="s">
        <v>314</v>
      </c>
      <c r="P111" s="77" t="s">
        <v>270</v>
      </c>
    </row>
    <row r="112" spans="1:16" hidden="1">
      <c r="A112" s="77">
        <v>191572</v>
      </c>
      <c r="B112" s="77" t="s">
        <v>325</v>
      </c>
      <c r="D112" s="77">
        <v>0</v>
      </c>
      <c r="E112" s="77">
        <v>0</v>
      </c>
      <c r="F112" s="77">
        <v>0</v>
      </c>
      <c r="G112" s="77">
        <v>0</v>
      </c>
      <c r="H112" s="77">
        <v>0</v>
      </c>
      <c r="I112" s="77">
        <v>0</v>
      </c>
      <c r="J112" s="77">
        <v>0</v>
      </c>
      <c r="K112" s="77" t="s">
        <v>264</v>
      </c>
      <c r="L112" s="77" t="s">
        <v>265</v>
      </c>
      <c r="M112" s="77" t="s">
        <v>273</v>
      </c>
      <c r="N112" s="77" t="s">
        <v>274</v>
      </c>
      <c r="O112" s="77" t="s">
        <v>314</v>
      </c>
      <c r="P112" s="77" t="s">
        <v>271</v>
      </c>
    </row>
    <row r="113" spans="1:16" hidden="1">
      <c r="A113" s="77">
        <v>191573</v>
      </c>
      <c r="B113" s="77" t="s">
        <v>326</v>
      </c>
      <c r="D113" s="77">
        <v>0</v>
      </c>
      <c r="E113" s="77">
        <v>0</v>
      </c>
      <c r="F113" s="77">
        <v>0</v>
      </c>
      <c r="G113" s="77">
        <v>0</v>
      </c>
      <c r="H113" s="77">
        <v>0</v>
      </c>
      <c r="I113" s="77">
        <v>0</v>
      </c>
      <c r="J113" s="77">
        <v>0</v>
      </c>
      <c r="K113" s="77" t="s">
        <v>264</v>
      </c>
      <c r="L113" s="77" t="s">
        <v>265</v>
      </c>
      <c r="M113" s="77" t="s">
        <v>273</v>
      </c>
      <c r="N113" s="77" t="s">
        <v>274</v>
      </c>
      <c r="O113" s="77" t="s">
        <v>314</v>
      </c>
      <c r="P113" s="77" t="s">
        <v>272</v>
      </c>
    </row>
    <row r="114" spans="1:16" hidden="1">
      <c r="A114" s="77">
        <v>191574</v>
      </c>
      <c r="B114" s="77" t="s">
        <v>367</v>
      </c>
      <c r="D114" s="77">
        <v>0</v>
      </c>
      <c r="E114" s="77">
        <v>0</v>
      </c>
      <c r="F114" s="77">
        <v>0</v>
      </c>
      <c r="G114" s="77">
        <v>0</v>
      </c>
      <c r="H114" s="77">
        <v>0</v>
      </c>
      <c r="I114" s="77">
        <v>0</v>
      </c>
      <c r="J114" s="77">
        <v>0</v>
      </c>
      <c r="K114" s="77" t="s">
        <v>264</v>
      </c>
      <c r="L114" s="77" t="s">
        <v>275</v>
      </c>
      <c r="M114" s="77" t="s">
        <v>266</v>
      </c>
      <c r="N114" s="77" t="s">
        <v>267</v>
      </c>
      <c r="O114" s="77" t="s">
        <v>314</v>
      </c>
      <c r="P114" s="77" t="s">
        <v>269</v>
      </c>
    </row>
    <row r="115" spans="1:16" hidden="1">
      <c r="A115" s="77">
        <v>191575</v>
      </c>
      <c r="B115" s="77" t="s">
        <v>327</v>
      </c>
      <c r="D115" s="77">
        <v>0</v>
      </c>
      <c r="E115" s="77">
        <v>0</v>
      </c>
      <c r="F115" s="77">
        <v>0</v>
      </c>
      <c r="G115" s="77">
        <v>0</v>
      </c>
      <c r="H115" s="77">
        <v>0</v>
      </c>
      <c r="I115" s="77">
        <v>0</v>
      </c>
      <c r="J115" s="77">
        <v>0</v>
      </c>
      <c r="K115" s="77" t="s">
        <v>264</v>
      </c>
      <c r="L115" s="77" t="s">
        <v>275</v>
      </c>
      <c r="M115" s="77" t="s">
        <v>266</v>
      </c>
      <c r="N115" s="77" t="s">
        <v>267</v>
      </c>
      <c r="O115" s="77" t="s">
        <v>314</v>
      </c>
      <c r="P115" s="77" t="s">
        <v>270</v>
      </c>
    </row>
    <row r="116" spans="1:16" hidden="1">
      <c r="A116" s="77">
        <v>191576</v>
      </c>
      <c r="B116" s="77" t="s">
        <v>328</v>
      </c>
      <c r="D116" s="77">
        <v>0</v>
      </c>
      <c r="E116" s="77">
        <v>0</v>
      </c>
      <c r="F116" s="77">
        <v>0</v>
      </c>
      <c r="G116" s="77">
        <v>0</v>
      </c>
      <c r="H116" s="77">
        <v>0</v>
      </c>
      <c r="I116" s="77">
        <v>0</v>
      </c>
      <c r="J116" s="77">
        <v>0</v>
      </c>
      <c r="K116" s="77" t="s">
        <v>264</v>
      </c>
      <c r="L116" s="77" t="s">
        <v>275</v>
      </c>
      <c r="M116" s="77" t="s">
        <v>266</v>
      </c>
      <c r="N116" s="77" t="s">
        <v>267</v>
      </c>
      <c r="O116" s="77" t="s">
        <v>314</v>
      </c>
      <c r="P116" s="77" t="s">
        <v>271</v>
      </c>
    </row>
    <row r="117" spans="1:16" hidden="1">
      <c r="A117" s="77">
        <v>191577</v>
      </c>
      <c r="B117" s="77" t="s">
        <v>329</v>
      </c>
      <c r="D117" s="77">
        <v>0</v>
      </c>
      <c r="E117" s="77">
        <v>0</v>
      </c>
      <c r="F117" s="77">
        <v>0</v>
      </c>
      <c r="G117" s="77">
        <v>0</v>
      </c>
      <c r="H117" s="77">
        <v>0</v>
      </c>
      <c r="I117" s="77">
        <v>0</v>
      </c>
      <c r="J117" s="77">
        <v>0</v>
      </c>
      <c r="K117" s="77" t="s">
        <v>264</v>
      </c>
      <c r="L117" s="77" t="s">
        <v>275</v>
      </c>
      <c r="M117" s="77" t="s">
        <v>266</v>
      </c>
      <c r="N117" s="77" t="s">
        <v>267</v>
      </c>
      <c r="O117" s="77" t="s">
        <v>314</v>
      </c>
      <c r="P117" s="77" t="s">
        <v>272</v>
      </c>
    </row>
    <row r="118" spans="1:16" hidden="1">
      <c r="A118" s="77">
        <v>191578</v>
      </c>
      <c r="B118" s="77" t="s">
        <v>368</v>
      </c>
      <c r="D118" s="77">
        <v>0</v>
      </c>
      <c r="E118" s="77">
        <v>0</v>
      </c>
      <c r="F118" s="77">
        <v>0</v>
      </c>
      <c r="G118" s="77">
        <v>0</v>
      </c>
      <c r="H118" s="77">
        <v>0</v>
      </c>
      <c r="I118" s="77">
        <v>0</v>
      </c>
      <c r="J118" s="77">
        <v>0</v>
      </c>
      <c r="K118" s="77" t="s">
        <v>264</v>
      </c>
      <c r="L118" s="77" t="s">
        <v>275</v>
      </c>
      <c r="M118" s="77" t="s">
        <v>273</v>
      </c>
      <c r="N118" s="77" t="s">
        <v>267</v>
      </c>
      <c r="O118" s="77" t="s">
        <v>314</v>
      </c>
      <c r="P118" s="77" t="s">
        <v>269</v>
      </c>
    </row>
    <row r="119" spans="1:16" hidden="1">
      <c r="A119" s="77">
        <v>191579</v>
      </c>
      <c r="B119" s="77" t="s">
        <v>330</v>
      </c>
      <c r="D119" s="77">
        <v>0</v>
      </c>
      <c r="E119" s="77">
        <v>0</v>
      </c>
      <c r="F119" s="77">
        <v>0</v>
      </c>
      <c r="G119" s="77">
        <v>0</v>
      </c>
      <c r="H119" s="77">
        <v>0</v>
      </c>
      <c r="I119" s="77">
        <v>0</v>
      </c>
      <c r="J119" s="77">
        <v>0</v>
      </c>
      <c r="K119" s="77" t="s">
        <v>264</v>
      </c>
      <c r="L119" s="77" t="s">
        <v>275</v>
      </c>
      <c r="M119" s="77" t="s">
        <v>273</v>
      </c>
      <c r="N119" s="77" t="s">
        <v>267</v>
      </c>
      <c r="O119" s="77" t="s">
        <v>314</v>
      </c>
      <c r="P119" s="77" t="s">
        <v>270</v>
      </c>
    </row>
    <row r="120" spans="1:16" hidden="1">
      <c r="A120" s="77">
        <v>191580</v>
      </c>
      <c r="B120" s="77" t="s">
        <v>331</v>
      </c>
      <c r="D120" s="77">
        <v>0</v>
      </c>
      <c r="E120" s="77">
        <v>0</v>
      </c>
      <c r="F120" s="77">
        <v>0</v>
      </c>
      <c r="G120" s="77">
        <v>0</v>
      </c>
      <c r="H120" s="77">
        <v>0</v>
      </c>
      <c r="I120" s="77">
        <v>0</v>
      </c>
      <c r="J120" s="77">
        <v>0</v>
      </c>
      <c r="K120" s="77" t="s">
        <v>264</v>
      </c>
      <c r="L120" s="77" t="s">
        <v>275</v>
      </c>
      <c r="M120" s="77" t="s">
        <v>273</v>
      </c>
      <c r="N120" s="77" t="s">
        <v>267</v>
      </c>
      <c r="O120" s="77" t="s">
        <v>314</v>
      </c>
      <c r="P120" s="77" t="s">
        <v>271</v>
      </c>
    </row>
    <row r="121" spans="1:16" hidden="1">
      <c r="A121" s="77">
        <v>191581</v>
      </c>
      <c r="B121" s="77" t="s">
        <v>332</v>
      </c>
      <c r="D121" s="77">
        <v>0</v>
      </c>
      <c r="E121" s="77">
        <v>0</v>
      </c>
      <c r="F121" s="77">
        <v>0</v>
      </c>
      <c r="G121" s="77">
        <v>0</v>
      </c>
      <c r="H121" s="77">
        <v>0</v>
      </c>
      <c r="I121" s="77">
        <v>0</v>
      </c>
      <c r="J121" s="77">
        <v>0</v>
      </c>
      <c r="K121" s="77" t="s">
        <v>264</v>
      </c>
      <c r="L121" s="77" t="s">
        <v>275</v>
      </c>
      <c r="M121" s="77" t="s">
        <v>273</v>
      </c>
      <c r="N121" s="77" t="s">
        <v>267</v>
      </c>
      <c r="O121" s="77" t="s">
        <v>314</v>
      </c>
      <c r="P121" s="77" t="s">
        <v>272</v>
      </c>
    </row>
    <row r="122" spans="1:16" hidden="1">
      <c r="A122" s="77">
        <v>191582</v>
      </c>
      <c r="B122" s="77" t="s">
        <v>369</v>
      </c>
      <c r="D122" s="77">
        <v>0</v>
      </c>
      <c r="E122" s="77">
        <v>0</v>
      </c>
      <c r="F122" s="77">
        <v>0</v>
      </c>
      <c r="G122" s="77">
        <v>0</v>
      </c>
      <c r="H122" s="77">
        <v>0</v>
      </c>
      <c r="I122" s="77">
        <v>0</v>
      </c>
      <c r="J122" s="77">
        <v>0</v>
      </c>
      <c r="K122" s="77" t="s">
        <v>264</v>
      </c>
      <c r="L122" s="77" t="s">
        <v>275</v>
      </c>
      <c r="M122" s="77" t="s">
        <v>266</v>
      </c>
      <c r="N122" s="77" t="s">
        <v>274</v>
      </c>
      <c r="O122" s="77" t="s">
        <v>314</v>
      </c>
      <c r="P122" s="77" t="s">
        <v>269</v>
      </c>
    </row>
    <row r="123" spans="1:16" hidden="1">
      <c r="A123" s="77">
        <v>191583</v>
      </c>
      <c r="B123" s="77" t="s">
        <v>333</v>
      </c>
      <c r="D123" s="77">
        <v>0</v>
      </c>
      <c r="E123" s="77">
        <v>0</v>
      </c>
      <c r="F123" s="77">
        <v>0</v>
      </c>
      <c r="G123" s="77">
        <v>0</v>
      </c>
      <c r="H123" s="77">
        <v>0</v>
      </c>
      <c r="I123" s="77">
        <v>0</v>
      </c>
      <c r="J123" s="77">
        <v>0</v>
      </c>
      <c r="K123" s="77" t="s">
        <v>264</v>
      </c>
      <c r="L123" s="77" t="s">
        <v>275</v>
      </c>
      <c r="M123" s="77" t="s">
        <v>266</v>
      </c>
      <c r="N123" s="77" t="s">
        <v>274</v>
      </c>
      <c r="O123" s="77" t="s">
        <v>314</v>
      </c>
      <c r="P123" s="77" t="s">
        <v>270</v>
      </c>
    </row>
    <row r="124" spans="1:16" hidden="1">
      <c r="A124" s="77">
        <v>191584</v>
      </c>
      <c r="B124" s="77" t="s">
        <v>334</v>
      </c>
      <c r="D124" s="77">
        <v>0</v>
      </c>
      <c r="E124" s="77">
        <v>0</v>
      </c>
      <c r="F124" s="77">
        <v>0</v>
      </c>
      <c r="G124" s="77">
        <v>0</v>
      </c>
      <c r="H124" s="77">
        <v>0</v>
      </c>
      <c r="I124" s="77">
        <v>0</v>
      </c>
      <c r="J124" s="77">
        <v>0</v>
      </c>
      <c r="K124" s="77" t="s">
        <v>264</v>
      </c>
      <c r="L124" s="77" t="s">
        <v>275</v>
      </c>
      <c r="M124" s="77" t="s">
        <v>266</v>
      </c>
      <c r="N124" s="77" t="s">
        <v>274</v>
      </c>
      <c r="O124" s="77" t="s">
        <v>314</v>
      </c>
      <c r="P124" s="77" t="s">
        <v>271</v>
      </c>
    </row>
    <row r="125" spans="1:16" hidden="1">
      <c r="A125" s="77">
        <v>191585</v>
      </c>
      <c r="B125" s="77" t="s">
        <v>335</v>
      </c>
      <c r="D125" s="77">
        <v>0</v>
      </c>
      <c r="E125" s="77">
        <v>0</v>
      </c>
      <c r="F125" s="77">
        <v>0</v>
      </c>
      <c r="G125" s="77">
        <v>0</v>
      </c>
      <c r="H125" s="77">
        <v>0</v>
      </c>
      <c r="I125" s="77">
        <v>0</v>
      </c>
      <c r="J125" s="77">
        <v>0</v>
      </c>
      <c r="K125" s="77" t="s">
        <v>264</v>
      </c>
      <c r="L125" s="77" t="s">
        <v>275</v>
      </c>
      <c r="M125" s="77" t="s">
        <v>266</v>
      </c>
      <c r="N125" s="77" t="s">
        <v>274</v>
      </c>
      <c r="O125" s="77" t="s">
        <v>314</v>
      </c>
      <c r="P125" s="77" t="s">
        <v>272</v>
      </c>
    </row>
    <row r="126" spans="1:16" hidden="1">
      <c r="A126" s="77">
        <v>191586</v>
      </c>
      <c r="B126" s="77" t="s">
        <v>370</v>
      </c>
      <c r="D126" s="77">
        <v>0</v>
      </c>
      <c r="E126" s="77">
        <v>0</v>
      </c>
      <c r="F126" s="77">
        <v>0</v>
      </c>
      <c r="G126" s="77">
        <v>0</v>
      </c>
      <c r="H126" s="77">
        <v>0</v>
      </c>
      <c r="I126" s="77">
        <v>0</v>
      </c>
      <c r="J126" s="77">
        <v>0</v>
      </c>
      <c r="K126" s="77" t="s">
        <v>264</v>
      </c>
      <c r="L126" s="77" t="s">
        <v>275</v>
      </c>
      <c r="M126" s="77" t="s">
        <v>273</v>
      </c>
      <c r="N126" s="77" t="s">
        <v>274</v>
      </c>
      <c r="O126" s="77" t="s">
        <v>314</v>
      </c>
      <c r="P126" s="77" t="s">
        <v>269</v>
      </c>
    </row>
    <row r="127" spans="1:16" hidden="1">
      <c r="A127" s="77">
        <v>191587</v>
      </c>
      <c r="B127" s="77" t="s">
        <v>336</v>
      </c>
      <c r="D127" s="77">
        <v>0</v>
      </c>
      <c r="E127" s="77">
        <v>0</v>
      </c>
      <c r="F127" s="77">
        <v>0</v>
      </c>
      <c r="G127" s="77">
        <v>0</v>
      </c>
      <c r="H127" s="77">
        <v>0</v>
      </c>
      <c r="I127" s="77">
        <v>0</v>
      </c>
      <c r="J127" s="77">
        <v>0</v>
      </c>
      <c r="K127" s="77" t="s">
        <v>264</v>
      </c>
      <c r="L127" s="77" t="s">
        <v>275</v>
      </c>
      <c r="M127" s="77" t="s">
        <v>273</v>
      </c>
      <c r="N127" s="77" t="s">
        <v>274</v>
      </c>
      <c r="O127" s="77" t="s">
        <v>314</v>
      </c>
      <c r="P127" s="77" t="s">
        <v>270</v>
      </c>
    </row>
    <row r="128" spans="1:16" hidden="1">
      <c r="A128" s="77">
        <v>191588</v>
      </c>
      <c r="B128" s="77" t="s">
        <v>337</v>
      </c>
      <c r="D128" s="77">
        <v>0</v>
      </c>
      <c r="E128" s="77">
        <v>0</v>
      </c>
      <c r="F128" s="77">
        <v>0</v>
      </c>
      <c r="G128" s="77">
        <v>0</v>
      </c>
      <c r="H128" s="77">
        <v>0</v>
      </c>
      <c r="I128" s="77">
        <v>0</v>
      </c>
      <c r="J128" s="77">
        <v>0</v>
      </c>
      <c r="K128" s="77" t="s">
        <v>264</v>
      </c>
      <c r="L128" s="77" t="s">
        <v>275</v>
      </c>
      <c r="M128" s="77" t="s">
        <v>273</v>
      </c>
      <c r="N128" s="77" t="s">
        <v>274</v>
      </c>
      <c r="O128" s="77" t="s">
        <v>314</v>
      </c>
      <c r="P128" s="77" t="s">
        <v>271</v>
      </c>
    </row>
    <row r="129" spans="1:16" hidden="1">
      <c r="A129" s="77">
        <v>191589</v>
      </c>
      <c r="B129" s="77" t="s">
        <v>338</v>
      </c>
      <c r="D129" s="77">
        <v>0</v>
      </c>
      <c r="E129" s="77">
        <v>0</v>
      </c>
      <c r="F129" s="77">
        <v>0</v>
      </c>
      <c r="G129" s="77">
        <v>0</v>
      </c>
      <c r="H129" s="77">
        <v>0</v>
      </c>
      <c r="I129" s="77">
        <v>0</v>
      </c>
      <c r="J129" s="77">
        <v>0</v>
      </c>
      <c r="K129" s="77" t="s">
        <v>264</v>
      </c>
      <c r="L129" s="77" t="s">
        <v>275</v>
      </c>
      <c r="M129" s="77" t="s">
        <v>273</v>
      </c>
      <c r="N129" s="77" t="s">
        <v>274</v>
      </c>
      <c r="O129" s="77" t="s">
        <v>314</v>
      </c>
      <c r="P129" s="77" t="s">
        <v>272</v>
      </c>
    </row>
    <row r="130" spans="1:16" hidden="1">
      <c r="A130" s="77">
        <v>191590</v>
      </c>
      <c r="B130" s="77" t="s">
        <v>371</v>
      </c>
      <c r="D130" s="77">
        <v>0</v>
      </c>
      <c r="E130" s="77">
        <v>0</v>
      </c>
      <c r="F130" s="77">
        <v>0</v>
      </c>
      <c r="G130" s="77">
        <v>0</v>
      </c>
      <c r="H130" s="77">
        <v>0</v>
      </c>
      <c r="I130" s="77">
        <v>0</v>
      </c>
      <c r="J130" s="77">
        <v>0</v>
      </c>
      <c r="K130" s="77" t="s">
        <v>264</v>
      </c>
      <c r="L130" s="77" t="s">
        <v>276</v>
      </c>
      <c r="M130" s="77" t="s">
        <v>266</v>
      </c>
      <c r="N130" s="77" t="s">
        <v>267</v>
      </c>
      <c r="O130" s="77" t="s">
        <v>314</v>
      </c>
      <c r="P130" s="77" t="s">
        <v>269</v>
      </c>
    </row>
    <row r="131" spans="1:16" hidden="1">
      <c r="A131" s="77">
        <v>191591</v>
      </c>
      <c r="B131" s="77" t="s">
        <v>339</v>
      </c>
      <c r="D131" s="77">
        <v>0</v>
      </c>
      <c r="E131" s="77">
        <v>0</v>
      </c>
      <c r="F131" s="77">
        <v>0</v>
      </c>
      <c r="G131" s="77">
        <v>0</v>
      </c>
      <c r="H131" s="77">
        <v>0</v>
      </c>
      <c r="I131" s="77">
        <v>0</v>
      </c>
      <c r="J131" s="77">
        <v>0</v>
      </c>
      <c r="K131" s="77" t="s">
        <v>264</v>
      </c>
      <c r="L131" s="77" t="s">
        <v>276</v>
      </c>
      <c r="M131" s="77" t="s">
        <v>266</v>
      </c>
      <c r="N131" s="77" t="s">
        <v>267</v>
      </c>
      <c r="O131" s="77" t="s">
        <v>314</v>
      </c>
      <c r="P131" s="77" t="s">
        <v>270</v>
      </c>
    </row>
    <row r="132" spans="1:16" hidden="1">
      <c r="A132" s="77">
        <v>191592</v>
      </c>
      <c r="B132" s="77" t="s">
        <v>340</v>
      </c>
      <c r="D132" s="77">
        <v>0</v>
      </c>
      <c r="E132" s="77">
        <v>0</v>
      </c>
      <c r="F132" s="77">
        <v>0</v>
      </c>
      <c r="G132" s="77">
        <v>0</v>
      </c>
      <c r="H132" s="77">
        <v>0</v>
      </c>
      <c r="I132" s="77">
        <v>0</v>
      </c>
      <c r="J132" s="77">
        <v>0</v>
      </c>
      <c r="K132" s="77" t="s">
        <v>264</v>
      </c>
      <c r="L132" s="77" t="s">
        <v>276</v>
      </c>
      <c r="M132" s="77" t="s">
        <v>266</v>
      </c>
      <c r="N132" s="77" t="s">
        <v>267</v>
      </c>
      <c r="O132" s="77" t="s">
        <v>314</v>
      </c>
      <c r="P132" s="77" t="s">
        <v>271</v>
      </c>
    </row>
    <row r="133" spans="1:16" hidden="1">
      <c r="A133" s="77">
        <v>191593</v>
      </c>
      <c r="B133" s="77" t="s">
        <v>341</v>
      </c>
      <c r="D133" s="77">
        <v>0</v>
      </c>
      <c r="E133" s="77">
        <v>0</v>
      </c>
      <c r="F133" s="77">
        <v>0</v>
      </c>
      <c r="G133" s="77">
        <v>0</v>
      </c>
      <c r="H133" s="77">
        <v>0</v>
      </c>
      <c r="I133" s="77">
        <v>0</v>
      </c>
      <c r="J133" s="77">
        <v>0</v>
      </c>
      <c r="K133" s="77" t="s">
        <v>264</v>
      </c>
      <c r="L133" s="77" t="s">
        <v>276</v>
      </c>
      <c r="M133" s="77" t="s">
        <v>266</v>
      </c>
      <c r="N133" s="77" t="s">
        <v>267</v>
      </c>
      <c r="O133" s="77" t="s">
        <v>314</v>
      </c>
      <c r="P133" s="77" t="s">
        <v>272</v>
      </c>
    </row>
    <row r="134" spans="1:16" hidden="1">
      <c r="A134" s="77">
        <v>191594</v>
      </c>
      <c r="B134" s="77" t="s">
        <v>372</v>
      </c>
      <c r="D134" s="77">
        <v>0</v>
      </c>
      <c r="E134" s="77">
        <v>0</v>
      </c>
      <c r="F134" s="77">
        <v>0</v>
      </c>
      <c r="G134" s="77">
        <v>0</v>
      </c>
      <c r="H134" s="77">
        <v>0</v>
      </c>
      <c r="I134" s="77">
        <v>0</v>
      </c>
      <c r="J134" s="77">
        <v>0</v>
      </c>
      <c r="K134" s="77" t="s">
        <v>264</v>
      </c>
      <c r="L134" s="77" t="s">
        <v>276</v>
      </c>
      <c r="M134" s="77" t="s">
        <v>273</v>
      </c>
      <c r="N134" s="77" t="s">
        <v>267</v>
      </c>
      <c r="O134" s="77" t="s">
        <v>314</v>
      </c>
      <c r="P134" s="77" t="s">
        <v>269</v>
      </c>
    </row>
    <row r="135" spans="1:16" hidden="1">
      <c r="A135" s="77">
        <v>191595</v>
      </c>
      <c r="B135" s="77" t="s">
        <v>342</v>
      </c>
      <c r="D135" s="77">
        <v>0</v>
      </c>
      <c r="E135" s="77">
        <v>0</v>
      </c>
      <c r="F135" s="77">
        <v>0</v>
      </c>
      <c r="G135" s="77">
        <v>0</v>
      </c>
      <c r="H135" s="77">
        <v>0</v>
      </c>
      <c r="I135" s="77">
        <v>0</v>
      </c>
      <c r="J135" s="77">
        <v>0</v>
      </c>
      <c r="K135" s="77" t="s">
        <v>264</v>
      </c>
      <c r="L135" s="77" t="s">
        <v>276</v>
      </c>
      <c r="M135" s="77" t="s">
        <v>273</v>
      </c>
      <c r="N135" s="77" t="s">
        <v>267</v>
      </c>
      <c r="O135" s="77" t="s">
        <v>314</v>
      </c>
      <c r="P135" s="77" t="s">
        <v>270</v>
      </c>
    </row>
    <row r="136" spans="1:16" hidden="1">
      <c r="A136" s="77">
        <v>191596</v>
      </c>
      <c r="B136" s="77" t="s">
        <v>343</v>
      </c>
      <c r="D136" s="77">
        <v>0</v>
      </c>
      <c r="E136" s="77">
        <v>0</v>
      </c>
      <c r="F136" s="77">
        <v>0</v>
      </c>
      <c r="G136" s="77">
        <v>0</v>
      </c>
      <c r="H136" s="77">
        <v>0</v>
      </c>
      <c r="I136" s="77">
        <v>0</v>
      </c>
      <c r="J136" s="77">
        <v>0</v>
      </c>
      <c r="K136" s="77" t="s">
        <v>264</v>
      </c>
      <c r="L136" s="77" t="s">
        <v>276</v>
      </c>
      <c r="M136" s="77" t="s">
        <v>273</v>
      </c>
      <c r="N136" s="77" t="s">
        <v>267</v>
      </c>
      <c r="O136" s="77" t="s">
        <v>314</v>
      </c>
      <c r="P136" s="77" t="s">
        <v>271</v>
      </c>
    </row>
    <row r="137" spans="1:16" hidden="1">
      <c r="A137" s="77">
        <v>191597</v>
      </c>
      <c r="B137" s="77" t="s">
        <v>344</v>
      </c>
      <c r="D137" s="77">
        <v>0</v>
      </c>
      <c r="E137" s="77">
        <v>0</v>
      </c>
      <c r="F137" s="77">
        <v>0</v>
      </c>
      <c r="G137" s="77">
        <v>0</v>
      </c>
      <c r="H137" s="77">
        <v>0</v>
      </c>
      <c r="I137" s="77">
        <v>0</v>
      </c>
      <c r="J137" s="77">
        <v>0</v>
      </c>
      <c r="K137" s="77" t="s">
        <v>264</v>
      </c>
      <c r="L137" s="77" t="s">
        <v>276</v>
      </c>
      <c r="M137" s="77" t="s">
        <v>273</v>
      </c>
      <c r="N137" s="77" t="s">
        <v>267</v>
      </c>
      <c r="O137" s="77" t="s">
        <v>314</v>
      </c>
      <c r="P137" s="77" t="s">
        <v>272</v>
      </c>
    </row>
    <row r="138" spans="1:16" hidden="1">
      <c r="A138" s="77">
        <v>191598</v>
      </c>
      <c r="B138" s="77" t="s">
        <v>373</v>
      </c>
      <c r="D138" s="77">
        <v>0</v>
      </c>
      <c r="E138" s="77">
        <v>0</v>
      </c>
      <c r="F138" s="77">
        <v>0</v>
      </c>
      <c r="G138" s="77">
        <v>0</v>
      </c>
      <c r="H138" s="77">
        <v>0</v>
      </c>
      <c r="I138" s="77">
        <v>0</v>
      </c>
      <c r="J138" s="77">
        <v>0</v>
      </c>
      <c r="K138" s="77" t="s">
        <v>264</v>
      </c>
      <c r="L138" s="77" t="s">
        <v>276</v>
      </c>
      <c r="M138" s="77" t="s">
        <v>266</v>
      </c>
      <c r="N138" s="77" t="s">
        <v>274</v>
      </c>
      <c r="O138" s="77" t="s">
        <v>314</v>
      </c>
      <c r="P138" s="77" t="s">
        <v>269</v>
      </c>
    </row>
    <row r="139" spans="1:16" hidden="1">
      <c r="A139" s="77">
        <v>191599</v>
      </c>
      <c r="B139" s="77" t="s">
        <v>345</v>
      </c>
      <c r="D139" s="77">
        <v>0</v>
      </c>
      <c r="E139" s="77">
        <v>0</v>
      </c>
      <c r="F139" s="77">
        <v>0</v>
      </c>
      <c r="G139" s="77">
        <v>0</v>
      </c>
      <c r="H139" s="77">
        <v>0</v>
      </c>
      <c r="I139" s="77">
        <v>0</v>
      </c>
      <c r="J139" s="77">
        <v>0</v>
      </c>
      <c r="K139" s="77" t="s">
        <v>264</v>
      </c>
      <c r="L139" s="77" t="s">
        <v>276</v>
      </c>
      <c r="M139" s="77" t="s">
        <v>266</v>
      </c>
      <c r="N139" s="77" t="s">
        <v>274</v>
      </c>
      <c r="O139" s="77" t="s">
        <v>314</v>
      </c>
      <c r="P139" s="77" t="s">
        <v>270</v>
      </c>
    </row>
    <row r="140" spans="1:16" hidden="1">
      <c r="A140" s="77">
        <v>191600</v>
      </c>
      <c r="B140" s="77" t="s">
        <v>346</v>
      </c>
      <c r="D140" s="77">
        <v>0</v>
      </c>
      <c r="E140" s="77">
        <v>0</v>
      </c>
      <c r="F140" s="77">
        <v>0</v>
      </c>
      <c r="G140" s="77">
        <v>0</v>
      </c>
      <c r="H140" s="77">
        <v>0</v>
      </c>
      <c r="I140" s="77">
        <v>0</v>
      </c>
      <c r="J140" s="77">
        <v>0</v>
      </c>
      <c r="K140" s="77" t="s">
        <v>264</v>
      </c>
      <c r="L140" s="77" t="s">
        <v>276</v>
      </c>
      <c r="M140" s="77" t="s">
        <v>266</v>
      </c>
      <c r="N140" s="77" t="s">
        <v>274</v>
      </c>
      <c r="O140" s="77" t="s">
        <v>314</v>
      </c>
      <c r="P140" s="77" t="s">
        <v>271</v>
      </c>
    </row>
    <row r="141" spans="1:16" hidden="1">
      <c r="A141" s="77">
        <v>191601</v>
      </c>
      <c r="B141" s="77" t="s">
        <v>347</v>
      </c>
      <c r="D141" s="77">
        <v>0</v>
      </c>
      <c r="E141" s="77">
        <v>0</v>
      </c>
      <c r="F141" s="77">
        <v>0</v>
      </c>
      <c r="G141" s="77">
        <v>0</v>
      </c>
      <c r="H141" s="77">
        <v>0</v>
      </c>
      <c r="I141" s="77">
        <v>0</v>
      </c>
      <c r="J141" s="77">
        <v>0</v>
      </c>
      <c r="K141" s="77" t="s">
        <v>264</v>
      </c>
      <c r="L141" s="77" t="s">
        <v>276</v>
      </c>
      <c r="M141" s="77" t="s">
        <v>266</v>
      </c>
      <c r="N141" s="77" t="s">
        <v>274</v>
      </c>
      <c r="O141" s="77" t="s">
        <v>314</v>
      </c>
      <c r="P141" s="77" t="s">
        <v>272</v>
      </c>
    </row>
    <row r="142" spans="1:16" hidden="1">
      <c r="A142" s="77">
        <v>191602</v>
      </c>
      <c r="B142" s="77" t="s">
        <v>374</v>
      </c>
      <c r="D142" s="77">
        <v>0</v>
      </c>
      <c r="E142" s="77">
        <v>0</v>
      </c>
      <c r="F142" s="77">
        <v>0</v>
      </c>
      <c r="G142" s="77">
        <v>0</v>
      </c>
      <c r="H142" s="77">
        <v>0</v>
      </c>
      <c r="I142" s="77">
        <v>0</v>
      </c>
      <c r="J142" s="77">
        <v>0</v>
      </c>
      <c r="K142" s="77" t="s">
        <v>264</v>
      </c>
      <c r="L142" s="77" t="s">
        <v>276</v>
      </c>
      <c r="M142" s="77" t="s">
        <v>273</v>
      </c>
      <c r="N142" s="77" t="s">
        <v>274</v>
      </c>
      <c r="O142" s="77" t="s">
        <v>314</v>
      </c>
      <c r="P142" s="77" t="s">
        <v>269</v>
      </c>
    </row>
    <row r="143" spans="1:16" hidden="1">
      <c r="A143" s="77">
        <v>191603</v>
      </c>
      <c r="B143" s="77" t="s">
        <v>348</v>
      </c>
      <c r="D143" s="77">
        <v>0</v>
      </c>
      <c r="E143" s="77">
        <v>0</v>
      </c>
      <c r="F143" s="77">
        <v>0</v>
      </c>
      <c r="G143" s="77">
        <v>0</v>
      </c>
      <c r="H143" s="77">
        <v>0</v>
      </c>
      <c r="I143" s="77">
        <v>0</v>
      </c>
      <c r="J143" s="77">
        <v>0</v>
      </c>
      <c r="K143" s="77" t="s">
        <v>264</v>
      </c>
      <c r="L143" s="77" t="s">
        <v>276</v>
      </c>
      <c r="M143" s="77" t="s">
        <v>273</v>
      </c>
      <c r="N143" s="77" t="s">
        <v>274</v>
      </c>
      <c r="O143" s="77" t="s">
        <v>314</v>
      </c>
      <c r="P143" s="77" t="s">
        <v>270</v>
      </c>
    </row>
    <row r="144" spans="1:16" hidden="1">
      <c r="A144" s="77">
        <v>191604</v>
      </c>
      <c r="B144" s="77" t="s">
        <v>349</v>
      </c>
      <c r="D144" s="77">
        <v>0</v>
      </c>
      <c r="E144" s="77">
        <v>0</v>
      </c>
      <c r="F144" s="77">
        <v>0</v>
      </c>
      <c r="G144" s="77">
        <v>0</v>
      </c>
      <c r="H144" s="77">
        <v>0</v>
      </c>
      <c r="I144" s="77">
        <v>0</v>
      </c>
      <c r="J144" s="77">
        <v>0</v>
      </c>
      <c r="K144" s="77" t="s">
        <v>264</v>
      </c>
      <c r="L144" s="77" t="s">
        <v>276</v>
      </c>
      <c r="M144" s="77" t="s">
        <v>273</v>
      </c>
      <c r="N144" s="77" t="s">
        <v>274</v>
      </c>
      <c r="O144" s="77" t="s">
        <v>314</v>
      </c>
      <c r="P144" s="77" t="s">
        <v>271</v>
      </c>
    </row>
    <row r="145" spans="1:16" hidden="1">
      <c r="A145" s="77">
        <v>191605</v>
      </c>
      <c r="B145" s="77" t="s">
        <v>350</v>
      </c>
      <c r="D145" s="77">
        <v>0</v>
      </c>
      <c r="E145" s="77">
        <v>0</v>
      </c>
      <c r="F145" s="77">
        <v>0</v>
      </c>
      <c r="G145" s="77">
        <v>0</v>
      </c>
      <c r="H145" s="77">
        <v>0</v>
      </c>
      <c r="I145" s="77">
        <v>0</v>
      </c>
      <c r="J145" s="77">
        <v>0</v>
      </c>
      <c r="K145" s="77" t="s">
        <v>264</v>
      </c>
      <c r="L145" s="77" t="s">
        <v>276</v>
      </c>
      <c r="M145" s="77" t="s">
        <v>273</v>
      </c>
      <c r="N145" s="77" t="s">
        <v>274</v>
      </c>
      <c r="O145" s="77" t="s">
        <v>314</v>
      </c>
      <c r="P145" s="77" t="s">
        <v>272</v>
      </c>
    </row>
  </sheetData>
  <autoFilter ref="A1:P145">
    <filterColumn colId="14">
      <filters>
        <filter val="Constant Current"/>
      </filters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Y109"/>
  <sheetViews>
    <sheetView zoomScale="80" zoomScaleNormal="80" workbookViewId="0">
      <selection activeCell="D109" sqref="D109"/>
    </sheetView>
  </sheetViews>
  <sheetFormatPr defaultColWidth="9.140625" defaultRowHeight="15"/>
  <cols>
    <col min="1" max="1" width="9.140625" style="87"/>
    <col min="2" max="2" width="15.85546875" style="87" customWidth="1"/>
    <col min="3" max="3" width="13.7109375" style="87" customWidth="1"/>
    <col min="4" max="4" width="25.140625" style="91" customWidth="1"/>
    <col min="5" max="5" width="9.7109375" style="87" customWidth="1"/>
    <col min="6" max="11" width="9.140625" style="87"/>
    <col min="12" max="12" width="11.140625" style="87" customWidth="1"/>
    <col min="13" max="13" width="26.5703125" style="87" customWidth="1"/>
    <col min="14" max="14" width="12.7109375" style="87" customWidth="1"/>
    <col min="15" max="15" width="11.85546875" style="87" customWidth="1"/>
    <col min="16" max="16" width="19.42578125" style="87" customWidth="1"/>
    <col min="17" max="17" width="20.7109375" style="87" customWidth="1"/>
    <col min="18" max="19" width="9.140625" style="87"/>
    <col min="20" max="24" width="9.140625" style="90"/>
    <col min="25" max="25" width="13.5703125" style="87" customWidth="1"/>
    <col min="26" max="16384" width="9.140625" style="87"/>
  </cols>
  <sheetData>
    <row r="1" spans="1:25" s="83" customFormat="1">
      <c r="A1" s="83" t="s">
        <v>248</v>
      </c>
      <c r="B1" s="83" t="s">
        <v>423</v>
      </c>
      <c r="C1" s="83" t="s">
        <v>249</v>
      </c>
      <c r="D1" s="84" t="s">
        <v>424</v>
      </c>
      <c r="E1" s="83" t="s">
        <v>250</v>
      </c>
      <c r="F1" s="83" t="s">
        <v>251</v>
      </c>
      <c r="G1" s="83" t="s">
        <v>252</v>
      </c>
      <c r="H1" s="83" t="s">
        <v>253</v>
      </c>
      <c r="I1" s="83" t="s">
        <v>254</v>
      </c>
      <c r="J1" s="83" t="s">
        <v>255</v>
      </c>
      <c r="K1" s="83" t="s">
        <v>256</v>
      </c>
      <c r="L1" s="83" t="s">
        <v>260</v>
      </c>
      <c r="M1" s="83" t="s">
        <v>261</v>
      </c>
      <c r="N1" s="83" t="s">
        <v>259</v>
      </c>
      <c r="O1" s="83" t="s">
        <v>257</v>
      </c>
      <c r="P1" s="83" t="s">
        <v>262</v>
      </c>
      <c r="Q1" s="83" t="s">
        <v>258</v>
      </c>
      <c r="S1" s="85"/>
      <c r="Y1" s="86"/>
    </row>
    <row r="2" spans="1:25">
      <c r="A2" s="87">
        <v>181634</v>
      </c>
      <c r="B2" s="88" t="s">
        <v>425</v>
      </c>
      <c r="D2" s="89" t="str">
        <f>CONCATENATE(T2,U2,V2,W2,X2)</f>
        <v>NGWR05M30</v>
      </c>
      <c r="E2" s="87">
        <v>0</v>
      </c>
      <c r="F2" s="87">
        <v>0</v>
      </c>
      <c r="G2" s="87">
        <v>0</v>
      </c>
      <c r="H2" s="87">
        <v>0</v>
      </c>
      <c r="I2" s="87">
        <v>0</v>
      </c>
      <c r="J2" s="87">
        <v>0</v>
      </c>
      <c r="K2" s="87">
        <v>0</v>
      </c>
      <c r="L2" s="87" t="s">
        <v>267</v>
      </c>
      <c r="M2" s="87" t="s">
        <v>268</v>
      </c>
      <c r="N2" s="87" t="s">
        <v>426</v>
      </c>
      <c r="O2" s="87" t="s">
        <v>264</v>
      </c>
      <c r="P2" s="87" t="s">
        <v>269</v>
      </c>
      <c r="Q2" s="87" t="s">
        <v>265</v>
      </c>
      <c r="T2" s="90" t="str">
        <f>MID(B2,1,2)</f>
        <v>NG</v>
      </c>
      <c r="U2" s="90" t="str">
        <f>MID(B2,6,2)</f>
        <v>WR</v>
      </c>
      <c r="V2" s="90" t="str">
        <f>MID(B2,4,2)</f>
        <v>05</v>
      </c>
      <c r="W2" s="90" t="str">
        <f>MID(B2,8,1)</f>
        <v>M</v>
      </c>
      <c r="X2" s="90" t="str">
        <f>MID(B2,9,2)</f>
        <v>30</v>
      </c>
    </row>
    <row r="3" spans="1:25">
      <c r="A3" s="87">
        <v>181635</v>
      </c>
      <c r="B3" s="87" t="s">
        <v>427</v>
      </c>
      <c r="D3" s="89" t="str">
        <f t="shared" ref="D3:D66" si="0">CONCATENATE(T3,U3,V3,W3,X3)</f>
        <v>NGWT05M30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 t="s">
        <v>267</v>
      </c>
      <c r="M3" s="87" t="s">
        <v>268</v>
      </c>
      <c r="N3" s="87" t="s">
        <v>426</v>
      </c>
      <c r="O3" s="87" t="s">
        <v>264</v>
      </c>
      <c r="P3" s="87" t="s">
        <v>269</v>
      </c>
      <c r="Q3" s="87" t="s">
        <v>275</v>
      </c>
      <c r="T3" s="90" t="str">
        <f t="shared" ref="T3:T66" si="1">MID(B3,1,2)</f>
        <v>NG</v>
      </c>
      <c r="U3" s="90" t="str">
        <f t="shared" ref="U3:U66" si="2">MID(B3,6,2)</f>
        <v>WT</v>
      </c>
      <c r="V3" s="90" t="str">
        <f t="shared" ref="V3:V66" si="3">MID(B3,4,2)</f>
        <v>05</v>
      </c>
      <c r="W3" s="90" t="str">
        <f t="shared" ref="W3:W66" si="4">MID(B3,8,1)</f>
        <v>M</v>
      </c>
      <c r="X3" s="90" t="str">
        <f t="shared" ref="X3:X37" si="5">MID(B3,9,2)</f>
        <v>30</v>
      </c>
    </row>
    <row r="4" spans="1:25">
      <c r="A4" s="87">
        <v>181636</v>
      </c>
      <c r="B4" s="87" t="s">
        <v>428</v>
      </c>
      <c r="D4" s="89" t="str">
        <f t="shared" si="0"/>
        <v>NGWB05M30</v>
      </c>
      <c r="E4" s="87">
        <v>0</v>
      </c>
      <c r="F4" s="87">
        <v>0</v>
      </c>
      <c r="G4" s="87">
        <v>0</v>
      </c>
      <c r="H4" s="87">
        <v>0</v>
      </c>
      <c r="I4" s="87">
        <v>0</v>
      </c>
      <c r="J4" s="87">
        <v>0</v>
      </c>
      <c r="K4" s="87">
        <v>0</v>
      </c>
      <c r="L4" s="87" t="s">
        <v>267</v>
      </c>
      <c r="M4" s="87" t="s">
        <v>268</v>
      </c>
      <c r="N4" s="87" t="s">
        <v>426</v>
      </c>
      <c r="O4" s="87" t="s">
        <v>264</v>
      </c>
      <c r="P4" s="87" t="s">
        <v>269</v>
      </c>
      <c r="Q4" s="87" t="s">
        <v>276</v>
      </c>
      <c r="T4" s="90" t="str">
        <f t="shared" si="1"/>
        <v>NG</v>
      </c>
      <c r="U4" s="90" t="str">
        <f t="shared" si="2"/>
        <v>WB</v>
      </c>
      <c r="V4" s="90" t="str">
        <f t="shared" si="3"/>
        <v>05</v>
      </c>
      <c r="W4" s="90" t="str">
        <f t="shared" si="4"/>
        <v>M</v>
      </c>
      <c r="X4" s="90" t="str">
        <f t="shared" si="5"/>
        <v>30</v>
      </c>
    </row>
    <row r="5" spans="1:25">
      <c r="A5" s="87">
        <v>181637</v>
      </c>
      <c r="B5" s="87" t="s">
        <v>429</v>
      </c>
      <c r="D5" s="89" t="str">
        <f t="shared" si="0"/>
        <v>NGWR05M40</v>
      </c>
      <c r="E5" s="87">
        <v>0</v>
      </c>
      <c r="F5" s="87">
        <v>0</v>
      </c>
      <c r="G5" s="87">
        <v>0</v>
      </c>
      <c r="H5" s="87">
        <v>0</v>
      </c>
      <c r="I5" s="87">
        <v>0</v>
      </c>
      <c r="J5" s="87">
        <v>0</v>
      </c>
      <c r="K5" s="87">
        <v>0</v>
      </c>
      <c r="L5" s="87" t="s">
        <v>274</v>
      </c>
      <c r="M5" s="87" t="s">
        <v>268</v>
      </c>
      <c r="N5" s="87" t="s">
        <v>426</v>
      </c>
      <c r="O5" s="87" t="s">
        <v>264</v>
      </c>
      <c r="P5" s="87" t="s">
        <v>269</v>
      </c>
      <c r="Q5" s="87" t="s">
        <v>265</v>
      </c>
      <c r="T5" s="90" t="str">
        <f t="shared" si="1"/>
        <v>NG</v>
      </c>
      <c r="U5" s="90" t="str">
        <f t="shared" si="2"/>
        <v>WR</v>
      </c>
      <c r="V5" s="90" t="str">
        <f t="shared" si="3"/>
        <v>05</v>
      </c>
      <c r="W5" s="90" t="str">
        <f t="shared" si="4"/>
        <v>M</v>
      </c>
      <c r="X5" s="90" t="str">
        <f t="shared" si="5"/>
        <v>40</v>
      </c>
    </row>
    <row r="6" spans="1:25">
      <c r="A6" s="87">
        <v>181638</v>
      </c>
      <c r="B6" s="87" t="s">
        <v>430</v>
      </c>
      <c r="D6" s="89" t="str">
        <f t="shared" si="0"/>
        <v>NGWT05M40</v>
      </c>
      <c r="E6" s="87">
        <v>0</v>
      </c>
      <c r="F6" s="87">
        <v>0</v>
      </c>
      <c r="G6" s="87">
        <v>0</v>
      </c>
      <c r="H6" s="87">
        <v>0</v>
      </c>
      <c r="I6" s="87">
        <v>0</v>
      </c>
      <c r="J6" s="87">
        <v>0</v>
      </c>
      <c r="K6" s="87">
        <v>0</v>
      </c>
      <c r="L6" s="87" t="s">
        <v>274</v>
      </c>
      <c r="M6" s="87" t="s">
        <v>268</v>
      </c>
      <c r="N6" s="87" t="s">
        <v>426</v>
      </c>
      <c r="O6" s="87" t="s">
        <v>264</v>
      </c>
      <c r="P6" s="87" t="s">
        <v>269</v>
      </c>
      <c r="Q6" s="87" t="s">
        <v>275</v>
      </c>
      <c r="T6" s="90" t="str">
        <f t="shared" si="1"/>
        <v>NG</v>
      </c>
      <c r="U6" s="90" t="str">
        <f t="shared" si="2"/>
        <v>WT</v>
      </c>
      <c r="V6" s="90" t="str">
        <f t="shared" si="3"/>
        <v>05</v>
      </c>
      <c r="W6" s="90" t="str">
        <f t="shared" si="4"/>
        <v>M</v>
      </c>
      <c r="X6" s="90" t="str">
        <f t="shared" si="5"/>
        <v>40</v>
      </c>
    </row>
    <row r="7" spans="1:25">
      <c r="A7" s="87">
        <v>181639</v>
      </c>
      <c r="B7" s="87" t="s">
        <v>431</v>
      </c>
      <c r="D7" s="89" t="str">
        <f t="shared" si="0"/>
        <v>NGWB05M40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K7" s="87">
        <v>0</v>
      </c>
      <c r="L7" s="87" t="s">
        <v>274</v>
      </c>
      <c r="M7" s="87" t="s">
        <v>268</v>
      </c>
      <c r="N7" s="87" t="s">
        <v>426</v>
      </c>
      <c r="O7" s="87" t="s">
        <v>264</v>
      </c>
      <c r="P7" s="87" t="s">
        <v>269</v>
      </c>
      <c r="Q7" s="87" t="s">
        <v>276</v>
      </c>
      <c r="T7" s="90" t="str">
        <f t="shared" si="1"/>
        <v>NG</v>
      </c>
      <c r="U7" s="90" t="str">
        <f t="shared" si="2"/>
        <v>WB</v>
      </c>
      <c r="V7" s="90" t="str">
        <f t="shared" si="3"/>
        <v>05</v>
      </c>
      <c r="W7" s="90" t="str">
        <f t="shared" si="4"/>
        <v>M</v>
      </c>
      <c r="X7" s="90" t="str">
        <f t="shared" si="5"/>
        <v>40</v>
      </c>
    </row>
    <row r="8" spans="1:25">
      <c r="A8" s="87">
        <v>181640</v>
      </c>
      <c r="B8" s="87" t="s">
        <v>432</v>
      </c>
      <c r="D8" s="89" t="str">
        <f t="shared" si="0"/>
        <v>NGWR05M60</v>
      </c>
      <c r="E8" s="87">
        <v>0</v>
      </c>
      <c r="F8" s="87">
        <v>0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 t="s">
        <v>433</v>
      </c>
      <c r="M8" s="87" t="s">
        <v>268</v>
      </c>
      <c r="N8" s="87" t="s">
        <v>426</v>
      </c>
      <c r="O8" s="87" t="s">
        <v>264</v>
      </c>
      <c r="P8" s="87" t="s">
        <v>269</v>
      </c>
      <c r="Q8" s="87" t="s">
        <v>265</v>
      </c>
      <c r="T8" s="90" t="str">
        <f t="shared" si="1"/>
        <v>NG</v>
      </c>
      <c r="U8" s="90" t="str">
        <f t="shared" si="2"/>
        <v>WR</v>
      </c>
      <c r="V8" s="90" t="str">
        <f t="shared" si="3"/>
        <v>05</v>
      </c>
      <c r="W8" s="90" t="str">
        <f t="shared" si="4"/>
        <v>M</v>
      </c>
      <c r="X8" s="90" t="str">
        <f t="shared" si="5"/>
        <v>60</v>
      </c>
    </row>
    <row r="9" spans="1:25">
      <c r="A9" s="87">
        <v>181641</v>
      </c>
      <c r="B9" s="87" t="s">
        <v>434</v>
      </c>
      <c r="D9" s="89" t="str">
        <f t="shared" si="0"/>
        <v>NGWT05M60</v>
      </c>
      <c r="E9" s="87">
        <v>0</v>
      </c>
      <c r="F9" s="87">
        <v>0</v>
      </c>
      <c r="G9" s="87">
        <v>0</v>
      </c>
      <c r="H9" s="87">
        <v>0</v>
      </c>
      <c r="I9" s="87">
        <v>0</v>
      </c>
      <c r="J9" s="87">
        <v>0</v>
      </c>
      <c r="K9" s="87">
        <v>0</v>
      </c>
      <c r="L9" s="87" t="s">
        <v>433</v>
      </c>
      <c r="M9" s="87" t="s">
        <v>268</v>
      </c>
      <c r="N9" s="87" t="s">
        <v>426</v>
      </c>
      <c r="O9" s="87" t="s">
        <v>264</v>
      </c>
      <c r="P9" s="87" t="s">
        <v>269</v>
      </c>
      <c r="Q9" s="87" t="s">
        <v>275</v>
      </c>
      <c r="T9" s="90" t="str">
        <f t="shared" si="1"/>
        <v>NG</v>
      </c>
      <c r="U9" s="90" t="str">
        <f t="shared" si="2"/>
        <v>WT</v>
      </c>
      <c r="V9" s="90" t="str">
        <f t="shared" si="3"/>
        <v>05</v>
      </c>
      <c r="W9" s="90" t="str">
        <f t="shared" si="4"/>
        <v>M</v>
      </c>
      <c r="X9" s="90" t="str">
        <f t="shared" si="5"/>
        <v>60</v>
      </c>
    </row>
    <row r="10" spans="1:25">
      <c r="A10" s="87">
        <v>181642</v>
      </c>
      <c r="B10" s="87" t="s">
        <v>435</v>
      </c>
      <c r="D10" s="89" t="str">
        <f t="shared" si="0"/>
        <v>NGWB05M60</v>
      </c>
      <c r="E10" s="87">
        <v>0</v>
      </c>
      <c r="F10" s="87">
        <v>0</v>
      </c>
      <c r="G10" s="87">
        <v>0</v>
      </c>
      <c r="H10" s="87">
        <v>0</v>
      </c>
      <c r="I10" s="87">
        <v>0</v>
      </c>
      <c r="J10" s="87">
        <v>0</v>
      </c>
      <c r="K10" s="87">
        <v>0</v>
      </c>
      <c r="L10" s="87" t="s">
        <v>433</v>
      </c>
      <c r="M10" s="87" t="s">
        <v>268</v>
      </c>
      <c r="N10" s="87" t="s">
        <v>426</v>
      </c>
      <c r="O10" s="87" t="s">
        <v>264</v>
      </c>
      <c r="P10" s="87" t="s">
        <v>269</v>
      </c>
      <c r="Q10" s="87" t="s">
        <v>276</v>
      </c>
      <c r="T10" s="90" t="str">
        <f t="shared" si="1"/>
        <v>NG</v>
      </c>
      <c r="U10" s="90" t="str">
        <f t="shared" si="2"/>
        <v>WB</v>
      </c>
      <c r="V10" s="90" t="str">
        <f t="shared" si="3"/>
        <v>05</v>
      </c>
      <c r="W10" s="90" t="str">
        <f t="shared" si="4"/>
        <v>M</v>
      </c>
      <c r="X10" s="90" t="str">
        <f t="shared" si="5"/>
        <v>60</v>
      </c>
    </row>
    <row r="11" spans="1:25">
      <c r="A11" s="87">
        <v>181652</v>
      </c>
      <c r="B11" s="87" t="s">
        <v>436</v>
      </c>
      <c r="D11" s="89" t="str">
        <f t="shared" si="0"/>
        <v>NGBR05M30</v>
      </c>
      <c r="E11" s="87">
        <v>0</v>
      </c>
      <c r="F11" s="87">
        <v>0</v>
      </c>
      <c r="G11" s="87">
        <v>0</v>
      </c>
      <c r="H11" s="87">
        <v>0</v>
      </c>
      <c r="I11" s="87">
        <v>0</v>
      </c>
      <c r="J11" s="87">
        <v>0</v>
      </c>
      <c r="K11" s="87">
        <v>0</v>
      </c>
      <c r="L11" s="87" t="s">
        <v>267</v>
      </c>
      <c r="M11" s="87" t="s">
        <v>268</v>
      </c>
      <c r="N11" s="87" t="s">
        <v>426</v>
      </c>
      <c r="O11" s="87" t="s">
        <v>264</v>
      </c>
      <c r="P11" s="87" t="s">
        <v>270</v>
      </c>
      <c r="Q11" s="87" t="s">
        <v>265</v>
      </c>
      <c r="T11" s="90" t="str">
        <f t="shared" si="1"/>
        <v>NG</v>
      </c>
      <c r="U11" s="90" t="str">
        <f t="shared" si="2"/>
        <v>BR</v>
      </c>
      <c r="V11" s="90" t="str">
        <f t="shared" si="3"/>
        <v>05</v>
      </c>
      <c r="W11" s="90" t="str">
        <f t="shared" si="4"/>
        <v>M</v>
      </c>
      <c r="X11" s="90" t="str">
        <f t="shared" si="5"/>
        <v>30</v>
      </c>
    </row>
    <row r="12" spans="1:25">
      <c r="A12" s="87">
        <v>181653</v>
      </c>
      <c r="B12" s="87" t="s">
        <v>437</v>
      </c>
      <c r="D12" s="89" t="str">
        <f t="shared" si="0"/>
        <v>NGBT05M30</v>
      </c>
      <c r="E12" s="87">
        <v>0</v>
      </c>
      <c r="F12" s="87">
        <v>0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 t="s">
        <v>267</v>
      </c>
      <c r="M12" s="87" t="s">
        <v>268</v>
      </c>
      <c r="N12" s="87" t="s">
        <v>426</v>
      </c>
      <c r="O12" s="87" t="s">
        <v>264</v>
      </c>
      <c r="P12" s="87" t="s">
        <v>270</v>
      </c>
      <c r="Q12" s="87" t="s">
        <v>275</v>
      </c>
      <c r="T12" s="90" t="str">
        <f t="shared" si="1"/>
        <v>NG</v>
      </c>
      <c r="U12" s="90" t="str">
        <f t="shared" si="2"/>
        <v>BT</v>
      </c>
      <c r="V12" s="90" t="str">
        <f t="shared" si="3"/>
        <v>05</v>
      </c>
      <c r="W12" s="90" t="str">
        <f t="shared" si="4"/>
        <v>M</v>
      </c>
      <c r="X12" s="90" t="str">
        <f t="shared" si="5"/>
        <v>30</v>
      </c>
    </row>
    <row r="13" spans="1:25">
      <c r="A13" s="87">
        <v>181654</v>
      </c>
      <c r="B13" s="87" t="s">
        <v>438</v>
      </c>
      <c r="D13" s="89" t="str">
        <f t="shared" si="0"/>
        <v>NGBB05M30</v>
      </c>
      <c r="E13" s="87">
        <v>0</v>
      </c>
      <c r="F13" s="87">
        <v>0</v>
      </c>
      <c r="G13" s="87">
        <v>0</v>
      </c>
      <c r="H13" s="87">
        <v>0</v>
      </c>
      <c r="I13" s="87">
        <v>0</v>
      </c>
      <c r="J13" s="87">
        <v>0</v>
      </c>
      <c r="K13" s="87">
        <v>0</v>
      </c>
      <c r="L13" s="87" t="s">
        <v>267</v>
      </c>
      <c r="M13" s="87" t="s">
        <v>268</v>
      </c>
      <c r="N13" s="87" t="s">
        <v>426</v>
      </c>
      <c r="O13" s="87" t="s">
        <v>264</v>
      </c>
      <c r="P13" s="87" t="s">
        <v>270</v>
      </c>
      <c r="Q13" s="87" t="s">
        <v>276</v>
      </c>
      <c r="T13" s="90" t="str">
        <f t="shared" si="1"/>
        <v>NG</v>
      </c>
      <c r="U13" s="90" t="str">
        <f t="shared" si="2"/>
        <v>BB</v>
      </c>
      <c r="V13" s="90" t="str">
        <f t="shared" si="3"/>
        <v>05</v>
      </c>
      <c r="W13" s="90" t="str">
        <f t="shared" si="4"/>
        <v>M</v>
      </c>
      <c r="X13" s="90" t="str">
        <f t="shared" si="5"/>
        <v>30</v>
      </c>
    </row>
    <row r="14" spans="1:25">
      <c r="A14" s="87">
        <v>181655</v>
      </c>
      <c r="B14" s="87" t="s">
        <v>439</v>
      </c>
      <c r="D14" s="89" t="str">
        <f t="shared" si="0"/>
        <v>NGBR05M40</v>
      </c>
      <c r="E14" s="87">
        <v>0</v>
      </c>
      <c r="F14" s="87">
        <v>0</v>
      </c>
      <c r="G14" s="87">
        <v>0</v>
      </c>
      <c r="H14" s="87">
        <v>0</v>
      </c>
      <c r="I14" s="87">
        <v>0</v>
      </c>
      <c r="J14" s="87">
        <v>0</v>
      </c>
      <c r="K14" s="87">
        <v>0</v>
      </c>
      <c r="L14" s="87" t="s">
        <v>274</v>
      </c>
      <c r="M14" s="87" t="s">
        <v>268</v>
      </c>
      <c r="N14" s="87" t="s">
        <v>426</v>
      </c>
      <c r="O14" s="87" t="s">
        <v>264</v>
      </c>
      <c r="P14" s="87" t="s">
        <v>270</v>
      </c>
      <c r="Q14" s="87" t="s">
        <v>265</v>
      </c>
      <c r="T14" s="90" t="str">
        <f t="shared" si="1"/>
        <v>NG</v>
      </c>
      <c r="U14" s="90" t="str">
        <f t="shared" si="2"/>
        <v>BR</v>
      </c>
      <c r="V14" s="90" t="str">
        <f t="shared" si="3"/>
        <v>05</v>
      </c>
      <c r="W14" s="90" t="str">
        <f t="shared" si="4"/>
        <v>M</v>
      </c>
      <c r="X14" s="90" t="str">
        <f t="shared" si="5"/>
        <v>40</v>
      </c>
    </row>
    <row r="15" spans="1:25">
      <c r="A15" s="87">
        <v>181656</v>
      </c>
      <c r="B15" s="87" t="s">
        <v>440</v>
      </c>
      <c r="D15" s="89" t="str">
        <f t="shared" si="0"/>
        <v>NGBT05M40</v>
      </c>
      <c r="E15" s="87">
        <v>0</v>
      </c>
      <c r="F15" s="87">
        <v>0</v>
      </c>
      <c r="G15" s="87">
        <v>0</v>
      </c>
      <c r="H15" s="87">
        <v>0</v>
      </c>
      <c r="I15" s="87">
        <v>0</v>
      </c>
      <c r="J15" s="87">
        <v>0</v>
      </c>
      <c r="K15" s="87">
        <v>0</v>
      </c>
      <c r="L15" s="87" t="s">
        <v>274</v>
      </c>
      <c r="M15" s="87" t="s">
        <v>268</v>
      </c>
      <c r="N15" s="87" t="s">
        <v>426</v>
      </c>
      <c r="O15" s="87" t="s">
        <v>264</v>
      </c>
      <c r="P15" s="87" t="s">
        <v>270</v>
      </c>
      <c r="Q15" s="87" t="s">
        <v>275</v>
      </c>
      <c r="T15" s="90" t="str">
        <f t="shared" si="1"/>
        <v>NG</v>
      </c>
      <c r="U15" s="90" t="str">
        <f t="shared" si="2"/>
        <v>BT</v>
      </c>
      <c r="V15" s="90" t="str">
        <f t="shared" si="3"/>
        <v>05</v>
      </c>
      <c r="W15" s="90" t="str">
        <f t="shared" si="4"/>
        <v>M</v>
      </c>
      <c r="X15" s="90" t="str">
        <f t="shared" si="5"/>
        <v>40</v>
      </c>
    </row>
    <row r="16" spans="1:25">
      <c r="A16" s="87">
        <v>181657</v>
      </c>
      <c r="B16" s="87" t="s">
        <v>441</v>
      </c>
      <c r="D16" s="89" t="str">
        <f t="shared" si="0"/>
        <v>NGBB05M40</v>
      </c>
      <c r="E16" s="87">
        <v>0</v>
      </c>
      <c r="F16" s="87">
        <v>0</v>
      </c>
      <c r="G16" s="87">
        <v>0</v>
      </c>
      <c r="H16" s="87">
        <v>0</v>
      </c>
      <c r="I16" s="87">
        <v>0</v>
      </c>
      <c r="J16" s="87">
        <v>0</v>
      </c>
      <c r="K16" s="87">
        <v>0</v>
      </c>
      <c r="L16" s="87" t="s">
        <v>274</v>
      </c>
      <c r="M16" s="87" t="s">
        <v>268</v>
      </c>
      <c r="N16" s="87" t="s">
        <v>426</v>
      </c>
      <c r="O16" s="87" t="s">
        <v>264</v>
      </c>
      <c r="P16" s="87" t="s">
        <v>270</v>
      </c>
      <c r="Q16" s="87" t="s">
        <v>276</v>
      </c>
      <c r="T16" s="90" t="str">
        <f t="shared" si="1"/>
        <v>NG</v>
      </c>
      <c r="U16" s="90" t="str">
        <f t="shared" si="2"/>
        <v>BB</v>
      </c>
      <c r="V16" s="90" t="str">
        <f t="shared" si="3"/>
        <v>05</v>
      </c>
      <c r="W16" s="90" t="str">
        <f t="shared" si="4"/>
        <v>M</v>
      </c>
      <c r="X16" s="90" t="str">
        <f t="shared" si="5"/>
        <v>40</v>
      </c>
    </row>
    <row r="17" spans="1:24">
      <c r="A17" s="87">
        <v>181658</v>
      </c>
      <c r="B17" s="87" t="s">
        <v>442</v>
      </c>
      <c r="D17" s="89" t="str">
        <f t="shared" si="0"/>
        <v>NGBR05M60</v>
      </c>
      <c r="E17" s="87">
        <v>0</v>
      </c>
      <c r="F17" s="87">
        <v>0</v>
      </c>
      <c r="G17" s="87">
        <v>0</v>
      </c>
      <c r="H17" s="87">
        <v>0</v>
      </c>
      <c r="I17" s="87">
        <v>0</v>
      </c>
      <c r="J17" s="87">
        <v>0</v>
      </c>
      <c r="K17" s="87">
        <v>0</v>
      </c>
      <c r="L17" s="87" t="s">
        <v>433</v>
      </c>
      <c r="M17" s="87" t="s">
        <v>268</v>
      </c>
      <c r="N17" s="87" t="s">
        <v>426</v>
      </c>
      <c r="O17" s="87" t="s">
        <v>264</v>
      </c>
      <c r="P17" s="87" t="s">
        <v>270</v>
      </c>
      <c r="Q17" s="87" t="s">
        <v>265</v>
      </c>
      <c r="T17" s="90" t="str">
        <f t="shared" si="1"/>
        <v>NG</v>
      </c>
      <c r="U17" s="90" t="str">
        <f t="shared" si="2"/>
        <v>BR</v>
      </c>
      <c r="V17" s="90" t="str">
        <f t="shared" si="3"/>
        <v>05</v>
      </c>
      <c r="W17" s="90" t="str">
        <f t="shared" si="4"/>
        <v>M</v>
      </c>
      <c r="X17" s="90" t="str">
        <f t="shared" si="5"/>
        <v>60</v>
      </c>
    </row>
    <row r="18" spans="1:24">
      <c r="A18" s="87">
        <v>181659</v>
      </c>
      <c r="B18" s="87" t="s">
        <v>443</v>
      </c>
      <c r="D18" s="89" t="str">
        <f t="shared" si="0"/>
        <v>NGBT05M60</v>
      </c>
      <c r="E18" s="87">
        <v>0</v>
      </c>
      <c r="F18" s="87">
        <v>0</v>
      </c>
      <c r="G18" s="87">
        <v>0</v>
      </c>
      <c r="H18" s="87">
        <v>0</v>
      </c>
      <c r="I18" s="87">
        <v>0</v>
      </c>
      <c r="J18" s="87">
        <v>0</v>
      </c>
      <c r="K18" s="87">
        <v>0</v>
      </c>
      <c r="L18" s="87" t="s">
        <v>433</v>
      </c>
      <c r="M18" s="87" t="s">
        <v>268</v>
      </c>
      <c r="N18" s="87" t="s">
        <v>426</v>
      </c>
      <c r="O18" s="87" t="s">
        <v>264</v>
      </c>
      <c r="P18" s="87" t="s">
        <v>270</v>
      </c>
      <c r="Q18" s="87" t="s">
        <v>275</v>
      </c>
      <c r="T18" s="90" t="str">
        <f t="shared" si="1"/>
        <v>NG</v>
      </c>
      <c r="U18" s="90" t="str">
        <f t="shared" si="2"/>
        <v>BT</v>
      </c>
      <c r="V18" s="90" t="str">
        <f t="shared" si="3"/>
        <v>05</v>
      </c>
      <c r="W18" s="90" t="str">
        <f t="shared" si="4"/>
        <v>M</v>
      </c>
      <c r="X18" s="90" t="str">
        <f t="shared" si="5"/>
        <v>60</v>
      </c>
    </row>
    <row r="19" spans="1:24">
      <c r="A19" s="87">
        <v>181660</v>
      </c>
      <c r="B19" s="87" t="s">
        <v>444</v>
      </c>
      <c r="D19" s="89" t="str">
        <f t="shared" si="0"/>
        <v>NGBB05M60</v>
      </c>
      <c r="E19" s="87">
        <v>0</v>
      </c>
      <c r="F19" s="87">
        <v>0</v>
      </c>
      <c r="G19" s="87">
        <v>0</v>
      </c>
      <c r="H19" s="87">
        <v>0</v>
      </c>
      <c r="I19" s="87">
        <v>0</v>
      </c>
      <c r="J19" s="87">
        <v>0</v>
      </c>
      <c r="K19" s="87">
        <v>0</v>
      </c>
      <c r="L19" s="87" t="s">
        <v>433</v>
      </c>
      <c r="M19" s="87" t="s">
        <v>268</v>
      </c>
      <c r="N19" s="87" t="s">
        <v>426</v>
      </c>
      <c r="O19" s="87" t="s">
        <v>264</v>
      </c>
      <c r="P19" s="87" t="s">
        <v>270</v>
      </c>
      <c r="Q19" s="87" t="s">
        <v>276</v>
      </c>
      <c r="T19" s="90" t="str">
        <f t="shared" si="1"/>
        <v>NG</v>
      </c>
      <c r="U19" s="90" t="str">
        <f t="shared" si="2"/>
        <v>BB</v>
      </c>
      <c r="V19" s="90" t="str">
        <f t="shared" si="3"/>
        <v>05</v>
      </c>
      <c r="W19" s="90" t="str">
        <f t="shared" si="4"/>
        <v>M</v>
      </c>
      <c r="X19" s="90" t="str">
        <f t="shared" si="5"/>
        <v>60</v>
      </c>
    </row>
    <row r="20" spans="1:24">
      <c r="A20" s="87">
        <v>181670</v>
      </c>
      <c r="B20" s="87" t="s">
        <v>445</v>
      </c>
      <c r="D20" s="89" t="str">
        <f t="shared" si="0"/>
        <v>NGAR05M30</v>
      </c>
      <c r="E20" s="87">
        <v>0</v>
      </c>
      <c r="F20" s="87">
        <v>0</v>
      </c>
      <c r="G20" s="87">
        <v>0</v>
      </c>
      <c r="H20" s="87">
        <v>0</v>
      </c>
      <c r="I20" s="87">
        <v>0</v>
      </c>
      <c r="J20" s="87">
        <v>0</v>
      </c>
      <c r="K20" s="87">
        <v>0</v>
      </c>
      <c r="L20" s="87" t="s">
        <v>267</v>
      </c>
      <c r="M20" s="87" t="s">
        <v>268</v>
      </c>
      <c r="N20" s="87" t="s">
        <v>426</v>
      </c>
      <c r="O20" s="87" t="s">
        <v>264</v>
      </c>
      <c r="P20" s="87" t="s">
        <v>271</v>
      </c>
      <c r="Q20" s="87" t="s">
        <v>265</v>
      </c>
      <c r="T20" s="90" t="str">
        <f t="shared" si="1"/>
        <v>NG</v>
      </c>
      <c r="U20" s="90" t="str">
        <f t="shared" si="2"/>
        <v>AR</v>
      </c>
      <c r="V20" s="90" t="str">
        <f t="shared" si="3"/>
        <v>05</v>
      </c>
      <c r="W20" s="90" t="str">
        <f t="shared" si="4"/>
        <v>M</v>
      </c>
      <c r="X20" s="90" t="str">
        <f t="shared" si="5"/>
        <v>30</v>
      </c>
    </row>
    <row r="21" spans="1:24">
      <c r="A21" s="87">
        <v>181671</v>
      </c>
      <c r="B21" s="87" t="s">
        <v>446</v>
      </c>
      <c r="D21" s="89" t="str">
        <f t="shared" si="0"/>
        <v>NGAT05M30</v>
      </c>
      <c r="E21" s="87">
        <v>0</v>
      </c>
      <c r="F21" s="87">
        <v>0</v>
      </c>
      <c r="G21" s="87">
        <v>0</v>
      </c>
      <c r="H21" s="87">
        <v>0</v>
      </c>
      <c r="I21" s="87">
        <v>0</v>
      </c>
      <c r="J21" s="87">
        <v>0</v>
      </c>
      <c r="K21" s="87">
        <v>0</v>
      </c>
      <c r="L21" s="87" t="s">
        <v>267</v>
      </c>
      <c r="M21" s="87" t="s">
        <v>268</v>
      </c>
      <c r="N21" s="87" t="s">
        <v>426</v>
      </c>
      <c r="O21" s="87" t="s">
        <v>264</v>
      </c>
      <c r="P21" s="87" t="s">
        <v>271</v>
      </c>
      <c r="Q21" s="87" t="s">
        <v>275</v>
      </c>
      <c r="T21" s="90" t="str">
        <f t="shared" si="1"/>
        <v>NG</v>
      </c>
      <c r="U21" s="90" t="str">
        <f t="shared" si="2"/>
        <v>AT</v>
      </c>
      <c r="V21" s="90" t="str">
        <f t="shared" si="3"/>
        <v>05</v>
      </c>
      <c r="W21" s="90" t="str">
        <f t="shared" si="4"/>
        <v>M</v>
      </c>
      <c r="X21" s="90" t="str">
        <f t="shared" si="5"/>
        <v>30</v>
      </c>
    </row>
    <row r="22" spans="1:24">
      <c r="A22" s="87">
        <v>181672</v>
      </c>
      <c r="B22" s="87" t="s">
        <v>447</v>
      </c>
      <c r="D22" s="89" t="str">
        <f t="shared" si="0"/>
        <v>NGAB05M30</v>
      </c>
      <c r="E22" s="87">
        <v>0</v>
      </c>
      <c r="F22" s="87">
        <v>0</v>
      </c>
      <c r="G22" s="87">
        <v>0</v>
      </c>
      <c r="H22" s="87">
        <v>0</v>
      </c>
      <c r="I22" s="87">
        <v>0</v>
      </c>
      <c r="J22" s="87">
        <v>0</v>
      </c>
      <c r="K22" s="87">
        <v>0</v>
      </c>
      <c r="L22" s="87" t="s">
        <v>267</v>
      </c>
      <c r="M22" s="87" t="s">
        <v>268</v>
      </c>
      <c r="N22" s="87" t="s">
        <v>426</v>
      </c>
      <c r="O22" s="87" t="s">
        <v>264</v>
      </c>
      <c r="P22" s="87" t="s">
        <v>271</v>
      </c>
      <c r="Q22" s="87" t="s">
        <v>276</v>
      </c>
      <c r="T22" s="90" t="str">
        <f t="shared" si="1"/>
        <v>NG</v>
      </c>
      <c r="U22" s="90" t="str">
        <f t="shared" si="2"/>
        <v>AB</v>
      </c>
      <c r="V22" s="90" t="str">
        <f t="shared" si="3"/>
        <v>05</v>
      </c>
      <c r="W22" s="90" t="str">
        <f t="shared" si="4"/>
        <v>M</v>
      </c>
      <c r="X22" s="90" t="str">
        <f t="shared" si="5"/>
        <v>30</v>
      </c>
    </row>
    <row r="23" spans="1:24">
      <c r="A23" s="87">
        <v>181673</v>
      </c>
      <c r="B23" s="87" t="s">
        <v>448</v>
      </c>
      <c r="D23" s="89" t="str">
        <f t="shared" si="0"/>
        <v>NGAR05M40</v>
      </c>
      <c r="E23" s="87">
        <v>0</v>
      </c>
      <c r="F23" s="87">
        <v>0</v>
      </c>
      <c r="G23" s="87">
        <v>0</v>
      </c>
      <c r="H23" s="87">
        <v>0</v>
      </c>
      <c r="I23" s="87">
        <v>0</v>
      </c>
      <c r="J23" s="87">
        <v>0</v>
      </c>
      <c r="K23" s="87">
        <v>0</v>
      </c>
      <c r="L23" s="87" t="s">
        <v>274</v>
      </c>
      <c r="M23" s="87" t="s">
        <v>268</v>
      </c>
      <c r="N23" s="87" t="s">
        <v>426</v>
      </c>
      <c r="O23" s="87" t="s">
        <v>264</v>
      </c>
      <c r="P23" s="87" t="s">
        <v>271</v>
      </c>
      <c r="Q23" s="87" t="s">
        <v>265</v>
      </c>
      <c r="T23" s="90" t="str">
        <f t="shared" si="1"/>
        <v>NG</v>
      </c>
      <c r="U23" s="90" t="str">
        <f t="shared" si="2"/>
        <v>AR</v>
      </c>
      <c r="V23" s="90" t="str">
        <f t="shared" si="3"/>
        <v>05</v>
      </c>
      <c r="W23" s="90" t="str">
        <f t="shared" si="4"/>
        <v>M</v>
      </c>
      <c r="X23" s="90" t="str">
        <f t="shared" si="5"/>
        <v>40</v>
      </c>
    </row>
    <row r="24" spans="1:24">
      <c r="A24" s="87">
        <v>181674</v>
      </c>
      <c r="B24" s="87" t="s">
        <v>449</v>
      </c>
      <c r="D24" s="89" t="str">
        <f t="shared" si="0"/>
        <v>NGAT05M40</v>
      </c>
      <c r="E24" s="87">
        <v>0</v>
      </c>
      <c r="F24" s="87">
        <v>0</v>
      </c>
      <c r="G24" s="87">
        <v>0</v>
      </c>
      <c r="H24" s="87">
        <v>0</v>
      </c>
      <c r="I24" s="87">
        <v>0</v>
      </c>
      <c r="J24" s="87">
        <v>0</v>
      </c>
      <c r="K24" s="87">
        <v>0</v>
      </c>
      <c r="L24" s="87" t="s">
        <v>274</v>
      </c>
      <c r="M24" s="87" t="s">
        <v>268</v>
      </c>
      <c r="N24" s="87" t="s">
        <v>426</v>
      </c>
      <c r="O24" s="87" t="s">
        <v>264</v>
      </c>
      <c r="P24" s="87" t="s">
        <v>271</v>
      </c>
      <c r="Q24" s="87" t="s">
        <v>275</v>
      </c>
      <c r="T24" s="90" t="str">
        <f t="shared" si="1"/>
        <v>NG</v>
      </c>
      <c r="U24" s="90" t="str">
        <f t="shared" si="2"/>
        <v>AT</v>
      </c>
      <c r="V24" s="90" t="str">
        <f t="shared" si="3"/>
        <v>05</v>
      </c>
      <c r="W24" s="90" t="str">
        <f t="shared" si="4"/>
        <v>M</v>
      </c>
      <c r="X24" s="90" t="str">
        <f t="shared" si="5"/>
        <v>40</v>
      </c>
    </row>
    <row r="25" spans="1:24">
      <c r="A25" s="87">
        <v>181675</v>
      </c>
      <c r="B25" s="87" t="s">
        <v>450</v>
      </c>
      <c r="D25" s="89" t="str">
        <f t="shared" si="0"/>
        <v>NGAB05M40</v>
      </c>
      <c r="E25" s="87">
        <v>0</v>
      </c>
      <c r="F25" s="87">
        <v>0</v>
      </c>
      <c r="G25" s="87">
        <v>0</v>
      </c>
      <c r="H25" s="87">
        <v>0</v>
      </c>
      <c r="I25" s="87">
        <v>0</v>
      </c>
      <c r="J25" s="87">
        <v>0</v>
      </c>
      <c r="K25" s="87">
        <v>0</v>
      </c>
      <c r="L25" s="87" t="s">
        <v>274</v>
      </c>
      <c r="M25" s="87" t="s">
        <v>268</v>
      </c>
      <c r="N25" s="87" t="s">
        <v>426</v>
      </c>
      <c r="O25" s="87" t="s">
        <v>264</v>
      </c>
      <c r="P25" s="87" t="s">
        <v>271</v>
      </c>
      <c r="Q25" s="87" t="s">
        <v>276</v>
      </c>
      <c r="T25" s="90" t="str">
        <f t="shared" si="1"/>
        <v>NG</v>
      </c>
      <c r="U25" s="90" t="str">
        <f t="shared" si="2"/>
        <v>AB</v>
      </c>
      <c r="V25" s="90" t="str">
        <f t="shared" si="3"/>
        <v>05</v>
      </c>
      <c r="W25" s="90" t="str">
        <f t="shared" si="4"/>
        <v>M</v>
      </c>
      <c r="X25" s="90" t="str">
        <f t="shared" si="5"/>
        <v>40</v>
      </c>
    </row>
    <row r="26" spans="1:24">
      <c r="A26" s="87">
        <v>181676</v>
      </c>
      <c r="B26" s="87" t="s">
        <v>451</v>
      </c>
      <c r="D26" s="89" t="str">
        <f t="shared" si="0"/>
        <v>NGAR05M60</v>
      </c>
      <c r="E26" s="87">
        <v>0</v>
      </c>
      <c r="F26" s="87">
        <v>0</v>
      </c>
      <c r="G26" s="87">
        <v>0</v>
      </c>
      <c r="H26" s="87">
        <v>0</v>
      </c>
      <c r="I26" s="87">
        <v>0</v>
      </c>
      <c r="J26" s="87">
        <v>0</v>
      </c>
      <c r="K26" s="87">
        <v>0</v>
      </c>
      <c r="L26" s="87" t="s">
        <v>433</v>
      </c>
      <c r="M26" s="87" t="s">
        <v>268</v>
      </c>
      <c r="N26" s="87" t="s">
        <v>426</v>
      </c>
      <c r="O26" s="87" t="s">
        <v>264</v>
      </c>
      <c r="P26" s="87" t="s">
        <v>271</v>
      </c>
      <c r="Q26" s="87" t="s">
        <v>265</v>
      </c>
      <c r="T26" s="90" t="str">
        <f t="shared" si="1"/>
        <v>NG</v>
      </c>
      <c r="U26" s="90" t="str">
        <f t="shared" si="2"/>
        <v>AR</v>
      </c>
      <c r="V26" s="90" t="str">
        <f t="shared" si="3"/>
        <v>05</v>
      </c>
      <c r="W26" s="90" t="str">
        <f t="shared" si="4"/>
        <v>M</v>
      </c>
      <c r="X26" s="90" t="str">
        <f t="shared" si="5"/>
        <v>60</v>
      </c>
    </row>
    <row r="27" spans="1:24">
      <c r="A27" s="87">
        <v>181677</v>
      </c>
      <c r="B27" s="87" t="s">
        <v>452</v>
      </c>
      <c r="D27" s="89" t="str">
        <f t="shared" si="0"/>
        <v>NGAT05M60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 t="s">
        <v>433</v>
      </c>
      <c r="M27" s="87" t="s">
        <v>268</v>
      </c>
      <c r="N27" s="87" t="s">
        <v>426</v>
      </c>
      <c r="O27" s="87" t="s">
        <v>264</v>
      </c>
      <c r="P27" s="87" t="s">
        <v>271</v>
      </c>
      <c r="Q27" s="87" t="s">
        <v>275</v>
      </c>
      <c r="T27" s="90" t="str">
        <f t="shared" si="1"/>
        <v>NG</v>
      </c>
      <c r="U27" s="90" t="str">
        <f t="shared" si="2"/>
        <v>AT</v>
      </c>
      <c r="V27" s="90" t="str">
        <f t="shared" si="3"/>
        <v>05</v>
      </c>
      <c r="W27" s="90" t="str">
        <f t="shared" si="4"/>
        <v>M</v>
      </c>
      <c r="X27" s="90" t="str">
        <f t="shared" si="5"/>
        <v>60</v>
      </c>
    </row>
    <row r="28" spans="1:24">
      <c r="A28" s="87">
        <v>181678</v>
      </c>
      <c r="B28" s="87" t="s">
        <v>453</v>
      </c>
      <c r="D28" s="89" t="str">
        <f t="shared" si="0"/>
        <v>NGAB05M60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 t="s">
        <v>433</v>
      </c>
      <c r="M28" s="87" t="s">
        <v>268</v>
      </c>
      <c r="N28" s="87" t="s">
        <v>426</v>
      </c>
      <c r="O28" s="87" t="s">
        <v>264</v>
      </c>
      <c r="P28" s="87" t="s">
        <v>271</v>
      </c>
      <c r="Q28" s="87" t="s">
        <v>276</v>
      </c>
      <c r="T28" s="90" t="str">
        <f t="shared" si="1"/>
        <v>NG</v>
      </c>
      <c r="U28" s="90" t="str">
        <f t="shared" si="2"/>
        <v>AB</v>
      </c>
      <c r="V28" s="90" t="str">
        <f t="shared" si="3"/>
        <v>05</v>
      </c>
      <c r="W28" s="90" t="str">
        <f t="shared" si="4"/>
        <v>M</v>
      </c>
      <c r="X28" s="90" t="str">
        <f t="shared" si="5"/>
        <v>60</v>
      </c>
    </row>
    <row r="29" spans="1:24">
      <c r="A29" s="87">
        <v>181688</v>
      </c>
      <c r="B29" s="87" t="s">
        <v>454</v>
      </c>
      <c r="D29" s="89" t="str">
        <f t="shared" si="0"/>
        <v>NGCR05M30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 t="s">
        <v>267</v>
      </c>
      <c r="M29" s="87" t="s">
        <v>268</v>
      </c>
      <c r="N29" s="87" t="s">
        <v>426</v>
      </c>
      <c r="O29" s="87" t="s">
        <v>264</v>
      </c>
      <c r="P29" s="87" t="s">
        <v>272</v>
      </c>
      <c r="Q29" s="87" t="s">
        <v>265</v>
      </c>
      <c r="T29" s="90" t="str">
        <f t="shared" si="1"/>
        <v>NG</v>
      </c>
      <c r="U29" s="90" t="str">
        <f t="shared" si="2"/>
        <v>CR</v>
      </c>
      <c r="V29" s="90" t="str">
        <f t="shared" si="3"/>
        <v>05</v>
      </c>
      <c r="W29" s="90" t="str">
        <f t="shared" si="4"/>
        <v>M</v>
      </c>
      <c r="X29" s="90" t="str">
        <f t="shared" si="5"/>
        <v>30</v>
      </c>
    </row>
    <row r="30" spans="1:24">
      <c r="A30" s="87">
        <v>181689</v>
      </c>
      <c r="B30" s="87" t="s">
        <v>455</v>
      </c>
      <c r="D30" s="89" t="str">
        <f t="shared" si="0"/>
        <v>NGCT05M30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 t="s">
        <v>267</v>
      </c>
      <c r="M30" s="87" t="s">
        <v>268</v>
      </c>
      <c r="N30" s="87" t="s">
        <v>426</v>
      </c>
      <c r="O30" s="87" t="s">
        <v>264</v>
      </c>
      <c r="P30" s="87" t="s">
        <v>272</v>
      </c>
      <c r="Q30" s="87" t="s">
        <v>275</v>
      </c>
      <c r="T30" s="90" t="str">
        <f t="shared" si="1"/>
        <v>NG</v>
      </c>
      <c r="U30" s="90" t="str">
        <f t="shared" si="2"/>
        <v>CT</v>
      </c>
      <c r="V30" s="90" t="str">
        <f t="shared" si="3"/>
        <v>05</v>
      </c>
      <c r="W30" s="90" t="str">
        <f t="shared" si="4"/>
        <v>M</v>
      </c>
      <c r="X30" s="90" t="str">
        <f t="shared" si="5"/>
        <v>30</v>
      </c>
    </row>
    <row r="31" spans="1:24">
      <c r="A31" s="87">
        <v>181690</v>
      </c>
      <c r="B31" s="87" t="s">
        <v>456</v>
      </c>
      <c r="D31" s="89" t="str">
        <f t="shared" si="0"/>
        <v>NGCB05M30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 t="s">
        <v>267</v>
      </c>
      <c r="M31" s="87" t="s">
        <v>268</v>
      </c>
      <c r="N31" s="87" t="s">
        <v>426</v>
      </c>
      <c r="O31" s="87" t="s">
        <v>264</v>
      </c>
      <c r="P31" s="87" t="s">
        <v>272</v>
      </c>
      <c r="Q31" s="87" t="s">
        <v>276</v>
      </c>
      <c r="T31" s="90" t="str">
        <f t="shared" si="1"/>
        <v>NG</v>
      </c>
      <c r="U31" s="90" t="str">
        <f t="shared" si="2"/>
        <v>CB</v>
      </c>
      <c r="V31" s="90" t="str">
        <f t="shared" si="3"/>
        <v>05</v>
      </c>
      <c r="W31" s="90" t="str">
        <f t="shared" si="4"/>
        <v>M</v>
      </c>
      <c r="X31" s="90" t="str">
        <f t="shared" si="5"/>
        <v>30</v>
      </c>
    </row>
    <row r="32" spans="1:24">
      <c r="A32" s="87">
        <v>181691</v>
      </c>
      <c r="B32" s="87" t="s">
        <v>457</v>
      </c>
      <c r="D32" s="89" t="str">
        <f t="shared" si="0"/>
        <v>NGCR05M40</v>
      </c>
      <c r="E32" s="87">
        <v>0</v>
      </c>
      <c r="F32" s="87">
        <v>0</v>
      </c>
      <c r="G32" s="87">
        <v>0</v>
      </c>
      <c r="H32" s="87">
        <v>0</v>
      </c>
      <c r="I32" s="87">
        <v>0</v>
      </c>
      <c r="J32" s="87">
        <v>0</v>
      </c>
      <c r="K32" s="87">
        <v>0</v>
      </c>
      <c r="L32" s="87" t="s">
        <v>274</v>
      </c>
      <c r="M32" s="87" t="s">
        <v>268</v>
      </c>
      <c r="N32" s="87" t="s">
        <v>426</v>
      </c>
      <c r="O32" s="87" t="s">
        <v>264</v>
      </c>
      <c r="P32" s="87" t="s">
        <v>272</v>
      </c>
      <c r="Q32" s="87" t="s">
        <v>265</v>
      </c>
      <c r="T32" s="90" t="str">
        <f t="shared" si="1"/>
        <v>NG</v>
      </c>
      <c r="U32" s="90" t="str">
        <f t="shared" si="2"/>
        <v>CR</v>
      </c>
      <c r="V32" s="90" t="str">
        <f t="shared" si="3"/>
        <v>05</v>
      </c>
      <c r="W32" s="90" t="str">
        <f t="shared" si="4"/>
        <v>M</v>
      </c>
      <c r="X32" s="90" t="str">
        <f t="shared" si="5"/>
        <v>40</v>
      </c>
    </row>
    <row r="33" spans="1:24">
      <c r="A33" s="87">
        <v>181692</v>
      </c>
      <c r="B33" s="87" t="s">
        <v>458</v>
      </c>
      <c r="D33" s="89" t="str">
        <f t="shared" si="0"/>
        <v>NGCT05M40</v>
      </c>
      <c r="E33" s="87">
        <v>0</v>
      </c>
      <c r="F33" s="87">
        <v>0</v>
      </c>
      <c r="G33" s="87">
        <v>0</v>
      </c>
      <c r="H33" s="87">
        <v>0</v>
      </c>
      <c r="I33" s="87">
        <v>0</v>
      </c>
      <c r="J33" s="87">
        <v>0</v>
      </c>
      <c r="K33" s="87">
        <v>0</v>
      </c>
      <c r="L33" s="87" t="s">
        <v>274</v>
      </c>
      <c r="M33" s="87" t="s">
        <v>268</v>
      </c>
      <c r="N33" s="87" t="s">
        <v>426</v>
      </c>
      <c r="O33" s="87" t="s">
        <v>264</v>
      </c>
      <c r="P33" s="87" t="s">
        <v>272</v>
      </c>
      <c r="Q33" s="87" t="s">
        <v>275</v>
      </c>
      <c r="T33" s="90" t="str">
        <f t="shared" si="1"/>
        <v>NG</v>
      </c>
      <c r="U33" s="90" t="str">
        <f t="shared" si="2"/>
        <v>CT</v>
      </c>
      <c r="V33" s="90" t="str">
        <f t="shared" si="3"/>
        <v>05</v>
      </c>
      <c r="W33" s="90" t="str">
        <f t="shared" si="4"/>
        <v>M</v>
      </c>
      <c r="X33" s="90" t="str">
        <f t="shared" si="5"/>
        <v>40</v>
      </c>
    </row>
    <row r="34" spans="1:24">
      <c r="A34" s="87">
        <v>181693</v>
      </c>
      <c r="B34" s="87" t="s">
        <v>459</v>
      </c>
      <c r="D34" s="89" t="str">
        <f t="shared" si="0"/>
        <v>NGCB05M40</v>
      </c>
      <c r="E34" s="87">
        <v>0</v>
      </c>
      <c r="F34" s="87">
        <v>0</v>
      </c>
      <c r="G34" s="87">
        <v>0</v>
      </c>
      <c r="H34" s="87">
        <v>0</v>
      </c>
      <c r="I34" s="87">
        <v>0</v>
      </c>
      <c r="J34" s="87">
        <v>0</v>
      </c>
      <c r="K34" s="87">
        <v>0</v>
      </c>
      <c r="L34" s="87" t="s">
        <v>274</v>
      </c>
      <c r="M34" s="87" t="s">
        <v>268</v>
      </c>
      <c r="N34" s="87" t="s">
        <v>426</v>
      </c>
      <c r="O34" s="87" t="s">
        <v>264</v>
      </c>
      <c r="P34" s="87" t="s">
        <v>272</v>
      </c>
      <c r="Q34" s="87" t="s">
        <v>276</v>
      </c>
      <c r="T34" s="90" t="str">
        <f t="shared" si="1"/>
        <v>NG</v>
      </c>
      <c r="U34" s="90" t="str">
        <f t="shared" si="2"/>
        <v>CB</v>
      </c>
      <c r="V34" s="90" t="str">
        <f t="shared" si="3"/>
        <v>05</v>
      </c>
      <c r="W34" s="90" t="str">
        <f t="shared" si="4"/>
        <v>M</v>
      </c>
      <c r="X34" s="90" t="str">
        <f t="shared" si="5"/>
        <v>40</v>
      </c>
    </row>
    <row r="35" spans="1:24">
      <c r="A35" s="87">
        <v>181694</v>
      </c>
      <c r="B35" s="87" t="s">
        <v>460</v>
      </c>
      <c r="D35" s="89" t="str">
        <f t="shared" si="0"/>
        <v>NGCR05M60</v>
      </c>
      <c r="E35" s="87">
        <v>0</v>
      </c>
      <c r="F35" s="87">
        <v>0</v>
      </c>
      <c r="G35" s="87">
        <v>0</v>
      </c>
      <c r="H35" s="87">
        <v>0</v>
      </c>
      <c r="I35" s="87">
        <v>0</v>
      </c>
      <c r="J35" s="87">
        <v>0</v>
      </c>
      <c r="K35" s="87">
        <v>0</v>
      </c>
      <c r="L35" s="87" t="s">
        <v>433</v>
      </c>
      <c r="M35" s="87" t="s">
        <v>268</v>
      </c>
      <c r="N35" s="87" t="s">
        <v>426</v>
      </c>
      <c r="O35" s="87" t="s">
        <v>264</v>
      </c>
      <c r="P35" s="87" t="s">
        <v>272</v>
      </c>
      <c r="Q35" s="87" t="s">
        <v>265</v>
      </c>
      <c r="T35" s="90" t="str">
        <f t="shared" si="1"/>
        <v>NG</v>
      </c>
      <c r="U35" s="90" t="str">
        <f t="shared" si="2"/>
        <v>CR</v>
      </c>
      <c r="V35" s="90" t="str">
        <f t="shared" si="3"/>
        <v>05</v>
      </c>
      <c r="W35" s="90" t="str">
        <f t="shared" si="4"/>
        <v>M</v>
      </c>
      <c r="X35" s="90" t="str">
        <f t="shared" si="5"/>
        <v>60</v>
      </c>
    </row>
    <row r="36" spans="1:24">
      <c r="A36" s="87">
        <v>181695</v>
      </c>
      <c r="B36" s="87" t="s">
        <v>461</v>
      </c>
      <c r="D36" s="89" t="str">
        <f t="shared" si="0"/>
        <v>NGCT05M60</v>
      </c>
      <c r="E36" s="87">
        <v>0</v>
      </c>
      <c r="F36" s="87">
        <v>0</v>
      </c>
      <c r="G36" s="87">
        <v>0</v>
      </c>
      <c r="H36" s="87">
        <v>0</v>
      </c>
      <c r="I36" s="87">
        <v>0</v>
      </c>
      <c r="J36" s="87">
        <v>0</v>
      </c>
      <c r="K36" s="87">
        <v>0</v>
      </c>
      <c r="L36" s="87" t="s">
        <v>433</v>
      </c>
      <c r="M36" s="87" t="s">
        <v>268</v>
      </c>
      <c r="N36" s="87" t="s">
        <v>426</v>
      </c>
      <c r="O36" s="87" t="s">
        <v>264</v>
      </c>
      <c r="P36" s="87" t="s">
        <v>272</v>
      </c>
      <c r="Q36" s="87" t="s">
        <v>275</v>
      </c>
      <c r="T36" s="90" t="str">
        <f t="shared" si="1"/>
        <v>NG</v>
      </c>
      <c r="U36" s="90" t="str">
        <f t="shared" si="2"/>
        <v>CT</v>
      </c>
      <c r="V36" s="90" t="str">
        <f t="shared" si="3"/>
        <v>05</v>
      </c>
      <c r="W36" s="90" t="str">
        <f t="shared" si="4"/>
        <v>M</v>
      </c>
      <c r="X36" s="90" t="str">
        <f t="shared" si="5"/>
        <v>60</v>
      </c>
    </row>
    <row r="37" spans="1:24">
      <c r="A37" s="87">
        <v>181696</v>
      </c>
      <c r="B37" s="87" t="s">
        <v>462</v>
      </c>
      <c r="D37" s="89" t="str">
        <f t="shared" si="0"/>
        <v>NGCB05M60</v>
      </c>
      <c r="E37" s="87">
        <v>0</v>
      </c>
      <c r="F37" s="87">
        <v>0</v>
      </c>
      <c r="G37" s="87">
        <v>0</v>
      </c>
      <c r="H37" s="87">
        <v>0</v>
      </c>
      <c r="I37" s="87">
        <v>0</v>
      </c>
      <c r="J37" s="87">
        <v>0</v>
      </c>
      <c r="K37" s="87">
        <v>0</v>
      </c>
      <c r="L37" s="87" t="s">
        <v>433</v>
      </c>
      <c r="M37" s="87" t="s">
        <v>268</v>
      </c>
      <c r="N37" s="87" t="s">
        <v>426</v>
      </c>
      <c r="O37" s="87" t="s">
        <v>264</v>
      </c>
      <c r="P37" s="87" t="s">
        <v>272</v>
      </c>
      <c r="Q37" s="87" t="s">
        <v>276</v>
      </c>
      <c r="T37" s="90" t="str">
        <f t="shared" si="1"/>
        <v>NG</v>
      </c>
      <c r="U37" s="90" t="str">
        <f t="shared" si="2"/>
        <v>CB</v>
      </c>
      <c r="V37" s="90" t="str">
        <f t="shared" si="3"/>
        <v>05</v>
      </c>
      <c r="W37" s="90" t="str">
        <f t="shared" si="4"/>
        <v>M</v>
      </c>
      <c r="X37" s="90" t="str">
        <f t="shared" si="5"/>
        <v>60</v>
      </c>
    </row>
    <row r="38" spans="1:24">
      <c r="A38" s="87">
        <v>181850</v>
      </c>
      <c r="B38" s="87" t="s">
        <v>463</v>
      </c>
      <c r="D38" s="89" t="str">
        <f t="shared" si="0"/>
        <v>NGWR05M30I</v>
      </c>
      <c r="E38" s="87">
        <v>0</v>
      </c>
      <c r="F38" s="87">
        <v>0</v>
      </c>
      <c r="G38" s="87">
        <v>0</v>
      </c>
      <c r="H38" s="87">
        <v>0</v>
      </c>
      <c r="I38" s="87">
        <v>0</v>
      </c>
      <c r="J38" s="87">
        <v>0</v>
      </c>
      <c r="K38" s="87">
        <v>0</v>
      </c>
      <c r="L38" s="87" t="s">
        <v>267</v>
      </c>
      <c r="M38" s="87" t="s">
        <v>277</v>
      </c>
      <c r="N38" s="87" t="s">
        <v>426</v>
      </c>
      <c r="O38" s="87" t="s">
        <v>264</v>
      </c>
      <c r="P38" s="87" t="s">
        <v>269</v>
      </c>
      <c r="Q38" s="87" t="s">
        <v>265</v>
      </c>
      <c r="T38" s="90" t="str">
        <f t="shared" si="1"/>
        <v>NG</v>
      </c>
      <c r="U38" s="90" t="str">
        <f t="shared" si="2"/>
        <v>WR</v>
      </c>
      <c r="V38" s="90" t="str">
        <f t="shared" si="3"/>
        <v>05</v>
      </c>
      <c r="W38" s="90" t="str">
        <f t="shared" si="4"/>
        <v>M</v>
      </c>
      <c r="X38" s="90" t="str">
        <f t="shared" ref="X38:X101" si="6">MID(B38,9,4)</f>
        <v>30I</v>
      </c>
    </row>
    <row r="39" spans="1:24">
      <c r="A39" s="87">
        <v>181851</v>
      </c>
      <c r="B39" s="87" t="s">
        <v>464</v>
      </c>
      <c r="D39" s="89" t="str">
        <f t="shared" si="0"/>
        <v>NGWT05M30I</v>
      </c>
      <c r="E39" s="87">
        <v>0</v>
      </c>
      <c r="F39" s="87">
        <v>0</v>
      </c>
      <c r="G39" s="87">
        <v>0</v>
      </c>
      <c r="H39" s="87">
        <v>0</v>
      </c>
      <c r="I39" s="87">
        <v>0</v>
      </c>
      <c r="J39" s="87">
        <v>0</v>
      </c>
      <c r="K39" s="87">
        <v>0</v>
      </c>
      <c r="L39" s="87" t="s">
        <v>267</v>
      </c>
      <c r="M39" s="87" t="s">
        <v>277</v>
      </c>
      <c r="N39" s="87" t="s">
        <v>426</v>
      </c>
      <c r="O39" s="87" t="s">
        <v>264</v>
      </c>
      <c r="P39" s="87" t="s">
        <v>269</v>
      </c>
      <c r="Q39" s="87" t="s">
        <v>275</v>
      </c>
      <c r="T39" s="90" t="str">
        <f t="shared" si="1"/>
        <v>NG</v>
      </c>
      <c r="U39" s="90" t="str">
        <f t="shared" si="2"/>
        <v>WT</v>
      </c>
      <c r="V39" s="90" t="str">
        <f t="shared" si="3"/>
        <v>05</v>
      </c>
      <c r="W39" s="90" t="str">
        <f t="shared" si="4"/>
        <v>M</v>
      </c>
      <c r="X39" s="90" t="str">
        <f t="shared" si="6"/>
        <v>30I</v>
      </c>
    </row>
    <row r="40" spans="1:24">
      <c r="A40" s="87">
        <v>181852</v>
      </c>
      <c r="B40" s="87" t="s">
        <v>465</v>
      </c>
      <c r="D40" s="89" t="str">
        <f t="shared" si="0"/>
        <v>NGWB05M30I</v>
      </c>
      <c r="E40" s="87">
        <v>0</v>
      </c>
      <c r="F40" s="87">
        <v>0</v>
      </c>
      <c r="G40" s="87">
        <v>0</v>
      </c>
      <c r="H40" s="87">
        <v>0</v>
      </c>
      <c r="I40" s="87">
        <v>0</v>
      </c>
      <c r="J40" s="87">
        <v>0</v>
      </c>
      <c r="K40" s="87">
        <v>0</v>
      </c>
      <c r="L40" s="87" t="s">
        <v>267</v>
      </c>
      <c r="M40" s="87" t="s">
        <v>277</v>
      </c>
      <c r="N40" s="87" t="s">
        <v>426</v>
      </c>
      <c r="O40" s="87" t="s">
        <v>264</v>
      </c>
      <c r="P40" s="87" t="s">
        <v>269</v>
      </c>
      <c r="Q40" s="87" t="s">
        <v>276</v>
      </c>
      <c r="T40" s="90" t="str">
        <f t="shared" si="1"/>
        <v>NG</v>
      </c>
      <c r="U40" s="90" t="str">
        <f t="shared" si="2"/>
        <v>WB</v>
      </c>
      <c r="V40" s="90" t="str">
        <f t="shared" si="3"/>
        <v>05</v>
      </c>
      <c r="W40" s="90" t="str">
        <f t="shared" si="4"/>
        <v>M</v>
      </c>
      <c r="X40" s="90" t="str">
        <f t="shared" si="6"/>
        <v>30I</v>
      </c>
    </row>
    <row r="41" spans="1:24">
      <c r="A41" s="87">
        <v>181853</v>
      </c>
      <c r="B41" s="87" t="s">
        <v>466</v>
      </c>
      <c r="D41" s="89" t="str">
        <f t="shared" si="0"/>
        <v>NGWR05M40I</v>
      </c>
      <c r="E41" s="87">
        <v>0</v>
      </c>
      <c r="F41" s="87">
        <v>0</v>
      </c>
      <c r="G41" s="87">
        <v>0</v>
      </c>
      <c r="H41" s="87">
        <v>0</v>
      </c>
      <c r="I41" s="87">
        <v>0</v>
      </c>
      <c r="J41" s="87">
        <v>0</v>
      </c>
      <c r="K41" s="87">
        <v>0</v>
      </c>
      <c r="L41" s="87" t="s">
        <v>274</v>
      </c>
      <c r="M41" s="87" t="s">
        <v>277</v>
      </c>
      <c r="N41" s="87" t="s">
        <v>426</v>
      </c>
      <c r="O41" s="87" t="s">
        <v>264</v>
      </c>
      <c r="P41" s="87" t="s">
        <v>269</v>
      </c>
      <c r="Q41" s="87" t="s">
        <v>265</v>
      </c>
      <c r="T41" s="90" t="str">
        <f t="shared" si="1"/>
        <v>NG</v>
      </c>
      <c r="U41" s="90" t="str">
        <f t="shared" si="2"/>
        <v>WR</v>
      </c>
      <c r="V41" s="90" t="str">
        <f t="shared" si="3"/>
        <v>05</v>
      </c>
      <c r="W41" s="90" t="str">
        <f t="shared" si="4"/>
        <v>M</v>
      </c>
      <c r="X41" s="90" t="str">
        <f t="shared" si="6"/>
        <v>40I</v>
      </c>
    </row>
    <row r="42" spans="1:24">
      <c r="A42" s="87">
        <v>181854</v>
      </c>
      <c r="B42" s="87" t="s">
        <v>467</v>
      </c>
      <c r="D42" s="89" t="str">
        <f t="shared" si="0"/>
        <v>NGWT05M40I</v>
      </c>
      <c r="E42" s="87">
        <v>0</v>
      </c>
      <c r="F42" s="87">
        <v>0</v>
      </c>
      <c r="G42" s="87">
        <v>0</v>
      </c>
      <c r="H42" s="87">
        <v>0</v>
      </c>
      <c r="I42" s="87">
        <v>0</v>
      </c>
      <c r="J42" s="87">
        <v>0</v>
      </c>
      <c r="K42" s="87">
        <v>0</v>
      </c>
      <c r="L42" s="87" t="s">
        <v>274</v>
      </c>
      <c r="M42" s="87" t="s">
        <v>277</v>
      </c>
      <c r="N42" s="87" t="s">
        <v>426</v>
      </c>
      <c r="O42" s="87" t="s">
        <v>264</v>
      </c>
      <c r="P42" s="87" t="s">
        <v>269</v>
      </c>
      <c r="Q42" s="87" t="s">
        <v>275</v>
      </c>
      <c r="T42" s="90" t="str">
        <f t="shared" si="1"/>
        <v>NG</v>
      </c>
      <c r="U42" s="90" t="str">
        <f t="shared" si="2"/>
        <v>WT</v>
      </c>
      <c r="V42" s="90" t="str">
        <f t="shared" si="3"/>
        <v>05</v>
      </c>
      <c r="W42" s="90" t="str">
        <f t="shared" si="4"/>
        <v>M</v>
      </c>
      <c r="X42" s="90" t="str">
        <f t="shared" si="6"/>
        <v>40I</v>
      </c>
    </row>
    <row r="43" spans="1:24">
      <c r="A43" s="87">
        <v>181855</v>
      </c>
      <c r="B43" s="87" t="s">
        <v>468</v>
      </c>
      <c r="D43" s="89" t="str">
        <f t="shared" si="0"/>
        <v>NGWB05M40I</v>
      </c>
      <c r="E43" s="87">
        <v>0</v>
      </c>
      <c r="F43" s="87">
        <v>0</v>
      </c>
      <c r="G43" s="87">
        <v>0</v>
      </c>
      <c r="H43" s="87">
        <v>0</v>
      </c>
      <c r="I43" s="87">
        <v>0</v>
      </c>
      <c r="J43" s="87">
        <v>0</v>
      </c>
      <c r="K43" s="87">
        <v>0</v>
      </c>
      <c r="L43" s="87" t="s">
        <v>274</v>
      </c>
      <c r="M43" s="87" t="s">
        <v>277</v>
      </c>
      <c r="N43" s="87" t="s">
        <v>426</v>
      </c>
      <c r="O43" s="87" t="s">
        <v>264</v>
      </c>
      <c r="P43" s="87" t="s">
        <v>269</v>
      </c>
      <c r="Q43" s="87" t="s">
        <v>276</v>
      </c>
      <c r="T43" s="90" t="str">
        <f t="shared" si="1"/>
        <v>NG</v>
      </c>
      <c r="U43" s="90" t="str">
        <f t="shared" si="2"/>
        <v>WB</v>
      </c>
      <c r="V43" s="90" t="str">
        <f t="shared" si="3"/>
        <v>05</v>
      </c>
      <c r="W43" s="90" t="str">
        <f t="shared" si="4"/>
        <v>M</v>
      </c>
      <c r="X43" s="90" t="str">
        <f t="shared" si="6"/>
        <v>40I</v>
      </c>
    </row>
    <row r="44" spans="1:24">
      <c r="A44" s="87">
        <v>181856</v>
      </c>
      <c r="B44" s="87" t="s">
        <v>469</v>
      </c>
      <c r="D44" s="89" t="str">
        <f t="shared" si="0"/>
        <v>NGWR05M60I</v>
      </c>
      <c r="E44" s="87">
        <v>0</v>
      </c>
      <c r="F44" s="87">
        <v>0</v>
      </c>
      <c r="G44" s="87">
        <v>0</v>
      </c>
      <c r="H44" s="87">
        <v>0</v>
      </c>
      <c r="I44" s="87">
        <v>0</v>
      </c>
      <c r="J44" s="87">
        <v>0</v>
      </c>
      <c r="K44" s="87">
        <v>0</v>
      </c>
      <c r="L44" s="87" t="s">
        <v>433</v>
      </c>
      <c r="M44" s="87" t="s">
        <v>277</v>
      </c>
      <c r="N44" s="87" t="s">
        <v>426</v>
      </c>
      <c r="O44" s="87" t="s">
        <v>264</v>
      </c>
      <c r="P44" s="87" t="s">
        <v>269</v>
      </c>
      <c r="Q44" s="87" t="s">
        <v>265</v>
      </c>
      <c r="T44" s="90" t="str">
        <f t="shared" si="1"/>
        <v>NG</v>
      </c>
      <c r="U44" s="90" t="str">
        <f t="shared" si="2"/>
        <v>WR</v>
      </c>
      <c r="V44" s="90" t="str">
        <f t="shared" si="3"/>
        <v>05</v>
      </c>
      <c r="W44" s="90" t="str">
        <f t="shared" si="4"/>
        <v>M</v>
      </c>
      <c r="X44" s="90" t="str">
        <f t="shared" si="6"/>
        <v>60I</v>
      </c>
    </row>
    <row r="45" spans="1:24">
      <c r="A45" s="87">
        <v>181857</v>
      </c>
      <c r="B45" s="87" t="s">
        <v>470</v>
      </c>
      <c r="D45" s="89" t="str">
        <f t="shared" si="0"/>
        <v>NGWT05M60I</v>
      </c>
      <c r="E45" s="87">
        <v>0</v>
      </c>
      <c r="F45" s="87">
        <v>0</v>
      </c>
      <c r="G45" s="87">
        <v>0</v>
      </c>
      <c r="H45" s="87">
        <v>0</v>
      </c>
      <c r="I45" s="87">
        <v>0</v>
      </c>
      <c r="J45" s="87">
        <v>0</v>
      </c>
      <c r="K45" s="87">
        <v>0</v>
      </c>
      <c r="L45" s="87" t="s">
        <v>433</v>
      </c>
      <c r="M45" s="87" t="s">
        <v>277</v>
      </c>
      <c r="N45" s="87" t="s">
        <v>426</v>
      </c>
      <c r="O45" s="87" t="s">
        <v>264</v>
      </c>
      <c r="P45" s="87" t="s">
        <v>269</v>
      </c>
      <c r="Q45" s="87" t="s">
        <v>275</v>
      </c>
      <c r="T45" s="90" t="str">
        <f t="shared" si="1"/>
        <v>NG</v>
      </c>
      <c r="U45" s="90" t="str">
        <f t="shared" si="2"/>
        <v>WT</v>
      </c>
      <c r="V45" s="90" t="str">
        <f t="shared" si="3"/>
        <v>05</v>
      </c>
      <c r="W45" s="90" t="str">
        <f t="shared" si="4"/>
        <v>M</v>
      </c>
      <c r="X45" s="90" t="str">
        <f t="shared" si="6"/>
        <v>60I</v>
      </c>
    </row>
    <row r="46" spans="1:24">
      <c r="A46" s="87">
        <v>181858</v>
      </c>
      <c r="B46" s="87" t="s">
        <v>471</v>
      </c>
      <c r="D46" s="89" t="str">
        <f t="shared" si="0"/>
        <v>NGWB05M60I</v>
      </c>
      <c r="E46" s="87">
        <v>0</v>
      </c>
      <c r="F46" s="87">
        <v>0</v>
      </c>
      <c r="G46" s="87">
        <v>0</v>
      </c>
      <c r="H46" s="87">
        <v>0</v>
      </c>
      <c r="I46" s="87">
        <v>0</v>
      </c>
      <c r="J46" s="87">
        <v>0</v>
      </c>
      <c r="K46" s="87">
        <v>0</v>
      </c>
      <c r="L46" s="87" t="s">
        <v>433</v>
      </c>
      <c r="M46" s="87" t="s">
        <v>277</v>
      </c>
      <c r="N46" s="87" t="s">
        <v>426</v>
      </c>
      <c r="O46" s="87" t="s">
        <v>264</v>
      </c>
      <c r="P46" s="87" t="s">
        <v>269</v>
      </c>
      <c r="Q46" s="87" t="s">
        <v>276</v>
      </c>
      <c r="T46" s="90" t="str">
        <f t="shared" si="1"/>
        <v>NG</v>
      </c>
      <c r="U46" s="90" t="str">
        <f t="shared" si="2"/>
        <v>WB</v>
      </c>
      <c r="V46" s="90" t="str">
        <f t="shared" si="3"/>
        <v>05</v>
      </c>
      <c r="W46" s="90" t="str">
        <f t="shared" si="4"/>
        <v>M</v>
      </c>
      <c r="X46" s="90" t="str">
        <f t="shared" si="6"/>
        <v>60I</v>
      </c>
    </row>
    <row r="47" spans="1:24">
      <c r="A47" s="87">
        <v>181868</v>
      </c>
      <c r="B47" s="87" t="s">
        <v>472</v>
      </c>
      <c r="D47" s="89" t="str">
        <f t="shared" si="0"/>
        <v>NGBR05M30I</v>
      </c>
      <c r="E47" s="87">
        <v>0</v>
      </c>
      <c r="F47" s="87">
        <v>0</v>
      </c>
      <c r="G47" s="87">
        <v>0</v>
      </c>
      <c r="H47" s="87">
        <v>0</v>
      </c>
      <c r="I47" s="87">
        <v>0</v>
      </c>
      <c r="J47" s="87">
        <v>0</v>
      </c>
      <c r="K47" s="87">
        <v>0</v>
      </c>
      <c r="L47" s="87" t="s">
        <v>267</v>
      </c>
      <c r="M47" s="87" t="s">
        <v>277</v>
      </c>
      <c r="N47" s="87" t="s">
        <v>426</v>
      </c>
      <c r="O47" s="87" t="s">
        <v>264</v>
      </c>
      <c r="P47" s="87" t="s">
        <v>270</v>
      </c>
      <c r="Q47" s="87" t="s">
        <v>265</v>
      </c>
      <c r="T47" s="90" t="str">
        <f t="shared" si="1"/>
        <v>NG</v>
      </c>
      <c r="U47" s="90" t="str">
        <f t="shared" si="2"/>
        <v>BR</v>
      </c>
      <c r="V47" s="90" t="str">
        <f t="shared" si="3"/>
        <v>05</v>
      </c>
      <c r="W47" s="90" t="str">
        <f t="shared" si="4"/>
        <v>M</v>
      </c>
      <c r="X47" s="90" t="str">
        <f t="shared" si="6"/>
        <v>30I</v>
      </c>
    </row>
    <row r="48" spans="1:24">
      <c r="A48" s="87">
        <v>181869</v>
      </c>
      <c r="B48" s="87" t="s">
        <v>473</v>
      </c>
      <c r="D48" s="89" t="str">
        <f t="shared" si="0"/>
        <v>NGBT05M30I</v>
      </c>
      <c r="E48" s="87">
        <v>0</v>
      </c>
      <c r="F48" s="87">
        <v>0</v>
      </c>
      <c r="G48" s="87">
        <v>0</v>
      </c>
      <c r="H48" s="87">
        <v>0</v>
      </c>
      <c r="I48" s="87">
        <v>0</v>
      </c>
      <c r="J48" s="87">
        <v>0</v>
      </c>
      <c r="K48" s="87">
        <v>0</v>
      </c>
      <c r="L48" s="87" t="s">
        <v>267</v>
      </c>
      <c r="M48" s="87" t="s">
        <v>277</v>
      </c>
      <c r="N48" s="87" t="s">
        <v>426</v>
      </c>
      <c r="O48" s="87" t="s">
        <v>264</v>
      </c>
      <c r="P48" s="87" t="s">
        <v>270</v>
      </c>
      <c r="Q48" s="87" t="s">
        <v>275</v>
      </c>
      <c r="T48" s="90" t="str">
        <f t="shared" si="1"/>
        <v>NG</v>
      </c>
      <c r="U48" s="90" t="str">
        <f t="shared" si="2"/>
        <v>BT</v>
      </c>
      <c r="V48" s="90" t="str">
        <f t="shared" si="3"/>
        <v>05</v>
      </c>
      <c r="W48" s="90" t="str">
        <f t="shared" si="4"/>
        <v>M</v>
      </c>
      <c r="X48" s="90" t="str">
        <f t="shared" si="6"/>
        <v>30I</v>
      </c>
    </row>
    <row r="49" spans="1:24">
      <c r="A49" s="87">
        <v>181870</v>
      </c>
      <c r="B49" s="87" t="s">
        <v>474</v>
      </c>
      <c r="D49" s="89" t="str">
        <f t="shared" si="0"/>
        <v>NGBB05M30I</v>
      </c>
      <c r="E49" s="87">
        <v>0</v>
      </c>
      <c r="F49" s="87">
        <v>0</v>
      </c>
      <c r="G49" s="87">
        <v>0</v>
      </c>
      <c r="H49" s="87">
        <v>0</v>
      </c>
      <c r="I49" s="87">
        <v>0</v>
      </c>
      <c r="J49" s="87">
        <v>0</v>
      </c>
      <c r="K49" s="87">
        <v>0</v>
      </c>
      <c r="L49" s="87" t="s">
        <v>267</v>
      </c>
      <c r="M49" s="87" t="s">
        <v>277</v>
      </c>
      <c r="N49" s="87" t="s">
        <v>426</v>
      </c>
      <c r="O49" s="87" t="s">
        <v>264</v>
      </c>
      <c r="P49" s="87" t="s">
        <v>270</v>
      </c>
      <c r="Q49" s="87" t="s">
        <v>276</v>
      </c>
      <c r="T49" s="90" t="str">
        <f t="shared" si="1"/>
        <v>NG</v>
      </c>
      <c r="U49" s="90" t="str">
        <f t="shared" si="2"/>
        <v>BB</v>
      </c>
      <c r="V49" s="90" t="str">
        <f t="shared" si="3"/>
        <v>05</v>
      </c>
      <c r="W49" s="90" t="str">
        <f t="shared" si="4"/>
        <v>M</v>
      </c>
      <c r="X49" s="90" t="str">
        <f t="shared" si="6"/>
        <v>30I</v>
      </c>
    </row>
    <row r="50" spans="1:24">
      <c r="A50" s="87">
        <v>181871</v>
      </c>
      <c r="B50" s="87" t="s">
        <v>475</v>
      </c>
      <c r="D50" s="89" t="str">
        <f t="shared" si="0"/>
        <v>NGBR05M40I</v>
      </c>
      <c r="E50" s="87">
        <v>0</v>
      </c>
      <c r="F50" s="87">
        <v>0</v>
      </c>
      <c r="G50" s="87">
        <v>0</v>
      </c>
      <c r="H50" s="87">
        <v>0</v>
      </c>
      <c r="I50" s="87">
        <v>0</v>
      </c>
      <c r="J50" s="87">
        <v>0</v>
      </c>
      <c r="K50" s="87">
        <v>0</v>
      </c>
      <c r="L50" s="87" t="s">
        <v>274</v>
      </c>
      <c r="M50" s="87" t="s">
        <v>277</v>
      </c>
      <c r="N50" s="87" t="s">
        <v>426</v>
      </c>
      <c r="O50" s="87" t="s">
        <v>264</v>
      </c>
      <c r="P50" s="87" t="s">
        <v>270</v>
      </c>
      <c r="Q50" s="87" t="s">
        <v>265</v>
      </c>
      <c r="T50" s="90" t="str">
        <f t="shared" si="1"/>
        <v>NG</v>
      </c>
      <c r="U50" s="90" t="str">
        <f t="shared" si="2"/>
        <v>BR</v>
      </c>
      <c r="V50" s="90" t="str">
        <f t="shared" si="3"/>
        <v>05</v>
      </c>
      <c r="W50" s="90" t="str">
        <f t="shared" si="4"/>
        <v>M</v>
      </c>
      <c r="X50" s="90" t="str">
        <f t="shared" si="6"/>
        <v>40I</v>
      </c>
    </row>
    <row r="51" spans="1:24">
      <c r="A51" s="87">
        <v>181872</v>
      </c>
      <c r="B51" s="87" t="s">
        <v>476</v>
      </c>
      <c r="D51" s="89" t="str">
        <f t="shared" si="0"/>
        <v>NGBT05M40I</v>
      </c>
      <c r="E51" s="87">
        <v>0</v>
      </c>
      <c r="F51" s="87">
        <v>0</v>
      </c>
      <c r="G51" s="87">
        <v>0</v>
      </c>
      <c r="H51" s="87">
        <v>0</v>
      </c>
      <c r="I51" s="87">
        <v>0</v>
      </c>
      <c r="J51" s="87">
        <v>0</v>
      </c>
      <c r="K51" s="87">
        <v>0</v>
      </c>
      <c r="L51" s="87" t="s">
        <v>274</v>
      </c>
      <c r="M51" s="87" t="s">
        <v>277</v>
      </c>
      <c r="N51" s="87" t="s">
        <v>426</v>
      </c>
      <c r="O51" s="87" t="s">
        <v>264</v>
      </c>
      <c r="P51" s="87" t="s">
        <v>270</v>
      </c>
      <c r="Q51" s="87" t="s">
        <v>275</v>
      </c>
      <c r="T51" s="90" t="str">
        <f t="shared" si="1"/>
        <v>NG</v>
      </c>
      <c r="U51" s="90" t="str">
        <f t="shared" si="2"/>
        <v>BT</v>
      </c>
      <c r="V51" s="90" t="str">
        <f t="shared" si="3"/>
        <v>05</v>
      </c>
      <c r="W51" s="90" t="str">
        <f t="shared" si="4"/>
        <v>M</v>
      </c>
      <c r="X51" s="90" t="str">
        <f t="shared" si="6"/>
        <v>40I</v>
      </c>
    </row>
    <row r="52" spans="1:24">
      <c r="A52" s="87">
        <v>181873</v>
      </c>
      <c r="B52" s="87" t="s">
        <v>477</v>
      </c>
      <c r="D52" s="89" t="str">
        <f t="shared" si="0"/>
        <v>NGBB05M40I</v>
      </c>
      <c r="E52" s="87">
        <v>0</v>
      </c>
      <c r="F52" s="87">
        <v>0</v>
      </c>
      <c r="G52" s="87">
        <v>0</v>
      </c>
      <c r="H52" s="87">
        <v>0</v>
      </c>
      <c r="I52" s="87">
        <v>0</v>
      </c>
      <c r="J52" s="87">
        <v>0</v>
      </c>
      <c r="K52" s="87">
        <v>0</v>
      </c>
      <c r="L52" s="87" t="s">
        <v>274</v>
      </c>
      <c r="M52" s="87" t="s">
        <v>277</v>
      </c>
      <c r="N52" s="87" t="s">
        <v>426</v>
      </c>
      <c r="O52" s="87" t="s">
        <v>264</v>
      </c>
      <c r="P52" s="87" t="s">
        <v>270</v>
      </c>
      <c r="Q52" s="87" t="s">
        <v>276</v>
      </c>
      <c r="T52" s="90" t="str">
        <f t="shared" si="1"/>
        <v>NG</v>
      </c>
      <c r="U52" s="90" t="str">
        <f t="shared" si="2"/>
        <v>BB</v>
      </c>
      <c r="V52" s="90" t="str">
        <f t="shared" si="3"/>
        <v>05</v>
      </c>
      <c r="W52" s="90" t="str">
        <f t="shared" si="4"/>
        <v>M</v>
      </c>
      <c r="X52" s="90" t="str">
        <f t="shared" si="6"/>
        <v>40I</v>
      </c>
    </row>
    <row r="53" spans="1:24">
      <c r="A53" s="87">
        <v>181874</v>
      </c>
      <c r="B53" s="87" t="s">
        <v>478</v>
      </c>
      <c r="D53" s="89" t="str">
        <f t="shared" si="0"/>
        <v>NGBR05M60I</v>
      </c>
      <c r="E53" s="87">
        <v>0</v>
      </c>
      <c r="F53" s="87">
        <v>0</v>
      </c>
      <c r="G53" s="87">
        <v>0</v>
      </c>
      <c r="H53" s="87">
        <v>0</v>
      </c>
      <c r="I53" s="87">
        <v>0</v>
      </c>
      <c r="J53" s="87">
        <v>0</v>
      </c>
      <c r="K53" s="87">
        <v>0</v>
      </c>
      <c r="L53" s="87" t="s">
        <v>433</v>
      </c>
      <c r="M53" s="87" t="s">
        <v>277</v>
      </c>
      <c r="N53" s="87" t="s">
        <v>426</v>
      </c>
      <c r="O53" s="87" t="s">
        <v>264</v>
      </c>
      <c r="P53" s="87" t="s">
        <v>270</v>
      </c>
      <c r="Q53" s="87" t="s">
        <v>265</v>
      </c>
      <c r="T53" s="90" t="str">
        <f t="shared" si="1"/>
        <v>NG</v>
      </c>
      <c r="U53" s="90" t="str">
        <f t="shared" si="2"/>
        <v>BR</v>
      </c>
      <c r="V53" s="90" t="str">
        <f t="shared" si="3"/>
        <v>05</v>
      </c>
      <c r="W53" s="90" t="str">
        <f t="shared" si="4"/>
        <v>M</v>
      </c>
      <c r="X53" s="90" t="str">
        <f t="shared" si="6"/>
        <v>60I</v>
      </c>
    </row>
    <row r="54" spans="1:24">
      <c r="A54" s="87">
        <v>181875</v>
      </c>
      <c r="B54" s="87" t="s">
        <v>479</v>
      </c>
      <c r="D54" s="89" t="str">
        <f t="shared" si="0"/>
        <v>NGBT05M60I</v>
      </c>
      <c r="E54" s="87">
        <v>0</v>
      </c>
      <c r="F54" s="87">
        <v>0</v>
      </c>
      <c r="G54" s="87">
        <v>0</v>
      </c>
      <c r="H54" s="87">
        <v>0</v>
      </c>
      <c r="I54" s="87">
        <v>0</v>
      </c>
      <c r="J54" s="87">
        <v>0</v>
      </c>
      <c r="K54" s="87">
        <v>0</v>
      </c>
      <c r="L54" s="87" t="s">
        <v>433</v>
      </c>
      <c r="M54" s="87" t="s">
        <v>277</v>
      </c>
      <c r="N54" s="87" t="s">
        <v>426</v>
      </c>
      <c r="O54" s="87" t="s">
        <v>264</v>
      </c>
      <c r="P54" s="87" t="s">
        <v>270</v>
      </c>
      <c r="Q54" s="87" t="s">
        <v>275</v>
      </c>
      <c r="T54" s="90" t="str">
        <f t="shared" si="1"/>
        <v>NG</v>
      </c>
      <c r="U54" s="90" t="str">
        <f t="shared" si="2"/>
        <v>BT</v>
      </c>
      <c r="V54" s="90" t="str">
        <f t="shared" si="3"/>
        <v>05</v>
      </c>
      <c r="W54" s="90" t="str">
        <f t="shared" si="4"/>
        <v>M</v>
      </c>
      <c r="X54" s="90" t="str">
        <f t="shared" si="6"/>
        <v>60I</v>
      </c>
    </row>
    <row r="55" spans="1:24">
      <c r="A55" s="87">
        <v>181876</v>
      </c>
      <c r="B55" s="87" t="s">
        <v>480</v>
      </c>
      <c r="D55" s="89" t="str">
        <f t="shared" si="0"/>
        <v>NGBB05M60I</v>
      </c>
      <c r="E55" s="87">
        <v>0</v>
      </c>
      <c r="F55" s="87">
        <v>0</v>
      </c>
      <c r="G55" s="87">
        <v>0</v>
      </c>
      <c r="H55" s="87">
        <v>0</v>
      </c>
      <c r="I55" s="87">
        <v>0</v>
      </c>
      <c r="J55" s="87">
        <v>0</v>
      </c>
      <c r="K55" s="87">
        <v>0</v>
      </c>
      <c r="L55" s="87" t="s">
        <v>433</v>
      </c>
      <c r="M55" s="87" t="s">
        <v>277</v>
      </c>
      <c r="N55" s="87" t="s">
        <v>426</v>
      </c>
      <c r="O55" s="87" t="s">
        <v>264</v>
      </c>
      <c r="P55" s="87" t="s">
        <v>270</v>
      </c>
      <c r="Q55" s="87" t="s">
        <v>276</v>
      </c>
      <c r="T55" s="90" t="str">
        <f t="shared" si="1"/>
        <v>NG</v>
      </c>
      <c r="U55" s="90" t="str">
        <f t="shared" si="2"/>
        <v>BB</v>
      </c>
      <c r="V55" s="90" t="str">
        <f t="shared" si="3"/>
        <v>05</v>
      </c>
      <c r="W55" s="90" t="str">
        <f t="shared" si="4"/>
        <v>M</v>
      </c>
      <c r="X55" s="90" t="str">
        <f t="shared" si="6"/>
        <v>60I</v>
      </c>
    </row>
    <row r="56" spans="1:24">
      <c r="A56" s="87">
        <v>181886</v>
      </c>
      <c r="B56" s="87" t="s">
        <v>481</v>
      </c>
      <c r="D56" s="89" t="str">
        <f t="shared" si="0"/>
        <v>NGAR05M30I</v>
      </c>
      <c r="E56" s="87">
        <v>0</v>
      </c>
      <c r="F56" s="87">
        <v>0</v>
      </c>
      <c r="G56" s="87">
        <v>0</v>
      </c>
      <c r="H56" s="87">
        <v>0</v>
      </c>
      <c r="I56" s="87">
        <v>0</v>
      </c>
      <c r="J56" s="87">
        <v>0</v>
      </c>
      <c r="K56" s="87">
        <v>0</v>
      </c>
      <c r="L56" s="87" t="s">
        <v>267</v>
      </c>
      <c r="M56" s="87" t="s">
        <v>277</v>
      </c>
      <c r="N56" s="87" t="s">
        <v>426</v>
      </c>
      <c r="O56" s="87" t="s">
        <v>264</v>
      </c>
      <c r="P56" s="87" t="s">
        <v>271</v>
      </c>
      <c r="Q56" s="87" t="s">
        <v>265</v>
      </c>
      <c r="T56" s="90" t="str">
        <f t="shared" si="1"/>
        <v>NG</v>
      </c>
      <c r="U56" s="90" t="str">
        <f t="shared" si="2"/>
        <v>AR</v>
      </c>
      <c r="V56" s="90" t="str">
        <f t="shared" si="3"/>
        <v>05</v>
      </c>
      <c r="W56" s="90" t="str">
        <f t="shared" si="4"/>
        <v>M</v>
      </c>
      <c r="X56" s="90" t="str">
        <f t="shared" si="6"/>
        <v>30I</v>
      </c>
    </row>
    <row r="57" spans="1:24">
      <c r="A57" s="87">
        <v>181887</v>
      </c>
      <c r="B57" s="87" t="s">
        <v>482</v>
      </c>
      <c r="D57" s="89" t="str">
        <f t="shared" si="0"/>
        <v>NGAT05M30I</v>
      </c>
      <c r="E57" s="87">
        <v>0</v>
      </c>
      <c r="F57" s="87">
        <v>0</v>
      </c>
      <c r="G57" s="87">
        <v>0</v>
      </c>
      <c r="H57" s="87">
        <v>0</v>
      </c>
      <c r="I57" s="87">
        <v>0</v>
      </c>
      <c r="J57" s="87">
        <v>0</v>
      </c>
      <c r="K57" s="87">
        <v>0</v>
      </c>
      <c r="L57" s="87" t="s">
        <v>267</v>
      </c>
      <c r="M57" s="87" t="s">
        <v>277</v>
      </c>
      <c r="N57" s="87" t="s">
        <v>426</v>
      </c>
      <c r="O57" s="87" t="s">
        <v>264</v>
      </c>
      <c r="P57" s="87" t="s">
        <v>271</v>
      </c>
      <c r="Q57" s="87" t="s">
        <v>275</v>
      </c>
      <c r="T57" s="90" t="str">
        <f t="shared" si="1"/>
        <v>NG</v>
      </c>
      <c r="U57" s="90" t="str">
        <f t="shared" si="2"/>
        <v>AT</v>
      </c>
      <c r="V57" s="90" t="str">
        <f t="shared" si="3"/>
        <v>05</v>
      </c>
      <c r="W57" s="90" t="str">
        <f t="shared" si="4"/>
        <v>M</v>
      </c>
      <c r="X57" s="90" t="str">
        <f t="shared" si="6"/>
        <v>30I</v>
      </c>
    </row>
    <row r="58" spans="1:24">
      <c r="A58" s="87">
        <v>181888</v>
      </c>
      <c r="B58" s="87" t="s">
        <v>483</v>
      </c>
      <c r="D58" s="89" t="str">
        <f t="shared" si="0"/>
        <v>NGAB05M30I</v>
      </c>
      <c r="E58" s="87">
        <v>0</v>
      </c>
      <c r="F58" s="87">
        <v>0</v>
      </c>
      <c r="G58" s="87">
        <v>0</v>
      </c>
      <c r="H58" s="87">
        <v>0</v>
      </c>
      <c r="I58" s="87">
        <v>0</v>
      </c>
      <c r="J58" s="87">
        <v>0</v>
      </c>
      <c r="K58" s="87">
        <v>0</v>
      </c>
      <c r="L58" s="87" t="s">
        <v>267</v>
      </c>
      <c r="M58" s="87" t="s">
        <v>277</v>
      </c>
      <c r="N58" s="87" t="s">
        <v>426</v>
      </c>
      <c r="O58" s="87" t="s">
        <v>264</v>
      </c>
      <c r="P58" s="87" t="s">
        <v>271</v>
      </c>
      <c r="Q58" s="87" t="s">
        <v>276</v>
      </c>
      <c r="T58" s="90" t="str">
        <f t="shared" si="1"/>
        <v>NG</v>
      </c>
      <c r="U58" s="90" t="str">
        <f t="shared" si="2"/>
        <v>AB</v>
      </c>
      <c r="V58" s="90" t="str">
        <f t="shared" si="3"/>
        <v>05</v>
      </c>
      <c r="W58" s="90" t="str">
        <f t="shared" si="4"/>
        <v>M</v>
      </c>
      <c r="X58" s="90" t="str">
        <f t="shared" si="6"/>
        <v>30I</v>
      </c>
    </row>
    <row r="59" spans="1:24">
      <c r="A59" s="87">
        <v>181889</v>
      </c>
      <c r="B59" s="87" t="s">
        <v>484</v>
      </c>
      <c r="D59" s="89" t="str">
        <f t="shared" si="0"/>
        <v>NGAR05M40I</v>
      </c>
      <c r="E59" s="87">
        <v>0</v>
      </c>
      <c r="F59" s="87">
        <v>0</v>
      </c>
      <c r="G59" s="87">
        <v>0</v>
      </c>
      <c r="H59" s="87">
        <v>0</v>
      </c>
      <c r="I59" s="87">
        <v>0</v>
      </c>
      <c r="J59" s="87">
        <v>0</v>
      </c>
      <c r="K59" s="87">
        <v>0</v>
      </c>
      <c r="L59" s="87" t="s">
        <v>274</v>
      </c>
      <c r="M59" s="87" t="s">
        <v>277</v>
      </c>
      <c r="N59" s="87" t="s">
        <v>426</v>
      </c>
      <c r="O59" s="87" t="s">
        <v>264</v>
      </c>
      <c r="P59" s="87" t="s">
        <v>271</v>
      </c>
      <c r="Q59" s="87" t="s">
        <v>265</v>
      </c>
      <c r="T59" s="90" t="str">
        <f t="shared" si="1"/>
        <v>NG</v>
      </c>
      <c r="U59" s="90" t="str">
        <f t="shared" si="2"/>
        <v>AR</v>
      </c>
      <c r="V59" s="90" t="str">
        <f t="shared" si="3"/>
        <v>05</v>
      </c>
      <c r="W59" s="90" t="str">
        <f t="shared" si="4"/>
        <v>M</v>
      </c>
      <c r="X59" s="90" t="str">
        <f t="shared" si="6"/>
        <v>40I</v>
      </c>
    </row>
    <row r="60" spans="1:24">
      <c r="A60" s="87">
        <v>181890</v>
      </c>
      <c r="B60" s="87" t="s">
        <v>485</v>
      </c>
      <c r="D60" s="89" t="str">
        <f t="shared" si="0"/>
        <v>NGAT05M40I</v>
      </c>
      <c r="E60" s="87">
        <v>0</v>
      </c>
      <c r="F60" s="87">
        <v>0</v>
      </c>
      <c r="G60" s="87">
        <v>0</v>
      </c>
      <c r="H60" s="87">
        <v>0</v>
      </c>
      <c r="I60" s="87">
        <v>0</v>
      </c>
      <c r="J60" s="87">
        <v>0</v>
      </c>
      <c r="K60" s="87">
        <v>0</v>
      </c>
      <c r="L60" s="87" t="s">
        <v>274</v>
      </c>
      <c r="M60" s="87" t="s">
        <v>277</v>
      </c>
      <c r="N60" s="87" t="s">
        <v>426</v>
      </c>
      <c r="O60" s="87" t="s">
        <v>264</v>
      </c>
      <c r="P60" s="87" t="s">
        <v>271</v>
      </c>
      <c r="Q60" s="87" t="s">
        <v>275</v>
      </c>
      <c r="T60" s="90" t="str">
        <f t="shared" si="1"/>
        <v>NG</v>
      </c>
      <c r="U60" s="90" t="str">
        <f t="shared" si="2"/>
        <v>AT</v>
      </c>
      <c r="V60" s="90" t="str">
        <f t="shared" si="3"/>
        <v>05</v>
      </c>
      <c r="W60" s="90" t="str">
        <f t="shared" si="4"/>
        <v>M</v>
      </c>
      <c r="X60" s="90" t="str">
        <f t="shared" si="6"/>
        <v>40I</v>
      </c>
    </row>
    <row r="61" spans="1:24">
      <c r="A61" s="87">
        <v>181891</v>
      </c>
      <c r="B61" s="87" t="s">
        <v>486</v>
      </c>
      <c r="D61" s="89" t="str">
        <f t="shared" si="0"/>
        <v>NGAB05M40I</v>
      </c>
      <c r="E61" s="87">
        <v>0</v>
      </c>
      <c r="F61" s="87">
        <v>0</v>
      </c>
      <c r="G61" s="87">
        <v>0</v>
      </c>
      <c r="H61" s="87">
        <v>0</v>
      </c>
      <c r="I61" s="87">
        <v>0</v>
      </c>
      <c r="J61" s="87">
        <v>0</v>
      </c>
      <c r="K61" s="87">
        <v>0</v>
      </c>
      <c r="L61" s="87" t="s">
        <v>274</v>
      </c>
      <c r="M61" s="87" t="s">
        <v>277</v>
      </c>
      <c r="N61" s="87" t="s">
        <v>426</v>
      </c>
      <c r="O61" s="87" t="s">
        <v>264</v>
      </c>
      <c r="P61" s="87" t="s">
        <v>271</v>
      </c>
      <c r="Q61" s="87" t="s">
        <v>276</v>
      </c>
      <c r="T61" s="90" t="str">
        <f t="shared" si="1"/>
        <v>NG</v>
      </c>
      <c r="U61" s="90" t="str">
        <f t="shared" si="2"/>
        <v>AB</v>
      </c>
      <c r="V61" s="90" t="str">
        <f t="shared" si="3"/>
        <v>05</v>
      </c>
      <c r="W61" s="90" t="str">
        <f t="shared" si="4"/>
        <v>M</v>
      </c>
      <c r="X61" s="90" t="str">
        <f t="shared" si="6"/>
        <v>40I</v>
      </c>
    </row>
    <row r="62" spans="1:24">
      <c r="A62" s="87">
        <v>181892</v>
      </c>
      <c r="B62" s="87" t="s">
        <v>487</v>
      </c>
      <c r="D62" s="89" t="str">
        <f t="shared" si="0"/>
        <v>NGAR05M60I</v>
      </c>
      <c r="E62" s="87">
        <v>0</v>
      </c>
      <c r="F62" s="87">
        <v>0</v>
      </c>
      <c r="G62" s="87">
        <v>0</v>
      </c>
      <c r="H62" s="87">
        <v>0</v>
      </c>
      <c r="I62" s="87">
        <v>0</v>
      </c>
      <c r="J62" s="87">
        <v>0</v>
      </c>
      <c r="K62" s="87">
        <v>0</v>
      </c>
      <c r="L62" s="87" t="s">
        <v>433</v>
      </c>
      <c r="M62" s="87" t="s">
        <v>277</v>
      </c>
      <c r="N62" s="87" t="s">
        <v>426</v>
      </c>
      <c r="O62" s="87" t="s">
        <v>264</v>
      </c>
      <c r="P62" s="87" t="s">
        <v>271</v>
      </c>
      <c r="Q62" s="87" t="s">
        <v>265</v>
      </c>
      <c r="T62" s="90" t="str">
        <f t="shared" si="1"/>
        <v>NG</v>
      </c>
      <c r="U62" s="90" t="str">
        <f t="shared" si="2"/>
        <v>AR</v>
      </c>
      <c r="V62" s="90" t="str">
        <f t="shared" si="3"/>
        <v>05</v>
      </c>
      <c r="W62" s="90" t="str">
        <f t="shared" si="4"/>
        <v>M</v>
      </c>
      <c r="X62" s="90" t="str">
        <f t="shared" si="6"/>
        <v>60I</v>
      </c>
    </row>
    <row r="63" spans="1:24">
      <c r="A63" s="87">
        <v>181893</v>
      </c>
      <c r="B63" s="87" t="s">
        <v>488</v>
      </c>
      <c r="D63" s="89" t="str">
        <f t="shared" si="0"/>
        <v>NGAT05M60I</v>
      </c>
      <c r="E63" s="87">
        <v>0</v>
      </c>
      <c r="F63" s="87">
        <v>0</v>
      </c>
      <c r="G63" s="87">
        <v>0</v>
      </c>
      <c r="H63" s="87">
        <v>0</v>
      </c>
      <c r="I63" s="87">
        <v>0</v>
      </c>
      <c r="J63" s="87">
        <v>0</v>
      </c>
      <c r="K63" s="87">
        <v>0</v>
      </c>
      <c r="L63" s="87" t="s">
        <v>433</v>
      </c>
      <c r="M63" s="87" t="s">
        <v>277</v>
      </c>
      <c r="N63" s="87" t="s">
        <v>426</v>
      </c>
      <c r="O63" s="87" t="s">
        <v>264</v>
      </c>
      <c r="P63" s="87" t="s">
        <v>271</v>
      </c>
      <c r="Q63" s="87" t="s">
        <v>275</v>
      </c>
      <c r="T63" s="90" t="str">
        <f t="shared" si="1"/>
        <v>NG</v>
      </c>
      <c r="U63" s="90" t="str">
        <f t="shared" si="2"/>
        <v>AT</v>
      </c>
      <c r="V63" s="90" t="str">
        <f t="shared" si="3"/>
        <v>05</v>
      </c>
      <c r="W63" s="90" t="str">
        <f t="shared" si="4"/>
        <v>M</v>
      </c>
      <c r="X63" s="90" t="str">
        <f t="shared" si="6"/>
        <v>60I</v>
      </c>
    </row>
    <row r="64" spans="1:24">
      <c r="A64" s="87">
        <v>181894</v>
      </c>
      <c r="B64" s="87" t="s">
        <v>489</v>
      </c>
      <c r="D64" s="89" t="str">
        <f t="shared" si="0"/>
        <v>NGAB05M60I</v>
      </c>
      <c r="E64" s="87">
        <v>0</v>
      </c>
      <c r="F64" s="87">
        <v>0</v>
      </c>
      <c r="G64" s="87">
        <v>0</v>
      </c>
      <c r="H64" s="87">
        <v>0</v>
      </c>
      <c r="I64" s="87">
        <v>0</v>
      </c>
      <c r="J64" s="87">
        <v>0</v>
      </c>
      <c r="K64" s="87">
        <v>0</v>
      </c>
      <c r="L64" s="87" t="s">
        <v>433</v>
      </c>
      <c r="M64" s="87" t="s">
        <v>277</v>
      </c>
      <c r="N64" s="87" t="s">
        <v>426</v>
      </c>
      <c r="O64" s="87" t="s">
        <v>264</v>
      </c>
      <c r="P64" s="87" t="s">
        <v>271</v>
      </c>
      <c r="Q64" s="87" t="s">
        <v>276</v>
      </c>
      <c r="T64" s="90" t="str">
        <f t="shared" si="1"/>
        <v>NG</v>
      </c>
      <c r="U64" s="90" t="str">
        <f t="shared" si="2"/>
        <v>AB</v>
      </c>
      <c r="V64" s="90" t="str">
        <f t="shared" si="3"/>
        <v>05</v>
      </c>
      <c r="W64" s="90" t="str">
        <f t="shared" si="4"/>
        <v>M</v>
      </c>
      <c r="X64" s="90" t="str">
        <f t="shared" si="6"/>
        <v>60I</v>
      </c>
    </row>
    <row r="65" spans="1:24">
      <c r="A65" s="87">
        <v>181904</v>
      </c>
      <c r="B65" s="87" t="s">
        <v>490</v>
      </c>
      <c r="D65" s="89" t="str">
        <f t="shared" si="0"/>
        <v>NGCR05M30I</v>
      </c>
      <c r="E65" s="87">
        <v>0</v>
      </c>
      <c r="F65" s="87">
        <v>0</v>
      </c>
      <c r="G65" s="87">
        <v>0</v>
      </c>
      <c r="H65" s="87">
        <v>0</v>
      </c>
      <c r="I65" s="87">
        <v>0</v>
      </c>
      <c r="J65" s="87">
        <v>0</v>
      </c>
      <c r="K65" s="87">
        <v>0</v>
      </c>
      <c r="L65" s="87" t="s">
        <v>267</v>
      </c>
      <c r="M65" s="87" t="s">
        <v>277</v>
      </c>
      <c r="N65" s="87" t="s">
        <v>426</v>
      </c>
      <c r="O65" s="87" t="s">
        <v>264</v>
      </c>
      <c r="P65" s="87" t="s">
        <v>272</v>
      </c>
      <c r="Q65" s="87" t="s">
        <v>265</v>
      </c>
      <c r="T65" s="90" t="str">
        <f t="shared" si="1"/>
        <v>NG</v>
      </c>
      <c r="U65" s="90" t="str">
        <f t="shared" si="2"/>
        <v>CR</v>
      </c>
      <c r="V65" s="90" t="str">
        <f t="shared" si="3"/>
        <v>05</v>
      </c>
      <c r="W65" s="90" t="str">
        <f t="shared" si="4"/>
        <v>M</v>
      </c>
      <c r="X65" s="90" t="str">
        <f t="shared" si="6"/>
        <v>30I</v>
      </c>
    </row>
    <row r="66" spans="1:24">
      <c r="A66" s="87">
        <v>181905</v>
      </c>
      <c r="B66" s="87" t="s">
        <v>491</v>
      </c>
      <c r="D66" s="89" t="str">
        <f t="shared" si="0"/>
        <v>NGCT05M30I</v>
      </c>
      <c r="E66" s="87">
        <v>0</v>
      </c>
      <c r="F66" s="87">
        <v>0</v>
      </c>
      <c r="G66" s="87">
        <v>0</v>
      </c>
      <c r="H66" s="87">
        <v>0</v>
      </c>
      <c r="I66" s="87">
        <v>0</v>
      </c>
      <c r="J66" s="87">
        <v>0</v>
      </c>
      <c r="K66" s="87">
        <v>0</v>
      </c>
      <c r="L66" s="87" t="s">
        <v>267</v>
      </c>
      <c r="M66" s="87" t="s">
        <v>277</v>
      </c>
      <c r="N66" s="87" t="s">
        <v>426</v>
      </c>
      <c r="O66" s="87" t="s">
        <v>264</v>
      </c>
      <c r="P66" s="87" t="s">
        <v>272</v>
      </c>
      <c r="Q66" s="87" t="s">
        <v>275</v>
      </c>
      <c r="T66" s="90" t="str">
        <f t="shared" si="1"/>
        <v>NG</v>
      </c>
      <c r="U66" s="90" t="str">
        <f t="shared" si="2"/>
        <v>CT</v>
      </c>
      <c r="V66" s="90" t="str">
        <f t="shared" si="3"/>
        <v>05</v>
      </c>
      <c r="W66" s="90" t="str">
        <f t="shared" si="4"/>
        <v>M</v>
      </c>
      <c r="X66" s="90" t="str">
        <f t="shared" si="6"/>
        <v>30I</v>
      </c>
    </row>
    <row r="67" spans="1:24">
      <c r="A67" s="87">
        <v>181906</v>
      </c>
      <c r="B67" s="87" t="s">
        <v>492</v>
      </c>
      <c r="D67" s="89" t="str">
        <f t="shared" ref="D67:D109" si="7">CONCATENATE(T67,U67,V67,W67,X67)</f>
        <v>NGCB05M30I</v>
      </c>
      <c r="E67" s="87">
        <v>0</v>
      </c>
      <c r="F67" s="87">
        <v>0</v>
      </c>
      <c r="G67" s="87">
        <v>0</v>
      </c>
      <c r="H67" s="87">
        <v>0</v>
      </c>
      <c r="I67" s="87">
        <v>0</v>
      </c>
      <c r="J67" s="87">
        <v>0</v>
      </c>
      <c r="K67" s="87">
        <v>0</v>
      </c>
      <c r="L67" s="87" t="s">
        <v>267</v>
      </c>
      <c r="M67" s="87" t="s">
        <v>277</v>
      </c>
      <c r="N67" s="87" t="s">
        <v>426</v>
      </c>
      <c r="O67" s="87" t="s">
        <v>264</v>
      </c>
      <c r="P67" s="87" t="s">
        <v>272</v>
      </c>
      <c r="Q67" s="87" t="s">
        <v>276</v>
      </c>
      <c r="T67" s="90" t="str">
        <f t="shared" ref="T67:T109" si="8">MID(B67,1,2)</f>
        <v>NG</v>
      </c>
      <c r="U67" s="90" t="str">
        <f t="shared" ref="U67:U109" si="9">MID(B67,6,2)</f>
        <v>CB</v>
      </c>
      <c r="V67" s="90" t="str">
        <f t="shared" ref="V67:V109" si="10">MID(B67,4,2)</f>
        <v>05</v>
      </c>
      <c r="W67" s="90" t="str">
        <f t="shared" ref="W67:W109" si="11">MID(B67,8,1)</f>
        <v>M</v>
      </c>
      <c r="X67" s="90" t="str">
        <f t="shared" si="6"/>
        <v>30I</v>
      </c>
    </row>
    <row r="68" spans="1:24">
      <c r="A68" s="87">
        <v>181907</v>
      </c>
      <c r="B68" s="87" t="s">
        <v>493</v>
      </c>
      <c r="D68" s="89" t="str">
        <f t="shared" si="7"/>
        <v>NGCR05M40I</v>
      </c>
      <c r="E68" s="87">
        <v>0</v>
      </c>
      <c r="F68" s="87">
        <v>0</v>
      </c>
      <c r="G68" s="87">
        <v>0</v>
      </c>
      <c r="H68" s="87">
        <v>0</v>
      </c>
      <c r="I68" s="87">
        <v>0</v>
      </c>
      <c r="J68" s="87">
        <v>0</v>
      </c>
      <c r="K68" s="87">
        <v>0</v>
      </c>
      <c r="L68" s="87" t="s">
        <v>274</v>
      </c>
      <c r="M68" s="87" t="s">
        <v>277</v>
      </c>
      <c r="N68" s="87" t="s">
        <v>426</v>
      </c>
      <c r="O68" s="87" t="s">
        <v>264</v>
      </c>
      <c r="P68" s="87" t="s">
        <v>272</v>
      </c>
      <c r="Q68" s="87" t="s">
        <v>265</v>
      </c>
      <c r="T68" s="90" t="str">
        <f t="shared" si="8"/>
        <v>NG</v>
      </c>
      <c r="U68" s="90" t="str">
        <f t="shared" si="9"/>
        <v>CR</v>
      </c>
      <c r="V68" s="90" t="str">
        <f t="shared" si="10"/>
        <v>05</v>
      </c>
      <c r="W68" s="90" t="str">
        <f t="shared" si="11"/>
        <v>M</v>
      </c>
      <c r="X68" s="90" t="str">
        <f t="shared" si="6"/>
        <v>40I</v>
      </c>
    </row>
    <row r="69" spans="1:24">
      <c r="A69" s="87">
        <v>181908</v>
      </c>
      <c r="B69" s="87" t="s">
        <v>494</v>
      </c>
      <c r="D69" s="89" t="str">
        <f t="shared" si="7"/>
        <v>NGCT05M40I</v>
      </c>
      <c r="E69" s="87">
        <v>0</v>
      </c>
      <c r="F69" s="87">
        <v>0</v>
      </c>
      <c r="G69" s="87">
        <v>0</v>
      </c>
      <c r="H69" s="87">
        <v>0</v>
      </c>
      <c r="I69" s="87">
        <v>0</v>
      </c>
      <c r="J69" s="87">
        <v>0</v>
      </c>
      <c r="K69" s="87">
        <v>0</v>
      </c>
      <c r="L69" s="87" t="s">
        <v>274</v>
      </c>
      <c r="M69" s="87" t="s">
        <v>277</v>
      </c>
      <c r="N69" s="87" t="s">
        <v>426</v>
      </c>
      <c r="O69" s="87" t="s">
        <v>264</v>
      </c>
      <c r="P69" s="87" t="s">
        <v>272</v>
      </c>
      <c r="Q69" s="87" t="s">
        <v>275</v>
      </c>
      <c r="T69" s="90" t="str">
        <f t="shared" si="8"/>
        <v>NG</v>
      </c>
      <c r="U69" s="90" t="str">
        <f t="shared" si="9"/>
        <v>CT</v>
      </c>
      <c r="V69" s="90" t="str">
        <f t="shared" si="10"/>
        <v>05</v>
      </c>
      <c r="W69" s="90" t="str">
        <f t="shared" si="11"/>
        <v>M</v>
      </c>
      <c r="X69" s="90" t="str">
        <f t="shared" si="6"/>
        <v>40I</v>
      </c>
    </row>
    <row r="70" spans="1:24">
      <c r="A70" s="87">
        <v>181909</v>
      </c>
      <c r="B70" s="87" t="s">
        <v>495</v>
      </c>
      <c r="D70" s="89" t="str">
        <f t="shared" si="7"/>
        <v>NGCB05M40I</v>
      </c>
      <c r="E70" s="87">
        <v>0</v>
      </c>
      <c r="F70" s="87">
        <v>0</v>
      </c>
      <c r="G70" s="87">
        <v>0</v>
      </c>
      <c r="H70" s="87">
        <v>0</v>
      </c>
      <c r="I70" s="87">
        <v>0</v>
      </c>
      <c r="J70" s="87">
        <v>0</v>
      </c>
      <c r="K70" s="87">
        <v>0</v>
      </c>
      <c r="L70" s="87" t="s">
        <v>274</v>
      </c>
      <c r="M70" s="87" t="s">
        <v>277</v>
      </c>
      <c r="N70" s="87" t="s">
        <v>426</v>
      </c>
      <c r="O70" s="87" t="s">
        <v>264</v>
      </c>
      <c r="P70" s="87" t="s">
        <v>272</v>
      </c>
      <c r="Q70" s="87" t="s">
        <v>276</v>
      </c>
      <c r="T70" s="90" t="str">
        <f t="shared" si="8"/>
        <v>NG</v>
      </c>
      <c r="U70" s="90" t="str">
        <f t="shared" si="9"/>
        <v>CB</v>
      </c>
      <c r="V70" s="90" t="str">
        <f t="shared" si="10"/>
        <v>05</v>
      </c>
      <c r="W70" s="90" t="str">
        <f t="shared" si="11"/>
        <v>M</v>
      </c>
      <c r="X70" s="90" t="str">
        <f t="shared" si="6"/>
        <v>40I</v>
      </c>
    </row>
    <row r="71" spans="1:24">
      <c r="A71" s="87">
        <v>181910</v>
      </c>
      <c r="B71" s="87" t="s">
        <v>496</v>
      </c>
      <c r="D71" s="89" t="str">
        <f t="shared" si="7"/>
        <v>NGCR05M60I</v>
      </c>
      <c r="E71" s="87">
        <v>0</v>
      </c>
      <c r="F71" s="87">
        <v>0</v>
      </c>
      <c r="G71" s="87">
        <v>0</v>
      </c>
      <c r="H71" s="87">
        <v>0</v>
      </c>
      <c r="I71" s="87">
        <v>0</v>
      </c>
      <c r="J71" s="87">
        <v>0</v>
      </c>
      <c r="K71" s="87">
        <v>0</v>
      </c>
      <c r="L71" s="87" t="s">
        <v>433</v>
      </c>
      <c r="M71" s="87" t="s">
        <v>277</v>
      </c>
      <c r="N71" s="87" t="s">
        <v>426</v>
      </c>
      <c r="O71" s="87" t="s">
        <v>264</v>
      </c>
      <c r="P71" s="87" t="s">
        <v>272</v>
      </c>
      <c r="Q71" s="87" t="s">
        <v>265</v>
      </c>
      <c r="T71" s="90" t="str">
        <f t="shared" si="8"/>
        <v>NG</v>
      </c>
      <c r="U71" s="90" t="str">
        <f t="shared" si="9"/>
        <v>CR</v>
      </c>
      <c r="V71" s="90" t="str">
        <f t="shared" si="10"/>
        <v>05</v>
      </c>
      <c r="W71" s="90" t="str">
        <f t="shared" si="11"/>
        <v>M</v>
      </c>
      <c r="X71" s="90" t="str">
        <f t="shared" si="6"/>
        <v>60I</v>
      </c>
    </row>
    <row r="72" spans="1:24">
      <c r="A72" s="87">
        <v>181911</v>
      </c>
      <c r="B72" s="87" t="s">
        <v>497</v>
      </c>
      <c r="D72" s="89" t="str">
        <f t="shared" si="7"/>
        <v>NGCT05M60I</v>
      </c>
      <c r="E72" s="87">
        <v>0</v>
      </c>
      <c r="F72" s="87">
        <v>0</v>
      </c>
      <c r="G72" s="87">
        <v>0</v>
      </c>
      <c r="H72" s="87">
        <v>0</v>
      </c>
      <c r="I72" s="87">
        <v>0</v>
      </c>
      <c r="J72" s="87">
        <v>0</v>
      </c>
      <c r="K72" s="87">
        <v>0</v>
      </c>
      <c r="L72" s="87" t="s">
        <v>433</v>
      </c>
      <c r="M72" s="87" t="s">
        <v>277</v>
      </c>
      <c r="N72" s="87" t="s">
        <v>426</v>
      </c>
      <c r="O72" s="87" t="s">
        <v>264</v>
      </c>
      <c r="P72" s="87" t="s">
        <v>272</v>
      </c>
      <c r="Q72" s="87" t="s">
        <v>275</v>
      </c>
      <c r="T72" s="90" t="str">
        <f t="shared" si="8"/>
        <v>NG</v>
      </c>
      <c r="U72" s="90" t="str">
        <f t="shared" si="9"/>
        <v>CT</v>
      </c>
      <c r="V72" s="90" t="str">
        <f t="shared" si="10"/>
        <v>05</v>
      </c>
      <c r="W72" s="90" t="str">
        <f t="shared" si="11"/>
        <v>M</v>
      </c>
      <c r="X72" s="90" t="str">
        <f t="shared" si="6"/>
        <v>60I</v>
      </c>
    </row>
    <row r="73" spans="1:24">
      <c r="A73" s="87">
        <v>181912</v>
      </c>
      <c r="B73" s="87" t="s">
        <v>498</v>
      </c>
      <c r="D73" s="89" t="str">
        <f t="shared" si="7"/>
        <v>NGCB05M60I</v>
      </c>
      <c r="E73" s="87">
        <v>0</v>
      </c>
      <c r="F73" s="87">
        <v>0</v>
      </c>
      <c r="G73" s="87">
        <v>0</v>
      </c>
      <c r="H73" s="87">
        <v>0</v>
      </c>
      <c r="I73" s="87">
        <v>0</v>
      </c>
      <c r="J73" s="87">
        <v>0</v>
      </c>
      <c r="K73" s="87">
        <v>0</v>
      </c>
      <c r="L73" s="87" t="s">
        <v>433</v>
      </c>
      <c r="M73" s="87" t="s">
        <v>277</v>
      </c>
      <c r="N73" s="87" t="s">
        <v>426</v>
      </c>
      <c r="O73" s="87" t="s">
        <v>264</v>
      </c>
      <c r="P73" s="87" t="s">
        <v>272</v>
      </c>
      <c r="Q73" s="87" t="s">
        <v>276</v>
      </c>
      <c r="T73" s="90" t="str">
        <f t="shared" si="8"/>
        <v>NG</v>
      </c>
      <c r="U73" s="90" t="str">
        <f t="shared" si="9"/>
        <v>CB</v>
      </c>
      <c r="V73" s="90" t="str">
        <f t="shared" si="10"/>
        <v>05</v>
      </c>
      <c r="W73" s="90" t="str">
        <f t="shared" si="11"/>
        <v>M</v>
      </c>
      <c r="X73" s="90" t="str">
        <f t="shared" si="6"/>
        <v>60I</v>
      </c>
    </row>
    <row r="74" spans="1:24">
      <c r="A74" s="87">
        <v>181922</v>
      </c>
      <c r="B74" s="87" t="s">
        <v>499</v>
      </c>
      <c r="D74" s="89" t="str">
        <f t="shared" si="7"/>
        <v>NGWR05M30BT</v>
      </c>
      <c r="E74" s="87">
        <v>0</v>
      </c>
      <c r="F74" s="87">
        <v>0</v>
      </c>
      <c r="G74" s="87">
        <v>0</v>
      </c>
      <c r="H74" s="87">
        <v>0</v>
      </c>
      <c r="I74" s="87">
        <v>0</v>
      </c>
      <c r="J74" s="87">
        <v>0</v>
      </c>
      <c r="K74" s="87">
        <v>0</v>
      </c>
      <c r="L74" s="87" t="s">
        <v>267</v>
      </c>
      <c r="M74" s="87" t="s">
        <v>500</v>
      </c>
      <c r="N74" s="87" t="s">
        <v>426</v>
      </c>
      <c r="O74" s="87" t="s">
        <v>264</v>
      </c>
      <c r="P74" s="87" t="s">
        <v>269</v>
      </c>
      <c r="Q74" s="87" t="s">
        <v>265</v>
      </c>
      <c r="T74" s="90" t="str">
        <f t="shared" si="8"/>
        <v>NG</v>
      </c>
      <c r="U74" s="90" t="str">
        <f t="shared" si="9"/>
        <v>WR</v>
      </c>
      <c r="V74" s="90" t="str">
        <f t="shared" si="10"/>
        <v>05</v>
      </c>
      <c r="W74" s="90" t="str">
        <f t="shared" si="11"/>
        <v>M</v>
      </c>
      <c r="X74" s="90" t="str">
        <f t="shared" si="6"/>
        <v>30BT</v>
      </c>
    </row>
    <row r="75" spans="1:24">
      <c r="A75" s="87">
        <v>181923</v>
      </c>
      <c r="B75" s="87" t="s">
        <v>501</v>
      </c>
      <c r="D75" s="89" t="str">
        <f t="shared" si="7"/>
        <v>NGWT05M30BT</v>
      </c>
      <c r="E75" s="87">
        <v>0</v>
      </c>
      <c r="F75" s="87">
        <v>0</v>
      </c>
      <c r="G75" s="87">
        <v>0</v>
      </c>
      <c r="H75" s="87">
        <v>0</v>
      </c>
      <c r="I75" s="87">
        <v>0</v>
      </c>
      <c r="J75" s="87">
        <v>0</v>
      </c>
      <c r="K75" s="87">
        <v>0</v>
      </c>
      <c r="L75" s="87" t="s">
        <v>267</v>
      </c>
      <c r="M75" s="87" t="s">
        <v>500</v>
      </c>
      <c r="N75" s="87" t="s">
        <v>426</v>
      </c>
      <c r="O75" s="87" t="s">
        <v>264</v>
      </c>
      <c r="P75" s="87" t="s">
        <v>269</v>
      </c>
      <c r="Q75" s="87" t="s">
        <v>275</v>
      </c>
      <c r="T75" s="90" t="str">
        <f t="shared" si="8"/>
        <v>NG</v>
      </c>
      <c r="U75" s="90" t="str">
        <f t="shared" si="9"/>
        <v>WT</v>
      </c>
      <c r="V75" s="90" t="str">
        <f t="shared" si="10"/>
        <v>05</v>
      </c>
      <c r="W75" s="90" t="str">
        <f t="shared" si="11"/>
        <v>M</v>
      </c>
      <c r="X75" s="90" t="str">
        <f t="shared" si="6"/>
        <v>30BT</v>
      </c>
    </row>
    <row r="76" spans="1:24">
      <c r="A76" s="87">
        <v>181924</v>
      </c>
      <c r="B76" s="87" t="s">
        <v>502</v>
      </c>
      <c r="D76" s="89" t="str">
        <f t="shared" si="7"/>
        <v>NGWB05M30BT</v>
      </c>
      <c r="E76" s="87">
        <v>0</v>
      </c>
      <c r="F76" s="87">
        <v>0</v>
      </c>
      <c r="G76" s="87">
        <v>0</v>
      </c>
      <c r="H76" s="87">
        <v>0</v>
      </c>
      <c r="I76" s="87">
        <v>0</v>
      </c>
      <c r="J76" s="87">
        <v>0</v>
      </c>
      <c r="K76" s="87">
        <v>0</v>
      </c>
      <c r="L76" s="87" t="s">
        <v>267</v>
      </c>
      <c r="M76" s="87" t="s">
        <v>500</v>
      </c>
      <c r="N76" s="87" t="s">
        <v>426</v>
      </c>
      <c r="O76" s="87" t="s">
        <v>264</v>
      </c>
      <c r="P76" s="87" t="s">
        <v>269</v>
      </c>
      <c r="Q76" s="87" t="s">
        <v>276</v>
      </c>
      <c r="T76" s="90" t="str">
        <f t="shared" si="8"/>
        <v>NG</v>
      </c>
      <c r="U76" s="90" t="str">
        <f t="shared" si="9"/>
        <v>WB</v>
      </c>
      <c r="V76" s="90" t="str">
        <f t="shared" si="10"/>
        <v>05</v>
      </c>
      <c r="W76" s="90" t="str">
        <f t="shared" si="11"/>
        <v>M</v>
      </c>
      <c r="X76" s="90" t="str">
        <f t="shared" si="6"/>
        <v>30BT</v>
      </c>
    </row>
    <row r="77" spans="1:24">
      <c r="A77" s="87">
        <v>181925</v>
      </c>
      <c r="B77" s="87" t="s">
        <v>503</v>
      </c>
      <c r="D77" s="89" t="str">
        <f t="shared" si="7"/>
        <v>NGWR05M40BT</v>
      </c>
      <c r="E77" s="87">
        <v>0</v>
      </c>
      <c r="F77" s="87">
        <v>0</v>
      </c>
      <c r="G77" s="87">
        <v>0</v>
      </c>
      <c r="H77" s="87">
        <v>0</v>
      </c>
      <c r="I77" s="87">
        <v>0</v>
      </c>
      <c r="J77" s="87">
        <v>0</v>
      </c>
      <c r="K77" s="87">
        <v>0</v>
      </c>
      <c r="L77" s="87" t="s">
        <v>274</v>
      </c>
      <c r="M77" s="87" t="s">
        <v>500</v>
      </c>
      <c r="N77" s="87" t="s">
        <v>426</v>
      </c>
      <c r="O77" s="87" t="s">
        <v>264</v>
      </c>
      <c r="P77" s="87" t="s">
        <v>269</v>
      </c>
      <c r="Q77" s="87" t="s">
        <v>265</v>
      </c>
      <c r="T77" s="90" t="str">
        <f t="shared" si="8"/>
        <v>NG</v>
      </c>
      <c r="U77" s="90" t="str">
        <f t="shared" si="9"/>
        <v>WR</v>
      </c>
      <c r="V77" s="90" t="str">
        <f t="shared" si="10"/>
        <v>05</v>
      </c>
      <c r="W77" s="90" t="str">
        <f t="shared" si="11"/>
        <v>M</v>
      </c>
      <c r="X77" s="90" t="str">
        <f t="shared" si="6"/>
        <v>40BT</v>
      </c>
    </row>
    <row r="78" spans="1:24">
      <c r="A78" s="87">
        <v>181926</v>
      </c>
      <c r="B78" s="87" t="s">
        <v>504</v>
      </c>
      <c r="D78" s="89" t="str">
        <f t="shared" si="7"/>
        <v>NGWT05M40BT</v>
      </c>
      <c r="E78" s="87">
        <v>0</v>
      </c>
      <c r="F78" s="87">
        <v>0</v>
      </c>
      <c r="G78" s="87">
        <v>0</v>
      </c>
      <c r="H78" s="87">
        <v>0</v>
      </c>
      <c r="I78" s="87">
        <v>0</v>
      </c>
      <c r="J78" s="87">
        <v>0</v>
      </c>
      <c r="K78" s="87">
        <v>0</v>
      </c>
      <c r="L78" s="87" t="s">
        <v>274</v>
      </c>
      <c r="M78" s="87" t="s">
        <v>500</v>
      </c>
      <c r="N78" s="87" t="s">
        <v>426</v>
      </c>
      <c r="O78" s="87" t="s">
        <v>264</v>
      </c>
      <c r="P78" s="87" t="s">
        <v>269</v>
      </c>
      <c r="Q78" s="87" t="s">
        <v>275</v>
      </c>
      <c r="T78" s="90" t="str">
        <f t="shared" si="8"/>
        <v>NG</v>
      </c>
      <c r="U78" s="90" t="str">
        <f t="shared" si="9"/>
        <v>WT</v>
      </c>
      <c r="V78" s="90" t="str">
        <f t="shared" si="10"/>
        <v>05</v>
      </c>
      <c r="W78" s="90" t="str">
        <f t="shared" si="11"/>
        <v>M</v>
      </c>
      <c r="X78" s="90" t="str">
        <f t="shared" si="6"/>
        <v>40BT</v>
      </c>
    </row>
    <row r="79" spans="1:24">
      <c r="A79" s="87">
        <v>181927</v>
      </c>
      <c r="B79" s="87" t="s">
        <v>505</v>
      </c>
      <c r="D79" s="89" t="str">
        <f t="shared" si="7"/>
        <v>NGWB05M40BT</v>
      </c>
      <c r="E79" s="87">
        <v>0</v>
      </c>
      <c r="F79" s="87">
        <v>0</v>
      </c>
      <c r="G79" s="87">
        <v>0</v>
      </c>
      <c r="H79" s="87">
        <v>0</v>
      </c>
      <c r="I79" s="87">
        <v>0</v>
      </c>
      <c r="J79" s="87">
        <v>0</v>
      </c>
      <c r="K79" s="87">
        <v>0</v>
      </c>
      <c r="L79" s="87" t="s">
        <v>274</v>
      </c>
      <c r="M79" s="87" t="s">
        <v>500</v>
      </c>
      <c r="N79" s="87" t="s">
        <v>426</v>
      </c>
      <c r="O79" s="87" t="s">
        <v>264</v>
      </c>
      <c r="P79" s="87" t="s">
        <v>269</v>
      </c>
      <c r="Q79" s="87" t="s">
        <v>276</v>
      </c>
      <c r="T79" s="90" t="str">
        <f t="shared" si="8"/>
        <v>NG</v>
      </c>
      <c r="U79" s="90" t="str">
        <f t="shared" si="9"/>
        <v>WB</v>
      </c>
      <c r="V79" s="90" t="str">
        <f t="shared" si="10"/>
        <v>05</v>
      </c>
      <c r="W79" s="90" t="str">
        <f t="shared" si="11"/>
        <v>M</v>
      </c>
      <c r="X79" s="90" t="str">
        <f t="shared" si="6"/>
        <v>40BT</v>
      </c>
    </row>
    <row r="80" spans="1:24">
      <c r="A80" s="87">
        <v>181928</v>
      </c>
      <c r="B80" s="87" t="s">
        <v>506</v>
      </c>
      <c r="D80" s="89" t="str">
        <f t="shared" si="7"/>
        <v>NGWR05M60BT</v>
      </c>
      <c r="E80" s="87">
        <v>0</v>
      </c>
      <c r="F80" s="87">
        <v>0</v>
      </c>
      <c r="G80" s="87">
        <v>0</v>
      </c>
      <c r="H80" s="87">
        <v>0</v>
      </c>
      <c r="I80" s="87">
        <v>0</v>
      </c>
      <c r="J80" s="87">
        <v>0</v>
      </c>
      <c r="K80" s="87">
        <v>0</v>
      </c>
      <c r="L80" s="87" t="s">
        <v>433</v>
      </c>
      <c r="M80" s="87" t="s">
        <v>500</v>
      </c>
      <c r="N80" s="87" t="s">
        <v>426</v>
      </c>
      <c r="O80" s="87" t="s">
        <v>264</v>
      </c>
      <c r="P80" s="87" t="s">
        <v>269</v>
      </c>
      <c r="Q80" s="87" t="s">
        <v>265</v>
      </c>
      <c r="T80" s="90" t="str">
        <f t="shared" si="8"/>
        <v>NG</v>
      </c>
      <c r="U80" s="90" t="str">
        <f t="shared" si="9"/>
        <v>WR</v>
      </c>
      <c r="V80" s="90" t="str">
        <f t="shared" si="10"/>
        <v>05</v>
      </c>
      <c r="W80" s="90" t="str">
        <f t="shared" si="11"/>
        <v>M</v>
      </c>
      <c r="X80" s="90" t="str">
        <f t="shared" si="6"/>
        <v>60BT</v>
      </c>
    </row>
    <row r="81" spans="1:24">
      <c r="A81" s="87">
        <v>181929</v>
      </c>
      <c r="B81" s="87" t="s">
        <v>507</v>
      </c>
      <c r="D81" s="89" t="str">
        <f t="shared" si="7"/>
        <v>NGWT05M60BT</v>
      </c>
      <c r="E81" s="87">
        <v>0</v>
      </c>
      <c r="F81" s="87">
        <v>0</v>
      </c>
      <c r="G81" s="87">
        <v>0</v>
      </c>
      <c r="H81" s="87">
        <v>0</v>
      </c>
      <c r="I81" s="87">
        <v>0</v>
      </c>
      <c r="J81" s="87">
        <v>0</v>
      </c>
      <c r="K81" s="87">
        <v>0</v>
      </c>
      <c r="L81" s="87" t="s">
        <v>433</v>
      </c>
      <c r="M81" s="87" t="s">
        <v>500</v>
      </c>
      <c r="N81" s="87" t="s">
        <v>426</v>
      </c>
      <c r="O81" s="87" t="s">
        <v>264</v>
      </c>
      <c r="P81" s="87" t="s">
        <v>269</v>
      </c>
      <c r="Q81" s="87" t="s">
        <v>275</v>
      </c>
      <c r="T81" s="90" t="str">
        <f t="shared" si="8"/>
        <v>NG</v>
      </c>
      <c r="U81" s="90" t="str">
        <f t="shared" si="9"/>
        <v>WT</v>
      </c>
      <c r="V81" s="90" t="str">
        <f t="shared" si="10"/>
        <v>05</v>
      </c>
      <c r="W81" s="90" t="str">
        <f t="shared" si="11"/>
        <v>M</v>
      </c>
      <c r="X81" s="90" t="str">
        <f t="shared" si="6"/>
        <v>60BT</v>
      </c>
    </row>
    <row r="82" spans="1:24">
      <c r="A82" s="87">
        <v>181930</v>
      </c>
      <c r="B82" s="87" t="s">
        <v>508</v>
      </c>
      <c r="D82" s="89" t="str">
        <f t="shared" si="7"/>
        <v>NGWB05M60BT</v>
      </c>
      <c r="E82" s="87">
        <v>0</v>
      </c>
      <c r="F82" s="87">
        <v>0</v>
      </c>
      <c r="G82" s="87">
        <v>0</v>
      </c>
      <c r="H82" s="87">
        <v>0</v>
      </c>
      <c r="I82" s="87">
        <v>0</v>
      </c>
      <c r="J82" s="87">
        <v>0</v>
      </c>
      <c r="K82" s="87">
        <v>0</v>
      </c>
      <c r="L82" s="87" t="s">
        <v>433</v>
      </c>
      <c r="M82" s="87" t="s">
        <v>500</v>
      </c>
      <c r="N82" s="87" t="s">
        <v>426</v>
      </c>
      <c r="O82" s="87" t="s">
        <v>264</v>
      </c>
      <c r="P82" s="87" t="s">
        <v>269</v>
      </c>
      <c r="Q82" s="87" t="s">
        <v>276</v>
      </c>
      <c r="T82" s="90" t="str">
        <f t="shared" si="8"/>
        <v>NG</v>
      </c>
      <c r="U82" s="90" t="str">
        <f t="shared" si="9"/>
        <v>WB</v>
      </c>
      <c r="V82" s="90" t="str">
        <f t="shared" si="10"/>
        <v>05</v>
      </c>
      <c r="W82" s="90" t="str">
        <f t="shared" si="11"/>
        <v>M</v>
      </c>
      <c r="X82" s="90" t="str">
        <f t="shared" si="6"/>
        <v>60BT</v>
      </c>
    </row>
    <row r="83" spans="1:24">
      <c r="A83" s="87">
        <v>181940</v>
      </c>
      <c r="B83" s="87" t="s">
        <v>509</v>
      </c>
      <c r="D83" s="89" t="str">
        <f t="shared" si="7"/>
        <v>NGBR05M30BT</v>
      </c>
      <c r="E83" s="87">
        <v>0</v>
      </c>
      <c r="F83" s="87">
        <v>0</v>
      </c>
      <c r="G83" s="87">
        <v>0</v>
      </c>
      <c r="H83" s="87">
        <v>0</v>
      </c>
      <c r="I83" s="87">
        <v>0</v>
      </c>
      <c r="J83" s="87">
        <v>0</v>
      </c>
      <c r="K83" s="87">
        <v>0</v>
      </c>
      <c r="L83" s="87" t="s">
        <v>267</v>
      </c>
      <c r="M83" s="87" t="s">
        <v>500</v>
      </c>
      <c r="N83" s="87" t="s">
        <v>426</v>
      </c>
      <c r="O83" s="87" t="s">
        <v>264</v>
      </c>
      <c r="P83" s="87" t="s">
        <v>270</v>
      </c>
      <c r="Q83" s="87" t="s">
        <v>265</v>
      </c>
      <c r="T83" s="90" t="str">
        <f t="shared" si="8"/>
        <v>NG</v>
      </c>
      <c r="U83" s="90" t="str">
        <f t="shared" si="9"/>
        <v>BR</v>
      </c>
      <c r="V83" s="90" t="str">
        <f t="shared" si="10"/>
        <v>05</v>
      </c>
      <c r="W83" s="90" t="str">
        <f t="shared" si="11"/>
        <v>M</v>
      </c>
      <c r="X83" s="90" t="str">
        <f t="shared" si="6"/>
        <v>30BT</v>
      </c>
    </row>
    <row r="84" spans="1:24">
      <c r="A84" s="87">
        <v>181941</v>
      </c>
      <c r="B84" s="87" t="s">
        <v>510</v>
      </c>
      <c r="D84" s="89" t="str">
        <f t="shared" si="7"/>
        <v>NGBT05M30BT</v>
      </c>
      <c r="E84" s="87">
        <v>0</v>
      </c>
      <c r="F84" s="87">
        <v>0</v>
      </c>
      <c r="G84" s="87">
        <v>0</v>
      </c>
      <c r="H84" s="87">
        <v>0</v>
      </c>
      <c r="I84" s="87">
        <v>0</v>
      </c>
      <c r="J84" s="87">
        <v>0</v>
      </c>
      <c r="K84" s="87">
        <v>0</v>
      </c>
      <c r="L84" s="87" t="s">
        <v>267</v>
      </c>
      <c r="M84" s="87" t="s">
        <v>500</v>
      </c>
      <c r="N84" s="87" t="s">
        <v>426</v>
      </c>
      <c r="O84" s="87" t="s">
        <v>264</v>
      </c>
      <c r="P84" s="87" t="s">
        <v>270</v>
      </c>
      <c r="Q84" s="87" t="s">
        <v>275</v>
      </c>
      <c r="T84" s="90" t="str">
        <f t="shared" si="8"/>
        <v>NG</v>
      </c>
      <c r="U84" s="90" t="str">
        <f t="shared" si="9"/>
        <v>BT</v>
      </c>
      <c r="V84" s="90" t="str">
        <f t="shared" si="10"/>
        <v>05</v>
      </c>
      <c r="W84" s="90" t="str">
        <f t="shared" si="11"/>
        <v>M</v>
      </c>
      <c r="X84" s="90" t="str">
        <f t="shared" si="6"/>
        <v>30BT</v>
      </c>
    </row>
    <row r="85" spans="1:24">
      <c r="A85" s="87">
        <v>181942</v>
      </c>
      <c r="B85" s="87" t="s">
        <v>511</v>
      </c>
      <c r="D85" s="89" t="str">
        <f t="shared" si="7"/>
        <v>NGBB05M30BT</v>
      </c>
      <c r="E85" s="87">
        <v>0</v>
      </c>
      <c r="F85" s="87">
        <v>0</v>
      </c>
      <c r="G85" s="87">
        <v>0</v>
      </c>
      <c r="H85" s="87">
        <v>0</v>
      </c>
      <c r="I85" s="87">
        <v>0</v>
      </c>
      <c r="J85" s="87">
        <v>0</v>
      </c>
      <c r="K85" s="87">
        <v>0</v>
      </c>
      <c r="L85" s="87" t="s">
        <v>267</v>
      </c>
      <c r="M85" s="87" t="s">
        <v>500</v>
      </c>
      <c r="N85" s="87" t="s">
        <v>426</v>
      </c>
      <c r="O85" s="87" t="s">
        <v>264</v>
      </c>
      <c r="P85" s="87" t="s">
        <v>270</v>
      </c>
      <c r="Q85" s="87" t="s">
        <v>276</v>
      </c>
      <c r="T85" s="90" t="str">
        <f t="shared" si="8"/>
        <v>NG</v>
      </c>
      <c r="U85" s="90" t="str">
        <f t="shared" si="9"/>
        <v>BB</v>
      </c>
      <c r="V85" s="90" t="str">
        <f t="shared" si="10"/>
        <v>05</v>
      </c>
      <c r="W85" s="90" t="str">
        <f t="shared" si="11"/>
        <v>M</v>
      </c>
      <c r="X85" s="90" t="str">
        <f t="shared" si="6"/>
        <v>30BT</v>
      </c>
    </row>
    <row r="86" spans="1:24">
      <c r="A86" s="87">
        <v>181943</v>
      </c>
      <c r="B86" s="87" t="s">
        <v>512</v>
      </c>
      <c r="D86" s="89" t="str">
        <f t="shared" si="7"/>
        <v>NGBR05M40BT</v>
      </c>
      <c r="E86" s="87">
        <v>0</v>
      </c>
      <c r="F86" s="87">
        <v>0</v>
      </c>
      <c r="G86" s="87">
        <v>0</v>
      </c>
      <c r="H86" s="87">
        <v>0</v>
      </c>
      <c r="I86" s="87">
        <v>0</v>
      </c>
      <c r="J86" s="87">
        <v>0</v>
      </c>
      <c r="K86" s="87">
        <v>0</v>
      </c>
      <c r="L86" s="87" t="s">
        <v>274</v>
      </c>
      <c r="M86" s="87" t="s">
        <v>500</v>
      </c>
      <c r="N86" s="87" t="s">
        <v>426</v>
      </c>
      <c r="O86" s="87" t="s">
        <v>264</v>
      </c>
      <c r="P86" s="87" t="s">
        <v>270</v>
      </c>
      <c r="Q86" s="87" t="s">
        <v>265</v>
      </c>
      <c r="T86" s="90" t="str">
        <f t="shared" si="8"/>
        <v>NG</v>
      </c>
      <c r="U86" s="90" t="str">
        <f t="shared" si="9"/>
        <v>BR</v>
      </c>
      <c r="V86" s="90" t="str">
        <f t="shared" si="10"/>
        <v>05</v>
      </c>
      <c r="W86" s="90" t="str">
        <f t="shared" si="11"/>
        <v>M</v>
      </c>
      <c r="X86" s="90" t="str">
        <f t="shared" si="6"/>
        <v>40BT</v>
      </c>
    </row>
    <row r="87" spans="1:24">
      <c r="A87" s="87">
        <v>181944</v>
      </c>
      <c r="B87" s="87" t="s">
        <v>513</v>
      </c>
      <c r="D87" s="89" t="str">
        <f t="shared" si="7"/>
        <v>NGBT05M40BT</v>
      </c>
      <c r="E87" s="87">
        <v>0</v>
      </c>
      <c r="F87" s="87">
        <v>0</v>
      </c>
      <c r="G87" s="87">
        <v>0</v>
      </c>
      <c r="H87" s="87">
        <v>0</v>
      </c>
      <c r="I87" s="87">
        <v>0</v>
      </c>
      <c r="J87" s="87">
        <v>0</v>
      </c>
      <c r="K87" s="87">
        <v>0</v>
      </c>
      <c r="L87" s="87" t="s">
        <v>274</v>
      </c>
      <c r="M87" s="87" t="s">
        <v>500</v>
      </c>
      <c r="N87" s="87" t="s">
        <v>426</v>
      </c>
      <c r="O87" s="87" t="s">
        <v>264</v>
      </c>
      <c r="P87" s="87" t="s">
        <v>270</v>
      </c>
      <c r="Q87" s="87" t="s">
        <v>275</v>
      </c>
      <c r="T87" s="90" t="str">
        <f t="shared" si="8"/>
        <v>NG</v>
      </c>
      <c r="U87" s="90" t="str">
        <f t="shared" si="9"/>
        <v>BT</v>
      </c>
      <c r="V87" s="90" t="str">
        <f t="shared" si="10"/>
        <v>05</v>
      </c>
      <c r="W87" s="90" t="str">
        <f t="shared" si="11"/>
        <v>M</v>
      </c>
      <c r="X87" s="90" t="str">
        <f t="shared" si="6"/>
        <v>40BT</v>
      </c>
    </row>
    <row r="88" spans="1:24">
      <c r="A88" s="87">
        <v>181945</v>
      </c>
      <c r="B88" s="87" t="s">
        <v>514</v>
      </c>
      <c r="D88" s="89" t="str">
        <f t="shared" si="7"/>
        <v>NGBB05M40BT</v>
      </c>
      <c r="E88" s="87">
        <v>0</v>
      </c>
      <c r="F88" s="87">
        <v>0</v>
      </c>
      <c r="G88" s="87">
        <v>0</v>
      </c>
      <c r="H88" s="87">
        <v>0</v>
      </c>
      <c r="I88" s="87">
        <v>0</v>
      </c>
      <c r="J88" s="87">
        <v>0</v>
      </c>
      <c r="K88" s="87">
        <v>0</v>
      </c>
      <c r="L88" s="87" t="s">
        <v>274</v>
      </c>
      <c r="M88" s="87" t="s">
        <v>500</v>
      </c>
      <c r="N88" s="87" t="s">
        <v>426</v>
      </c>
      <c r="O88" s="87" t="s">
        <v>264</v>
      </c>
      <c r="P88" s="87" t="s">
        <v>270</v>
      </c>
      <c r="Q88" s="87" t="s">
        <v>276</v>
      </c>
      <c r="T88" s="90" t="str">
        <f t="shared" si="8"/>
        <v>NG</v>
      </c>
      <c r="U88" s="90" t="str">
        <f t="shared" si="9"/>
        <v>BB</v>
      </c>
      <c r="V88" s="90" t="str">
        <f t="shared" si="10"/>
        <v>05</v>
      </c>
      <c r="W88" s="90" t="str">
        <f t="shared" si="11"/>
        <v>M</v>
      </c>
      <c r="X88" s="90" t="str">
        <f t="shared" si="6"/>
        <v>40BT</v>
      </c>
    </row>
    <row r="89" spans="1:24">
      <c r="A89" s="87">
        <v>181946</v>
      </c>
      <c r="B89" s="87" t="s">
        <v>515</v>
      </c>
      <c r="D89" s="89" t="str">
        <f t="shared" si="7"/>
        <v>NGBR05M60BT</v>
      </c>
      <c r="E89" s="87">
        <v>0</v>
      </c>
      <c r="F89" s="87">
        <v>0</v>
      </c>
      <c r="G89" s="87">
        <v>0</v>
      </c>
      <c r="H89" s="87">
        <v>0</v>
      </c>
      <c r="I89" s="87">
        <v>0</v>
      </c>
      <c r="J89" s="87">
        <v>0</v>
      </c>
      <c r="K89" s="87">
        <v>0</v>
      </c>
      <c r="L89" s="87" t="s">
        <v>433</v>
      </c>
      <c r="M89" s="87" t="s">
        <v>500</v>
      </c>
      <c r="N89" s="87" t="s">
        <v>426</v>
      </c>
      <c r="O89" s="87" t="s">
        <v>264</v>
      </c>
      <c r="P89" s="87" t="s">
        <v>270</v>
      </c>
      <c r="Q89" s="87" t="s">
        <v>265</v>
      </c>
      <c r="T89" s="90" t="str">
        <f t="shared" si="8"/>
        <v>NG</v>
      </c>
      <c r="U89" s="90" t="str">
        <f t="shared" si="9"/>
        <v>BR</v>
      </c>
      <c r="V89" s="90" t="str">
        <f t="shared" si="10"/>
        <v>05</v>
      </c>
      <c r="W89" s="90" t="str">
        <f t="shared" si="11"/>
        <v>M</v>
      </c>
      <c r="X89" s="90" t="str">
        <f t="shared" si="6"/>
        <v>60BT</v>
      </c>
    </row>
    <row r="90" spans="1:24">
      <c r="A90" s="87">
        <v>181947</v>
      </c>
      <c r="B90" s="87" t="s">
        <v>516</v>
      </c>
      <c r="D90" s="89" t="str">
        <f t="shared" si="7"/>
        <v>NGBT05M60BT</v>
      </c>
      <c r="E90" s="87">
        <v>0</v>
      </c>
      <c r="F90" s="87">
        <v>0</v>
      </c>
      <c r="G90" s="87">
        <v>0</v>
      </c>
      <c r="H90" s="87">
        <v>0</v>
      </c>
      <c r="I90" s="87">
        <v>0</v>
      </c>
      <c r="J90" s="87">
        <v>0</v>
      </c>
      <c r="K90" s="87">
        <v>0</v>
      </c>
      <c r="L90" s="87" t="s">
        <v>433</v>
      </c>
      <c r="M90" s="87" t="s">
        <v>500</v>
      </c>
      <c r="N90" s="87" t="s">
        <v>426</v>
      </c>
      <c r="O90" s="87" t="s">
        <v>264</v>
      </c>
      <c r="P90" s="87" t="s">
        <v>270</v>
      </c>
      <c r="Q90" s="87" t="s">
        <v>275</v>
      </c>
      <c r="T90" s="90" t="str">
        <f t="shared" si="8"/>
        <v>NG</v>
      </c>
      <c r="U90" s="90" t="str">
        <f t="shared" si="9"/>
        <v>BT</v>
      </c>
      <c r="V90" s="90" t="str">
        <f t="shared" si="10"/>
        <v>05</v>
      </c>
      <c r="W90" s="90" t="str">
        <f t="shared" si="11"/>
        <v>M</v>
      </c>
      <c r="X90" s="90" t="str">
        <f t="shared" si="6"/>
        <v>60BT</v>
      </c>
    </row>
    <row r="91" spans="1:24">
      <c r="A91" s="87">
        <v>181948</v>
      </c>
      <c r="B91" s="87" t="s">
        <v>517</v>
      </c>
      <c r="D91" s="89" t="str">
        <f t="shared" si="7"/>
        <v>NGBB05M60BT</v>
      </c>
      <c r="E91" s="87">
        <v>0</v>
      </c>
      <c r="F91" s="87">
        <v>0</v>
      </c>
      <c r="G91" s="87">
        <v>0</v>
      </c>
      <c r="H91" s="87">
        <v>0</v>
      </c>
      <c r="I91" s="87">
        <v>0</v>
      </c>
      <c r="J91" s="87">
        <v>0</v>
      </c>
      <c r="K91" s="87">
        <v>0</v>
      </c>
      <c r="L91" s="87" t="s">
        <v>433</v>
      </c>
      <c r="M91" s="87" t="s">
        <v>500</v>
      </c>
      <c r="N91" s="87" t="s">
        <v>426</v>
      </c>
      <c r="O91" s="87" t="s">
        <v>264</v>
      </c>
      <c r="P91" s="87" t="s">
        <v>270</v>
      </c>
      <c r="Q91" s="87" t="s">
        <v>276</v>
      </c>
      <c r="T91" s="90" t="str">
        <f t="shared" si="8"/>
        <v>NG</v>
      </c>
      <c r="U91" s="90" t="str">
        <f t="shared" si="9"/>
        <v>BB</v>
      </c>
      <c r="V91" s="90" t="str">
        <f t="shared" si="10"/>
        <v>05</v>
      </c>
      <c r="W91" s="90" t="str">
        <f t="shared" si="11"/>
        <v>M</v>
      </c>
      <c r="X91" s="90" t="str">
        <f t="shared" si="6"/>
        <v>60BT</v>
      </c>
    </row>
    <row r="92" spans="1:24">
      <c r="A92" s="87">
        <v>181958</v>
      </c>
      <c r="B92" s="87" t="s">
        <v>518</v>
      </c>
      <c r="D92" s="89" t="str">
        <f t="shared" si="7"/>
        <v>NGAR05M30BT</v>
      </c>
      <c r="E92" s="87">
        <v>0</v>
      </c>
      <c r="F92" s="87">
        <v>0</v>
      </c>
      <c r="G92" s="87">
        <v>0</v>
      </c>
      <c r="H92" s="87">
        <v>0</v>
      </c>
      <c r="I92" s="87">
        <v>0</v>
      </c>
      <c r="J92" s="87">
        <v>0</v>
      </c>
      <c r="K92" s="87">
        <v>0</v>
      </c>
      <c r="L92" s="87" t="s">
        <v>267</v>
      </c>
      <c r="M92" s="87" t="s">
        <v>500</v>
      </c>
      <c r="N92" s="87" t="s">
        <v>426</v>
      </c>
      <c r="O92" s="87" t="s">
        <v>264</v>
      </c>
      <c r="P92" s="87" t="s">
        <v>271</v>
      </c>
      <c r="Q92" s="87" t="s">
        <v>265</v>
      </c>
      <c r="T92" s="90" t="str">
        <f t="shared" si="8"/>
        <v>NG</v>
      </c>
      <c r="U92" s="90" t="str">
        <f t="shared" si="9"/>
        <v>AR</v>
      </c>
      <c r="V92" s="90" t="str">
        <f t="shared" si="10"/>
        <v>05</v>
      </c>
      <c r="W92" s="90" t="str">
        <f t="shared" si="11"/>
        <v>M</v>
      </c>
      <c r="X92" s="90" t="str">
        <f t="shared" si="6"/>
        <v>30BT</v>
      </c>
    </row>
    <row r="93" spans="1:24">
      <c r="A93" s="87">
        <v>181959</v>
      </c>
      <c r="B93" s="87" t="s">
        <v>519</v>
      </c>
      <c r="D93" s="89" t="str">
        <f t="shared" si="7"/>
        <v>NGAT05M30BT</v>
      </c>
      <c r="E93" s="87">
        <v>0</v>
      </c>
      <c r="F93" s="87">
        <v>0</v>
      </c>
      <c r="G93" s="87">
        <v>0</v>
      </c>
      <c r="H93" s="87">
        <v>0</v>
      </c>
      <c r="I93" s="87">
        <v>0</v>
      </c>
      <c r="J93" s="87">
        <v>0</v>
      </c>
      <c r="K93" s="87">
        <v>0</v>
      </c>
      <c r="L93" s="87" t="s">
        <v>267</v>
      </c>
      <c r="M93" s="87" t="s">
        <v>500</v>
      </c>
      <c r="N93" s="87" t="s">
        <v>426</v>
      </c>
      <c r="O93" s="87" t="s">
        <v>264</v>
      </c>
      <c r="P93" s="87" t="s">
        <v>271</v>
      </c>
      <c r="Q93" s="87" t="s">
        <v>275</v>
      </c>
      <c r="T93" s="90" t="str">
        <f t="shared" si="8"/>
        <v>NG</v>
      </c>
      <c r="U93" s="90" t="str">
        <f t="shared" si="9"/>
        <v>AT</v>
      </c>
      <c r="V93" s="90" t="str">
        <f t="shared" si="10"/>
        <v>05</v>
      </c>
      <c r="W93" s="90" t="str">
        <f t="shared" si="11"/>
        <v>M</v>
      </c>
      <c r="X93" s="90" t="str">
        <f t="shared" si="6"/>
        <v>30BT</v>
      </c>
    </row>
    <row r="94" spans="1:24">
      <c r="A94" s="87">
        <v>181960</v>
      </c>
      <c r="B94" s="87" t="s">
        <v>520</v>
      </c>
      <c r="D94" s="89" t="str">
        <f t="shared" si="7"/>
        <v>NGAB05M30BT</v>
      </c>
      <c r="E94" s="87">
        <v>0</v>
      </c>
      <c r="F94" s="87">
        <v>0</v>
      </c>
      <c r="G94" s="87">
        <v>0</v>
      </c>
      <c r="H94" s="87">
        <v>0</v>
      </c>
      <c r="I94" s="87">
        <v>0</v>
      </c>
      <c r="J94" s="87">
        <v>0</v>
      </c>
      <c r="K94" s="87">
        <v>0</v>
      </c>
      <c r="L94" s="87" t="s">
        <v>267</v>
      </c>
      <c r="M94" s="87" t="s">
        <v>500</v>
      </c>
      <c r="N94" s="87" t="s">
        <v>426</v>
      </c>
      <c r="O94" s="87" t="s">
        <v>264</v>
      </c>
      <c r="P94" s="87" t="s">
        <v>271</v>
      </c>
      <c r="Q94" s="87" t="s">
        <v>276</v>
      </c>
      <c r="T94" s="90" t="str">
        <f t="shared" si="8"/>
        <v>NG</v>
      </c>
      <c r="U94" s="90" t="str">
        <f t="shared" si="9"/>
        <v>AB</v>
      </c>
      <c r="V94" s="90" t="str">
        <f t="shared" si="10"/>
        <v>05</v>
      </c>
      <c r="W94" s="90" t="str">
        <f t="shared" si="11"/>
        <v>M</v>
      </c>
      <c r="X94" s="90" t="str">
        <f t="shared" si="6"/>
        <v>30BT</v>
      </c>
    </row>
    <row r="95" spans="1:24">
      <c r="A95" s="87">
        <v>181961</v>
      </c>
      <c r="B95" s="87" t="s">
        <v>521</v>
      </c>
      <c r="D95" s="89" t="str">
        <f t="shared" si="7"/>
        <v>NGAR05M40BT</v>
      </c>
      <c r="E95" s="87">
        <v>0</v>
      </c>
      <c r="F95" s="87">
        <v>0</v>
      </c>
      <c r="G95" s="87">
        <v>0</v>
      </c>
      <c r="H95" s="87">
        <v>0</v>
      </c>
      <c r="I95" s="87">
        <v>0</v>
      </c>
      <c r="J95" s="87">
        <v>0</v>
      </c>
      <c r="K95" s="87">
        <v>0</v>
      </c>
      <c r="L95" s="87" t="s">
        <v>274</v>
      </c>
      <c r="M95" s="87" t="s">
        <v>500</v>
      </c>
      <c r="N95" s="87" t="s">
        <v>426</v>
      </c>
      <c r="O95" s="87" t="s">
        <v>264</v>
      </c>
      <c r="P95" s="87" t="s">
        <v>271</v>
      </c>
      <c r="Q95" s="87" t="s">
        <v>265</v>
      </c>
      <c r="T95" s="90" t="str">
        <f t="shared" si="8"/>
        <v>NG</v>
      </c>
      <c r="U95" s="90" t="str">
        <f t="shared" si="9"/>
        <v>AR</v>
      </c>
      <c r="V95" s="90" t="str">
        <f t="shared" si="10"/>
        <v>05</v>
      </c>
      <c r="W95" s="90" t="str">
        <f t="shared" si="11"/>
        <v>M</v>
      </c>
      <c r="X95" s="90" t="str">
        <f t="shared" si="6"/>
        <v>40BT</v>
      </c>
    </row>
    <row r="96" spans="1:24">
      <c r="A96" s="87">
        <v>181962</v>
      </c>
      <c r="B96" s="87" t="s">
        <v>522</v>
      </c>
      <c r="D96" s="89" t="str">
        <f t="shared" si="7"/>
        <v>NGAT05M40BT</v>
      </c>
      <c r="E96" s="87">
        <v>0</v>
      </c>
      <c r="F96" s="87">
        <v>0</v>
      </c>
      <c r="G96" s="87">
        <v>0</v>
      </c>
      <c r="H96" s="87">
        <v>0</v>
      </c>
      <c r="I96" s="87">
        <v>0</v>
      </c>
      <c r="J96" s="87">
        <v>0</v>
      </c>
      <c r="K96" s="87">
        <v>0</v>
      </c>
      <c r="L96" s="87" t="s">
        <v>274</v>
      </c>
      <c r="M96" s="87" t="s">
        <v>500</v>
      </c>
      <c r="N96" s="87" t="s">
        <v>426</v>
      </c>
      <c r="O96" s="87" t="s">
        <v>264</v>
      </c>
      <c r="P96" s="87" t="s">
        <v>271</v>
      </c>
      <c r="Q96" s="87" t="s">
        <v>275</v>
      </c>
      <c r="T96" s="90" t="str">
        <f t="shared" si="8"/>
        <v>NG</v>
      </c>
      <c r="U96" s="90" t="str">
        <f t="shared" si="9"/>
        <v>AT</v>
      </c>
      <c r="V96" s="90" t="str">
        <f t="shared" si="10"/>
        <v>05</v>
      </c>
      <c r="W96" s="90" t="str">
        <f t="shared" si="11"/>
        <v>M</v>
      </c>
      <c r="X96" s="90" t="str">
        <f t="shared" si="6"/>
        <v>40BT</v>
      </c>
    </row>
    <row r="97" spans="1:24">
      <c r="A97" s="87">
        <v>181963</v>
      </c>
      <c r="B97" s="87" t="s">
        <v>523</v>
      </c>
      <c r="D97" s="89" t="str">
        <f t="shared" si="7"/>
        <v>NGAB05M40BT</v>
      </c>
      <c r="E97" s="87">
        <v>0</v>
      </c>
      <c r="F97" s="87">
        <v>0</v>
      </c>
      <c r="G97" s="87">
        <v>0</v>
      </c>
      <c r="H97" s="87">
        <v>0</v>
      </c>
      <c r="I97" s="87">
        <v>0</v>
      </c>
      <c r="J97" s="87">
        <v>0</v>
      </c>
      <c r="K97" s="87">
        <v>0</v>
      </c>
      <c r="L97" s="87" t="s">
        <v>274</v>
      </c>
      <c r="M97" s="87" t="s">
        <v>500</v>
      </c>
      <c r="N97" s="87" t="s">
        <v>426</v>
      </c>
      <c r="O97" s="87" t="s">
        <v>264</v>
      </c>
      <c r="P97" s="87" t="s">
        <v>271</v>
      </c>
      <c r="Q97" s="87" t="s">
        <v>276</v>
      </c>
      <c r="T97" s="90" t="str">
        <f t="shared" si="8"/>
        <v>NG</v>
      </c>
      <c r="U97" s="90" t="str">
        <f t="shared" si="9"/>
        <v>AB</v>
      </c>
      <c r="V97" s="90" t="str">
        <f t="shared" si="10"/>
        <v>05</v>
      </c>
      <c r="W97" s="90" t="str">
        <f t="shared" si="11"/>
        <v>M</v>
      </c>
      <c r="X97" s="90" t="str">
        <f t="shared" si="6"/>
        <v>40BT</v>
      </c>
    </row>
    <row r="98" spans="1:24">
      <c r="A98" s="87">
        <v>181964</v>
      </c>
      <c r="B98" s="87" t="s">
        <v>524</v>
      </c>
      <c r="D98" s="89" t="str">
        <f t="shared" si="7"/>
        <v>NGAR05M60BT</v>
      </c>
      <c r="E98" s="87">
        <v>0</v>
      </c>
      <c r="F98" s="87">
        <v>0</v>
      </c>
      <c r="G98" s="87">
        <v>0</v>
      </c>
      <c r="H98" s="87">
        <v>0</v>
      </c>
      <c r="I98" s="87">
        <v>0</v>
      </c>
      <c r="J98" s="87">
        <v>0</v>
      </c>
      <c r="K98" s="87">
        <v>0</v>
      </c>
      <c r="L98" s="87" t="s">
        <v>433</v>
      </c>
      <c r="M98" s="87" t="s">
        <v>500</v>
      </c>
      <c r="N98" s="87" t="s">
        <v>426</v>
      </c>
      <c r="O98" s="87" t="s">
        <v>264</v>
      </c>
      <c r="P98" s="87" t="s">
        <v>271</v>
      </c>
      <c r="Q98" s="87" t="s">
        <v>265</v>
      </c>
      <c r="T98" s="90" t="str">
        <f t="shared" si="8"/>
        <v>NG</v>
      </c>
      <c r="U98" s="90" t="str">
        <f t="shared" si="9"/>
        <v>AR</v>
      </c>
      <c r="V98" s="90" t="str">
        <f t="shared" si="10"/>
        <v>05</v>
      </c>
      <c r="W98" s="90" t="str">
        <f t="shared" si="11"/>
        <v>M</v>
      </c>
      <c r="X98" s="90" t="str">
        <f t="shared" si="6"/>
        <v>60BT</v>
      </c>
    </row>
    <row r="99" spans="1:24">
      <c r="A99" s="87">
        <v>181965</v>
      </c>
      <c r="B99" s="87" t="s">
        <v>525</v>
      </c>
      <c r="D99" s="89" t="str">
        <f t="shared" si="7"/>
        <v>NGAT05M60BT</v>
      </c>
      <c r="E99" s="87">
        <v>0</v>
      </c>
      <c r="F99" s="87">
        <v>0</v>
      </c>
      <c r="G99" s="87">
        <v>0</v>
      </c>
      <c r="H99" s="87">
        <v>0</v>
      </c>
      <c r="I99" s="87">
        <v>0</v>
      </c>
      <c r="J99" s="87">
        <v>0</v>
      </c>
      <c r="K99" s="87">
        <v>0</v>
      </c>
      <c r="L99" s="87" t="s">
        <v>433</v>
      </c>
      <c r="M99" s="87" t="s">
        <v>500</v>
      </c>
      <c r="N99" s="87" t="s">
        <v>426</v>
      </c>
      <c r="O99" s="87" t="s">
        <v>264</v>
      </c>
      <c r="P99" s="87" t="s">
        <v>271</v>
      </c>
      <c r="Q99" s="87" t="s">
        <v>275</v>
      </c>
      <c r="T99" s="90" t="str">
        <f t="shared" si="8"/>
        <v>NG</v>
      </c>
      <c r="U99" s="90" t="str">
        <f t="shared" si="9"/>
        <v>AT</v>
      </c>
      <c r="V99" s="90" t="str">
        <f t="shared" si="10"/>
        <v>05</v>
      </c>
      <c r="W99" s="90" t="str">
        <f t="shared" si="11"/>
        <v>M</v>
      </c>
      <c r="X99" s="90" t="str">
        <f t="shared" si="6"/>
        <v>60BT</v>
      </c>
    </row>
    <row r="100" spans="1:24">
      <c r="A100" s="87">
        <v>181966</v>
      </c>
      <c r="B100" s="87" t="s">
        <v>526</v>
      </c>
      <c r="D100" s="89" t="str">
        <f t="shared" si="7"/>
        <v>NGAB05M60BT</v>
      </c>
      <c r="E100" s="87">
        <v>0</v>
      </c>
      <c r="F100" s="87">
        <v>0</v>
      </c>
      <c r="G100" s="87">
        <v>0</v>
      </c>
      <c r="H100" s="87">
        <v>0</v>
      </c>
      <c r="I100" s="87">
        <v>0</v>
      </c>
      <c r="J100" s="87">
        <v>0</v>
      </c>
      <c r="K100" s="87">
        <v>0</v>
      </c>
      <c r="L100" s="87" t="s">
        <v>433</v>
      </c>
      <c r="M100" s="87" t="s">
        <v>500</v>
      </c>
      <c r="N100" s="87" t="s">
        <v>426</v>
      </c>
      <c r="O100" s="87" t="s">
        <v>264</v>
      </c>
      <c r="P100" s="87" t="s">
        <v>271</v>
      </c>
      <c r="Q100" s="87" t="s">
        <v>276</v>
      </c>
      <c r="T100" s="90" t="str">
        <f t="shared" si="8"/>
        <v>NG</v>
      </c>
      <c r="U100" s="90" t="str">
        <f t="shared" si="9"/>
        <v>AB</v>
      </c>
      <c r="V100" s="90" t="str">
        <f t="shared" si="10"/>
        <v>05</v>
      </c>
      <c r="W100" s="90" t="str">
        <f t="shared" si="11"/>
        <v>M</v>
      </c>
      <c r="X100" s="90" t="str">
        <f t="shared" si="6"/>
        <v>60BT</v>
      </c>
    </row>
    <row r="101" spans="1:24">
      <c r="A101" s="87">
        <v>181976</v>
      </c>
      <c r="B101" s="87" t="s">
        <v>527</v>
      </c>
      <c r="D101" s="89" t="str">
        <f t="shared" si="7"/>
        <v>NGCR05M30BT</v>
      </c>
      <c r="E101" s="87">
        <v>0</v>
      </c>
      <c r="F101" s="87">
        <v>0</v>
      </c>
      <c r="G101" s="87">
        <v>0</v>
      </c>
      <c r="H101" s="87">
        <v>0</v>
      </c>
      <c r="I101" s="87">
        <v>0</v>
      </c>
      <c r="J101" s="87">
        <v>0</v>
      </c>
      <c r="K101" s="87">
        <v>0</v>
      </c>
      <c r="L101" s="87" t="s">
        <v>267</v>
      </c>
      <c r="M101" s="87" t="s">
        <v>500</v>
      </c>
      <c r="N101" s="87" t="s">
        <v>426</v>
      </c>
      <c r="O101" s="87" t="s">
        <v>264</v>
      </c>
      <c r="P101" s="87" t="s">
        <v>272</v>
      </c>
      <c r="Q101" s="87" t="s">
        <v>265</v>
      </c>
      <c r="T101" s="90" t="str">
        <f t="shared" si="8"/>
        <v>NG</v>
      </c>
      <c r="U101" s="90" t="str">
        <f t="shared" si="9"/>
        <v>CR</v>
      </c>
      <c r="V101" s="90" t="str">
        <f t="shared" si="10"/>
        <v>05</v>
      </c>
      <c r="W101" s="90" t="str">
        <f t="shared" si="11"/>
        <v>M</v>
      </c>
      <c r="X101" s="90" t="str">
        <f t="shared" si="6"/>
        <v>30BT</v>
      </c>
    </row>
    <row r="102" spans="1:24">
      <c r="A102" s="87">
        <v>181977</v>
      </c>
      <c r="B102" s="87" t="s">
        <v>528</v>
      </c>
      <c r="D102" s="89" t="str">
        <f t="shared" si="7"/>
        <v>NGCT05M30BT</v>
      </c>
      <c r="E102" s="87">
        <v>0</v>
      </c>
      <c r="F102" s="87">
        <v>0</v>
      </c>
      <c r="G102" s="87">
        <v>0</v>
      </c>
      <c r="H102" s="87">
        <v>0</v>
      </c>
      <c r="I102" s="87">
        <v>0</v>
      </c>
      <c r="J102" s="87">
        <v>0</v>
      </c>
      <c r="K102" s="87">
        <v>0</v>
      </c>
      <c r="L102" s="87" t="s">
        <v>267</v>
      </c>
      <c r="M102" s="87" t="s">
        <v>500</v>
      </c>
      <c r="N102" s="87" t="s">
        <v>426</v>
      </c>
      <c r="O102" s="87" t="s">
        <v>264</v>
      </c>
      <c r="P102" s="87" t="s">
        <v>272</v>
      </c>
      <c r="Q102" s="87" t="s">
        <v>275</v>
      </c>
      <c r="T102" s="90" t="str">
        <f t="shared" si="8"/>
        <v>NG</v>
      </c>
      <c r="U102" s="90" t="str">
        <f t="shared" si="9"/>
        <v>CT</v>
      </c>
      <c r="V102" s="90" t="str">
        <f t="shared" si="10"/>
        <v>05</v>
      </c>
      <c r="W102" s="90" t="str">
        <f t="shared" si="11"/>
        <v>M</v>
      </c>
      <c r="X102" s="90" t="str">
        <f t="shared" ref="X102:X109" si="12">MID(B102,9,4)</f>
        <v>30BT</v>
      </c>
    </row>
    <row r="103" spans="1:24">
      <c r="A103" s="87">
        <v>181978</v>
      </c>
      <c r="B103" s="87" t="s">
        <v>529</v>
      </c>
      <c r="D103" s="89" t="str">
        <f t="shared" si="7"/>
        <v>NGCB05M30BT</v>
      </c>
      <c r="E103" s="87">
        <v>0</v>
      </c>
      <c r="F103" s="87">
        <v>0</v>
      </c>
      <c r="G103" s="87">
        <v>0</v>
      </c>
      <c r="H103" s="87">
        <v>0</v>
      </c>
      <c r="I103" s="87">
        <v>0</v>
      </c>
      <c r="J103" s="87">
        <v>0</v>
      </c>
      <c r="K103" s="87">
        <v>0</v>
      </c>
      <c r="L103" s="87" t="s">
        <v>267</v>
      </c>
      <c r="M103" s="87" t="s">
        <v>500</v>
      </c>
      <c r="N103" s="87" t="s">
        <v>426</v>
      </c>
      <c r="O103" s="87" t="s">
        <v>264</v>
      </c>
      <c r="P103" s="87" t="s">
        <v>272</v>
      </c>
      <c r="Q103" s="87" t="s">
        <v>276</v>
      </c>
      <c r="T103" s="90" t="str">
        <f t="shared" si="8"/>
        <v>NG</v>
      </c>
      <c r="U103" s="90" t="str">
        <f t="shared" si="9"/>
        <v>CB</v>
      </c>
      <c r="V103" s="90" t="str">
        <f t="shared" si="10"/>
        <v>05</v>
      </c>
      <c r="W103" s="90" t="str">
        <f t="shared" si="11"/>
        <v>M</v>
      </c>
      <c r="X103" s="90" t="str">
        <f t="shared" si="12"/>
        <v>30BT</v>
      </c>
    </row>
    <row r="104" spans="1:24">
      <c r="A104" s="87">
        <v>181979</v>
      </c>
      <c r="B104" s="87" t="s">
        <v>530</v>
      </c>
      <c r="D104" s="89" t="str">
        <f t="shared" si="7"/>
        <v>NGCR05M40BT</v>
      </c>
      <c r="E104" s="87">
        <v>0</v>
      </c>
      <c r="F104" s="87">
        <v>0</v>
      </c>
      <c r="G104" s="87">
        <v>0</v>
      </c>
      <c r="H104" s="87">
        <v>0</v>
      </c>
      <c r="I104" s="87">
        <v>0</v>
      </c>
      <c r="J104" s="87">
        <v>0</v>
      </c>
      <c r="K104" s="87">
        <v>0</v>
      </c>
      <c r="L104" s="87" t="s">
        <v>274</v>
      </c>
      <c r="M104" s="87" t="s">
        <v>500</v>
      </c>
      <c r="N104" s="87" t="s">
        <v>426</v>
      </c>
      <c r="O104" s="87" t="s">
        <v>264</v>
      </c>
      <c r="P104" s="87" t="s">
        <v>272</v>
      </c>
      <c r="Q104" s="87" t="s">
        <v>265</v>
      </c>
      <c r="T104" s="90" t="str">
        <f t="shared" si="8"/>
        <v>NG</v>
      </c>
      <c r="U104" s="90" t="str">
        <f t="shared" si="9"/>
        <v>CR</v>
      </c>
      <c r="V104" s="90" t="str">
        <f t="shared" si="10"/>
        <v>05</v>
      </c>
      <c r="W104" s="90" t="str">
        <f t="shared" si="11"/>
        <v>M</v>
      </c>
      <c r="X104" s="90" t="str">
        <f t="shared" si="12"/>
        <v>40BT</v>
      </c>
    </row>
    <row r="105" spans="1:24">
      <c r="A105" s="87">
        <v>181980</v>
      </c>
      <c r="B105" s="87" t="s">
        <v>531</v>
      </c>
      <c r="D105" s="89" t="str">
        <f t="shared" si="7"/>
        <v>NGCT05M40BT</v>
      </c>
      <c r="E105" s="87">
        <v>0</v>
      </c>
      <c r="F105" s="87">
        <v>0</v>
      </c>
      <c r="G105" s="87">
        <v>0</v>
      </c>
      <c r="H105" s="87">
        <v>0</v>
      </c>
      <c r="I105" s="87">
        <v>0</v>
      </c>
      <c r="J105" s="87">
        <v>0</v>
      </c>
      <c r="K105" s="87">
        <v>0</v>
      </c>
      <c r="L105" s="87" t="s">
        <v>274</v>
      </c>
      <c r="M105" s="87" t="s">
        <v>500</v>
      </c>
      <c r="N105" s="87" t="s">
        <v>426</v>
      </c>
      <c r="O105" s="87" t="s">
        <v>264</v>
      </c>
      <c r="P105" s="87" t="s">
        <v>272</v>
      </c>
      <c r="Q105" s="87" t="s">
        <v>275</v>
      </c>
      <c r="T105" s="90" t="str">
        <f t="shared" si="8"/>
        <v>NG</v>
      </c>
      <c r="U105" s="90" t="str">
        <f t="shared" si="9"/>
        <v>CT</v>
      </c>
      <c r="V105" s="90" t="str">
        <f t="shared" si="10"/>
        <v>05</v>
      </c>
      <c r="W105" s="90" t="str">
        <f t="shared" si="11"/>
        <v>M</v>
      </c>
      <c r="X105" s="90" t="str">
        <f t="shared" si="12"/>
        <v>40BT</v>
      </c>
    </row>
    <row r="106" spans="1:24">
      <c r="A106" s="87">
        <v>181981</v>
      </c>
      <c r="B106" s="87" t="s">
        <v>532</v>
      </c>
      <c r="D106" s="89" t="str">
        <f t="shared" si="7"/>
        <v>NGCB05M40BT</v>
      </c>
      <c r="E106" s="87">
        <v>0</v>
      </c>
      <c r="F106" s="87">
        <v>0</v>
      </c>
      <c r="G106" s="87">
        <v>0</v>
      </c>
      <c r="H106" s="87">
        <v>0</v>
      </c>
      <c r="I106" s="87">
        <v>0</v>
      </c>
      <c r="J106" s="87">
        <v>0</v>
      </c>
      <c r="K106" s="87">
        <v>0</v>
      </c>
      <c r="L106" s="87" t="s">
        <v>274</v>
      </c>
      <c r="M106" s="87" t="s">
        <v>500</v>
      </c>
      <c r="N106" s="87" t="s">
        <v>426</v>
      </c>
      <c r="O106" s="87" t="s">
        <v>264</v>
      </c>
      <c r="P106" s="87" t="s">
        <v>272</v>
      </c>
      <c r="Q106" s="87" t="s">
        <v>276</v>
      </c>
      <c r="T106" s="90" t="str">
        <f t="shared" si="8"/>
        <v>NG</v>
      </c>
      <c r="U106" s="90" t="str">
        <f t="shared" si="9"/>
        <v>CB</v>
      </c>
      <c r="V106" s="90" t="str">
        <f t="shared" si="10"/>
        <v>05</v>
      </c>
      <c r="W106" s="90" t="str">
        <f t="shared" si="11"/>
        <v>M</v>
      </c>
      <c r="X106" s="90" t="str">
        <f t="shared" si="12"/>
        <v>40BT</v>
      </c>
    </row>
    <row r="107" spans="1:24">
      <c r="A107" s="87">
        <v>181982</v>
      </c>
      <c r="B107" s="87" t="s">
        <v>533</v>
      </c>
      <c r="D107" s="89" t="str">
        <f t="shared" si="7"/>
        <v>NGCR05M60BT</v>
      </c>
      <c r="E107" s="87">
        <v>0</v>
      </c>
      <c r="F107" s="87">
        <v>0</v>
      </c>
      <c r="G107" s="87">
        <v>0</v>
      </c>
      <c r="H107" s="87">
        <v>0</v>
      </c>
      <c r="I107" s="87">
        <v>0</v>
      </c>
      <c r="J107" s="87">
        <v>0</v>
      </c>
      <c r="K107" s="87">
        <v>0</v>
      </c>
      <c r="L107" s="87" t="s">
        <v>433</v>
      </c>
      <c r="M107" s="87" t="s">
        <v>500</v>
      </c>
      <c r="N107" s="87" t="s">
        <v>426</v>
      </c>
      <c r="O107" s="87" t="s">
        <v>264</v>
      </c>
      <c r="P107" s="87" t="s">
        <v>272</v>
      </c>
      <c r="Q107" s="87" t="s">
        <v>265</v>
      </c>
      <c r="T107" s="90" t="str">
        <f t="shared" si="8"/>
        <v>NG</v>
      </c>
      <c r="U107" s="90" t="str">
        <f t="shared" si="9"/>
        <v>CR</v>
      </c>
      <c r="V107" s="90" t="str">
        <f t="shared" si="10"/>
        <v>05</v>
      </c>
      <c r="W107" s="90" t="str">
        <f t="shared" si="11"/>
        <v>M</v>
      </c>
      <c r="X107" s="90" t="str">
        <f t="shared" si="12"/>
        <v>60BT</v>
      </c>
    </row>
    <row r="108" spans="1:24">
      <c r="A108" s="87">
        <v>181983</v>
      </c>
      <c r="B108" s="87" t="s">
        <v>534</v>
      </c>
      <c r="D108" s="89" t="str">
        <f t="shared" si="7"/>
        <v>NGCT05M60BT</v>
      </c>
      <c r="E108" s="87">
        <v>0</v>
      </c>
      <c r="F108" s="87">
        <v>0</v>
      </c>
      <c r="G108" s="87">
        <v>0</v>
      </c>
      <c r="H108" s="87">
        <v>0</v>
      </c>
      <c r="I108" s="87">
        <v>0</v>
      </c>
      <c r="J108" s="87">
        <v>0</v>
      </c>
      <c r="K108" s="87">
        <v>0</v>
      </c>
      <c r="L108" s="87" t="s">
        <v>433</v>
      </c>
      <c r="M108" s="87" t="s">
        <v>500</v>
      </c>
      <c r="N108" s="87" t="s">
        <v>426</v>
      </c>
      <c r="O108" s="87" t="s">
        <v>264</v>
      </c>
      <c r="P108" s="87" t="s">
        <v>272</v>
      </c>
      <c r="Q108" s="87" t="s">
        <v>275</v>
      </c>
      <c r="T108" s="90" t="str">
        <f t="shared" si="8"/>
        <v>NG</v>
      </c>
      <c r="U108" s="90" t="str">
        <f t="shared" si="9"/>
        <v>CT</v>
      </c>
      <c r="V108" s="90" t="str">
        <f t="shared" si="10"/>
        <v>05</v>
      </c>
      <c r="W108" s="90" t="str">
        <f t="shared" si="11"/>
        <v>M</v>
      </c>
      <c r="X108" s="90" t="str">
        <f t="shared" si="12"/>
        <v>60BT</v>
      </c>
    </row>
    <row r="109" spans="1:24">
      <c r="A109" s="87">
        <v>181984</v>
      </c>
      <c r="B109" s="87" t="s">
        <v>535</v>
      </c>
      <c r="D109" s="89" t="str">
        <f t="shared" si="7"/>
        <v>NGCB05M60BT</v>
      </c>
      <c r="E109" s="87">
        <v>0</v>
      </c>
      <c r="F109" s="87">
        <v>0</v>
      </c>
      <c r="G109" s="87">
        <v>0</v>
      </c>
      <c r="H109" s="87">
        <v>0</v>
      </c>
      <c r="I109" s="87">
        <v>0</v>
      </c>
      <c r="J109" s="87">
        <v>0</v>
      </c>
      <c r="K109" s="87">
        <v>0</v>
      </c>
      <c r="L109" s="87" t="s">
        <v>433</v>
      </c>
      <c r="M109" s="87" t="s">
        <v>500</v>
      </c>
      <c r="N109" s="87" t="s">
        <v>426</v>
      </c>
      <c r="O109" s="87" t="s">
        <v>264</v>
      </c>
      <c r="P109" s="87" t="s">
        <v>272</v>
      </c>
      <c r="Q109" s="87" t="s">
        <v>276</v>
      </c>
      <c r="T109" s="90" t="str">
        <f t="shared" si="8"/>
        <v>NG</v>
      </c>
      <c r="U109" s="90" t="str">
        <f t="shared" si="9"/>
        <v>CB</v>
      </c>
      <c r="V109" s="90" t="str">
        <f t="shared" si="10"/>
        <v>05</v>
      </c>
      <c r="W109" s="90" t="str">
        <f t="shared" si="11"/>
        <v>M</v>
      </c>
      <c r="X109" s="90" t="str">
        <f t="shared" si="12"/>
        <v>60BT</v>
      </c>
    </row>
  </sheetData>
  <pageMargins left="0.7" right="0.7" top="0.75" bottom="0.75" header="0.3" footer="0.3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19f101f2-dc01-4042-8e40-12d7763a2d52">
      <UserInfo>
        <DisplayName>Kumaran KV</DisplayName>
        <AccountId>227</AccountId>
        <AccountType/>
      </UserInfo>
      <UserInfo>
        <DisplayName>Kalpesh Jain</DisplayName>
        <AccountId>1933</AccountId>
        <AccountType/>
      </UserInfo>
      <UserInfo>
        <DisplayName>Logeswaran C</DisplayName>
        <AccountId>176</AccountId>
        <AccountType/>
      </UserInfo>
    </SharedWithUsers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CB2FA32736C43AC084F52A14A15D9" ma:contentTypeVersion="14" ma:contentTypeDescription="Create a new document." ma:contentTypeScope="" ma:versionID="1a6720ead80e480c91f34080a39462cc">
  <xsd:schema xmlns:xsd="http://www.w3.org/2001/XMLSchema" xmlns:xs="http://www.w3.org/2001/XMLSchema" xmlns:p="http://schemas.microsoft.com/office/2006/metadata/properties" xmlns:ns2="b26cac7a-f046-4518-bb94-83afcd16cb5c" xmlns:ns3="19f101f2-dc01-4042-8e40-12d7763a2d52" targetNamespace="http://schemas.microsoft.com/office/2006/metadata/properties" ma:root="true" ma:fieldsID="52d9d806f04e3e810ee04ea678d81a94" ns2:_="" ns3:_="">
    <xsd:import namespace="b26cac7a-f046-4518-bb94-83afcd16cb5c"/>
    <xsd:import namespace="19f101f2-dc01-4042-8e40-12d7763a2d5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6cac7a-f046-4518-bb94-83afcd16cb5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101f2-dc01-4042-8e40-12d7763a2d52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2797C48-CC81-4B8D-8032-B370D450D1ED}">
  <ds:schemaRefs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www.w3.org/XML/1998/namespace"/>
    <ds:schemaRef ds:uri="http://purl.org/dc/terms/"/>
    <ds:schemaRef ds:uri="19f101f2-dc01-4042-8e40-12d7763a2d52"/>
    <ds:schemaRef ds:uri="b26cac7a-f046-4518-bb94-83afcd16cb5c"/>
    <ds:schemaRef ds:uri="http://purl.org/dc/dcmitype/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E0CA5442-C2DA-43F1-A162-45733585A7FC}">
  <ds:schemaRefs/>
</ds:datastoreItem>
</file>

<file path=customXml/itemProps3.xml><?xml version="1.0" encoding="utf-8"?>
<ds:datastoreItem xmlns:ds="http://schemas.openxmlformats.org/officeDocument/2006/customXml" ds:itemID="{0A7A392F-F524-4A60-8A38-C11F214F628B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Stock Item</vt:lpstr>
      <vt:lpstr>Stock Item (Read Me)</vt:lpstr>
      <vt:lpstr>Backend data</vt:lpstr>
      <vt:lpstr>Result</vt:lpstr>
      <vt:lpstr>NGWR05W-Possibility CODE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Dang</dc:creator>
  <cp:lastModifiedBy>Brijesh</cp:lastModifiedBy>
  <dcterms:created xsi:type="dcterms:W3CDTF">2023-07-04T06:39:00Z</dcterms:created>
  <dcterms:modified xsi:type="dcterms:W3CDTF">2025-03-12T07:13:58Z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0x010100CDDCB2FA32736C43AC084F52A14A15D9</vt:lpwstr>
  </property>
  <property fmtid="{D5CDD505-2E9C-101B-9397-08002B2CF9AE}" pid="3" name="KSOProductBuildVer">
    <vt:lpwstr>1033-...</vt:lpwstr>
  </property>
</Properties>
</file>
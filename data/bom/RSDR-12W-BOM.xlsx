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23" l="1"/>
  <c r="M8" i="23" s="1"/>
  <c r="M14" i="23"/>
  <c r="M12" i="23"/>
  <c r="L12" i="23"/>
  <c r="L11" i="23"/>
  <c r="M11" i="23" s="1"/>
  <c r="M9" i="23"/>
  <c r="M7" i="23"/>
  <c r="M6" i="23"/>
  <c r="M13" i="23"/>
  <c r="Q5" i="23"/>
  <c r="L5" i="23" s="1"/>
  <c r="M5" i="23" s="1"/>
  <c r="M2" i="23"/>
  <c r="M15" i="23" l="1"/>
  <c r="M17" i="23" s="1"/>
  <c r="C3" i="24"/>
  <c r="C6" i="24" s="1"/>
  <c r="F2" i="23" s="1"/>
  <c r="F3" i="24" l="1"/>
  <c r="H4" i="24" s="1"/>
  <c r="E3" i="24" l="1"/>
  <c r="H5" i="24" l="1"/>
  <c r="G3" i="24"/>
  <c r="G4" i="24" s="1"/>
  <c r="F10" i="23" l="1"/>
  <c r="D13" i="23"/>
  <c r="H3" i="24"/>
  <c r="A2" i="23" l="1"/>
  <c r="A13" i="23" s="1"/>
  <c r="D3" i="24"/>
  <c r="H8" i="24" l="1"/>
  <c r="I3" i="24"/>
  <c r="I7" i="24" s="1"/>
  <c r="H7" i="24" l="1"/>
  <c r="H6" i="24"/>
  <c r="F11" i="23" s="1"/>
  <c r="I6" i="24"/>
  <c r="I8" i="24"/>
  <c r="D4" i="24"/>
  <c r="E7" i="24" l="1"/>
  <c r="E8" i="24"/>
  <c r="C8" i="24"/>
  <c r="F7" i="24"/>
  <c r="F8" i="24"/>
  <c r="C7" i="24"/>
  <c r="G6" i="24"/>
  <c r="F13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<sst xmlns="http://schemas.openxmlformats.org/spreadsheetml/2006/main" count="428" uniqueCount="244">
  <si>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</si>
  <si>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</si>
  <si>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</si>
  <si>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</si>
  <si>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</si>
  <si>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</si>
  <si>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</si>
  <si>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</si>
  <si>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</si>
  <si>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</si>
  <si>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</si>
  <si>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</si>
  <si>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</si>
  <si>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</si>
  <si>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</si>
  <si>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</si>
  <si>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</si>
  <si>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</si>
  <si>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</si>
  <si>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</si>
  <si>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</si>
  <si>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</si>
  <si>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</si>
  <si>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</si>
  <si>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</si>
  <si>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</si>
  <si>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</si>
  <si>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</si>
  <si>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</si>
  <si>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</si>
  <si>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</si>
  <si>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</si>
  <si>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</si>
  <si>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</si>
  <si>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</si>
  <si>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</si>
  <si>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</si>
  <si>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</si>
  <si>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</si>
  <si>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</si>
  <si>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</si>
  <si>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</si>
  <si>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</si>
  <si>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</si>
  <si>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</si>
  <si>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</si>
  <si>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</si>
  <si>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</si>
  <si>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</si>
  <si>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</si>
  <si>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</si>
  <si>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</si>
  <si>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</si>
  <si>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</si>
  <si>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</si>
  <si>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</si>
  <si>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</si>
  <si>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</si>
  <si>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</si>
  <si>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</si>
  <si>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</si>
  <si>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</si>
  <si>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</si>
  <si>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</si>
  <si>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</si>
  <si>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</si>
  <si>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</si>
  <si>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</si>
  <si>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</si>
  <si>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</si>
  <si>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</si>
  <si>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</si>
  <si>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</si>
  <si>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</si>
  <si>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</si>
  <si>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</si>
  <si>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</si>
  <si>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</si>
  <si>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</si>
  <si>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</si>
  <si>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</si>
  <si>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</si>
  <si>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</si>
  <si>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</si>
  <si>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</si>
  <si>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</si>
  <si>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</si>
  <si>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</si>
  <si>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</si>
  <si>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</si>
  <si>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</si>
  <si>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</si>
  <si>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</si>
  <si>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</si>
  <si>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</si>
  <si>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</si>
  <si>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</si>
  <si>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</si>
  <si>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</si>
  <si>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</si>
  <si>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</si>
  <si>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</si>
  <si>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</si>
  <si>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</si>
  <si>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</si>
  <si>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</si>
  <si>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</si>
  <si>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</si>
  <si>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</si>
  <si>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</si>
  <si>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</si>
  <si>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</si>
  <si>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</si>
  <si>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</si>
  <si>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</si>
  <si>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</si>
  <si>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</si>
  <si>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</si>
  <si>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</si>
  <si>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</si>
  <si>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</si>
  <si>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</si>
  <si>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</si>
  <si>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</si>
  <si>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</si>
  <si>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</si>
  <si>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</si>
  <si>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</si>
  <si>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</si>
  <si>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</si>
  <si>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</si>
  <si>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</si>
  <si>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</si>
  <si>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</si>
  <si>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</si>
  <si>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</si>
  <si>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</si>
  <si>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</si>
  <si>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</si>
  <si>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</si>
  <si>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</si>
  <si>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</si>
  <si>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</si>
  <si>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</si>
  <si>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</si>
  <si>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</si>
  <si>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</si>
  <si>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</si>
  <si>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</si>
  <si>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</si>
  <si>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</si>
  <si>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</si>
  <si>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</si>
  <si>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</si>
  <si>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</si>
  <si>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</si>
  <si>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</si>
  <si>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</si>
  <si>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</si>
  <si>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</si>
  <si>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</si>
  <si>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</si>
  <si>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</si>
  <si>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</si>
  <si>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</si>
  <si>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</si>
  <si>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</si>
  <si>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</si>
  <si>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</si>
  <si>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</si>
  <si>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</si>
  <si>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</si>
  <si>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</si>
  <si>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</si>
  <si>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</si>
  <si>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</si>
  <si>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</si>
  <si>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</si>
  <si>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</si>
  <si>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</si>
  <si>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</si>
  <si>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</si>
  <si>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</si>
  <si>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</si>
  <si>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</si>
  <si>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</si>
  <si>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</si>
  <si>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</si>
  <si>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</si>
  <si>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</si>
  <si>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</si>
  <si>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</si>
  <si>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</si>
  <si>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</si>
  <si>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</si>
  <si>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</si>
  <si>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</si>
  <si>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</si>
  <si>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</si>
  <si>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</si>
  <si>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</si>
  <si>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</si>
  <si>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</si>
  <si>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</si>
  <si>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</si>
  <si>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</si>
  <si>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</si>
  <si>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M</t>
  </si>
  <si>
    <t>Mechanical Store</t>
  </si>
  <si>
    <t>R</t>
  </si>
  <si>
    <t>MOUNTING TRIM</t>
  </si>
  <si>
    <t>Electronics Store</t>
  </si>
  <si>
    <t>50-</t>
  </si>
  <si>
    <t>27-</t>
  </si>
  <si>
    <t>30-</t>
  </si>
  <si>
    <t>40-</t>
  </si>
  <si>
    <t>60-</t>
  </si>
  <si>
    <t>T</t>
  </si>
  <si>
    <t>12-</t>
  </si>
  <si>
    <t>Down Light Series</t>
  </si>
  <si>
    <t>Bracket W-25 L-90 H-14mm.</t>
  </si>
  <si>
    <t>Diff  OD- 119  ID-116  H-8mm T-1.5mm</t>
  </si>
  <si>
    <t>Conn. 2 pin ass. Wire  Black male (small)</t>
  </si>
  <si>
    <t>Fitting RSDR12W- Round White</t>
  </si>
  <si>
    <t>Fitting RSDR12W- Round Black</t>
  </si>
  <si>
    <t>Screw M3x6mm CSK Head SS</t>
  </si>
  <si>
    <t>PS 8-12W 300mA 36V Power Plazza (RSDR12W)</t>
  </si>
  <si>
    <t>PBX-FRDR15W &amp; SBDR16W</t>
  </si>
  <si>
    <t>LED 2835-60mA-6000K (PW)</t>
  </si>
  <si>
    <t>LED 2835-60mA-5000K (PW)</t>
  </si>
  <si>
    <t>LED 2835-60mA-4000K (NW)</t>
  </si>
  <si>
    <t>LED 2835-60mA-3000K (WW)</t>
  </si>
  <si>
    <t>LED SMD 2835 60mA 2700K (WW)</t>
  </si>
  <si>
    <t>SBX FRDR15-20W (12Nos)</t>
  </si>
  <si>
    <t>Sleeve M4mm Fiber Glass White</t>
  </si>
  <si>
    <t>PCB BS-12W ( RSDR12W )</t>
  </si>
  <si>
    <t>RSDR12F30</t>
  </si>
  <si>
    <t>Unit Price</t>
  </si>
  <si>
    <t>USD</t>
  </si>
  <si>
    <t>INS&amp;FRED</t>
  </si>
  <si>
    <t>BCD</t>
  </si>
  <si>
    <t>Total Cost</t>
  </si>
  <si>
    <t>PS Rate Mention with Total Amt</t>
  </si>
  <si>
    <t>RSDR12-CC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</si>
</sst>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8" formatCode="_-[$Rs-420]* #,##0.00_-;_-[$Rs-420]* #,##0.00\-;_-[$Rs-420]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</cellStyleXfs>
  <cellXfs count="108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2" borderId="1" xfId="0" applyFill="1" applyBorder="1"/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0" fillId="0" borderId="1" xfId="3" applyBorder="1"/>
    <xf numFmtId="0" fontId="21" fillId="10" borderId="0" xfId="0" applyFont="1" applyFill="1" applyAlignment="1">
      <alignment horizontal="left" vertical="center" wrapText="1"/>
    </xf>
    <xf numFmtId="0" fontId="0" fillId="9" borderId="1" xfId="0" applyFill="1" applyBorder="1"/>
    <xf numFmtId="0" fontId="20" fillId="10" borderId="1" xfId="3" applyFill="1" applyBorder="1"/>
    <xf numFmtId="0" fontId="0" fillId="0" borderId="14" xfId="0" applyBorder="1"/>
    <xf numFmtId="0" fontId="2" fillId="6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9" borderId="1" xfId="0" applyFont="1" applyFill="1" applyBorder="1"/>
    <xf numFmtId="0" fontId="22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vertical="center"/>
    </xf>
    <xf numFmtId="165" fontId="23" fillId="0" borderId="1" xfId="0" applyNumberFormat="1" applyFont="1" applyBorder="1" applyAlignment="1">
      <alignment horizontal="center" vertical="center"/>
    </xf>
    <xf numFmtId="0" fontId="23" fillId="0" borderId="0" xfId="0" applyFont="1" applyBorder="1"/>
    <xf numFmtId="0" fontId="24" fillId="0" borderId="0" xfId="0" applyFont="1"/>
    <xf numFmtId="165" fontId="8" fillId="6" borderId="17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8" fontId="22" fillId="11" borderId="1" xfId="0" applyNumberFormat="1" applyFont="1" applyFill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5" fontId="23" fillId="0" borderId="15" xfId="0" applyNumberFormat="1" applyFont="1" applyBorder="1" applyAlignment="1">
      <alignment horizontal="center" vertical="center"/>
    </xf>
    <xf numFmtId="165" fontId="23" fillId="0" borderId="6" xfId="0" applyNumberFormat="1" applyFont="1" applyBorder="1" applyAlignment="1">
      <alignment horizontal="center" vertical="center"/>
    </xf>
    <xf numFmtId="0" fontId="8" fillId="11" borderId="2" xfId="0" applyFont="1" applyFill="1" applyBorder="1" applyAlignment="1">
      <alignment horizontal="right" vertical="center"/>
    </xf>
    <xf numFmtId="0" fontId="8" fillId="11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 2" xfId="1"/>
    <cellStyle name="Normal" xfId="0" builtinId="0"/>
    <cellStyle name="Normal 2" xfId="2"/>
    <cellStyle name="Normal 2 2" xfId="3"/>
  </cellStyles>
  <dxfs count="10">
    <dxf>
      <fill>
        <patternFill>
          <bgColor theme="7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G1" zoomScale="96" zoomScaleNormal="96" workbookViewId="0">
      <selection activeCell="P8" sqref="P8"/>
    </sheetView>
  </sheetViews>
  <sheetFormatPr defaultColWidth="9" defaultRowHeight="15"/>
  <cols>
    <col min="1" max="1" width="14.42578125" customWidth="1"/>
    <col min="2" max="2" width="16.140625" customWidth="1"/>
    <col min="3" max="3" width="8.28515625" customWidth="1"/>
    <col min="4" max="4" width="22.5703125" customWidth="1"/>
    <col min="5" max="5" width="20.42578125" customWidth="1"/>
    <col min="6" max="6" width="54.5703125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5.5703125" customWidth="1"/>
    <col min="15" max="15" width="10.5703125" bestFit="1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1" t="s">
        <v>237</v>
      </c>
      <c r="M1" s="81" t="s">
        <v>193</v>
      </c>
      <c r="N1" s="82" t="s">
        <v>238</v>
      </c>
      <c r="O1" s="83" t="s">
        <v>239</v>
      </c>
      <c r="P1" s="83" t="s">
        <v>240</v>
      </c>
      <c r="Q1" s="82" t="s">
        <v>241</v>
      </c>
    </row>
    <row r="2" spans="1:17">
      <c r="A2" s="49" t="str">
        <f>$D$2</f>
        <v>RSDR12F30</v>
      </c>
      <c r="B2" s="49" t="s">
        <v>206</v>
      </c>
      <c r="C2" s="49" t="s">
        <v>189</v>
      </c>
      <c r="D2" s="73" t="s">
        <v>236</v>
      </c>
      <c r="E2" s="49">
        <v>1</v>
      </c>
      <c r="F2" s="70" t="str">
        <f>'Backend data'!C6</f>
        <v>Fitting RSDR12W- Round White</v>
      </c>
      <c r="G2" s="79">
        <v>1</v>
      </c>
      <c r="H2" s="49" t="s">
        <v>208</v>
      </c>
      <c r="I2" s="49" t="s">
        <v>9</v>
      </c>
      <c r="J2" s="49"/>
      <c r="K2" s="49"/>
      <c r="L2" s="94">
        <v>40</v>
      </c>
      <c r="M2" s="94">
        <f>G2*L2</f>
        <v>40</v>
      </c>
    </row>
    <row r="3" spans="1:17">
      <c r="A3" s="49"/>
      <c r="B3" s="49"/>
      <c r="C3" s="49"/>
      <c r="D3" s="49"/>
      <c r="E3" s="49"/>
      <c r="F3" s="77" t="s">
        <v>221</v>
      </c>
      <c r="G3" s="79">
        <v>1</v>
      </c>
      <c r="H3" s="49" t="s">
        <v>208</v>
      </c>
      <c r="I3" s="49" t="s">
        <v>9</v>
      </c>
      <c r="J3" s="49"/>
      <c r="K3" s="49"/>
      <c r="L3" s="95"/>
      <c r="M3" s="95"/>
    </row>
    <row r="4" spans="1:17">
      <c r="A4" s="49"/>
      <c r="B4" s="49"/>
      <c r="C4" s="49"/>
      <c r="D4" s="49"/>
      <c r="E4" s="49"/>
      <c r="F4" s="77" t="s">
        <v>220</v>
      </c>
      <c r="G4" s="79">
        <v>1</v>
      </c>
      <c r="H4" s="49" t="s">
        <v>208</v>
      </c>
      <c r="I4" s="49" t="s">
        <v>9</v>
      </c>
      <c r="J4" s="49"/>
      <c r="K4" s="49"/>
      <c r="L4" s="96"/>
      <c r="M4" s="96"/>
    </row>
    <row r="5" spans="1:17">
      <c r="A5" s="49"/>
      <c r="B5" s="49"/>
      <c r="C5" s="49"/>
      <c r="D5" s="49"/>
      <c r="E5" s="49"/>
      <c r="F5" s="60" t="s">
        <v>222</v>
      </c>
      <c r="G5" s="79">
        <v>1</v>
      </c>
      <c r="H5" s="49" t="s">
        <v>208</v>
      </c>
      <c r="I5" s="49" t="s">
        <v>9</v>
      </c>
      <c r="J5" s="49"/>
      <c r="K5" s="49"/>
      <c r="L5" s="87">
        <f>Q5*87</f>
        <v>3.915</v>
      </c>
      <c r="M5" s="87">
        <f>G5*L5</f>
        <v>3.915</v>
      </c>
      <c r="N5" s="84">
        <v>0.03</v>
      </c>
      <c r="O5" s="85">
        <v>0.5</v>
      </c>
      <c r="P5" s="85"/>
      <c r="Q5" s="86">
        <f t="shared" ref="Q2:Q5" si="0">N5+(N5*(O5+P5))</f>
        <v>4.4999999999999998E-2</v>
      </c>
    </row>
    <row r="6" spans="1:17">
      <c r="A6" s="49"/>
      <c r="B6" s="49"/>
      <c r="C6" s="49"/>
      <c r="D6" s="49"/>
      <c r="E6" s="49"/>
      <c r="F6" s="80" t="s">
        <v>227</v>
      </c>
      <c r="G6" s="92">
        <v>1</v>
      </c>
      <c r="H6" s="49" t="s">
        <v>208</v>
      </c>
      <c r="I6" s="49" t="s">
        <v>9</v>
      </c>
      <c r="J6" s="49"/>
      <c r="K6" s="49"/>
      <c r="L6" s="87">
        <v>8.5</v>
      </c>
      <c r="M6" s="87">
        <f t="shared" ref="M6:M14" si="1">G6*L6</f>
        <v>8.5</v>
      </c>
    </row>
    <row r="7" spans="1:17">
      <c r="A7" s="49"/>
      <c r="B7" s="49"/>
      <c r="C7" s="49"/>
      <c r="D7" s="49"/>
      <c r="E7" s="49"/>
      <c r="F7" s="80" t="s">
        <v>233</v>
      </c>
      <c r="G7" s="92">
        <v>0.08</v>
      </c>
      <c r="H7" s="49" t="s">
        <v>208</v>
      </c>
      <c r="I7" s="49" t="s">
        <v>9</v>
      </c>
      <c r="J7" s="49"/>
      <c r="K7" s="49"/>
      <c r="L7" s="88">
        <v>27</v>
      </c>
      <c r="M7" s="87">
        <f t="shared" si="1"/>
        <v>2.16</v>
      </c>
    </row>
    <row r="8" spans="1:17">
      <c r="A8" s="49"/>
      <c r="B8" s="49"/>
      <c r="C8" s="49"/>
      <c r="D8" s="49"/>
      <c r="E8" s="49"/>
      <c r="F8" s="78" t="s">
        <v>234</v>
      </c>
      <c r="G8" s="79">
        <v>0.12</v>
      </c>
      <c r="H8" s="49" t="s">
        <v>208</v>
      </c>
      <c r="I8" s="49" t="s">
        <v>9</v>
      </c>
      <c r="J8" s="76"/>
      <c r="K8" s="49"/>
      <c r="L8" s="88">
        <f>5.7/1000*120</f>
        <v>0.68400000000000005</v>
      </c>
      <c r="M8" s="87">
        <f t="shared" si="1"/>
        <v>8.208E-2</v>
      </c>
    </row>
    <row r="9" spans="1:17">
      <c r="A9" s="49"/>
      <c r="B9" s="49"/>
      <c r="C9" s="49"/>
      <c r="D9" s="49"/>
      <c r="E9" s="49"/>
      <c r="F9" s="60" t="s">
        <v>225</v>
      </c>
      <c r="G9" s="79">
        <v>3</v>
      </c>
      <c r="H9" s="49" t="s">
        <v>208</v>
      </c>
      <c r="I9" s="49" t="s">
        <v>9</v>
      </c>
      <c r="J9" s="76"/>
      <c r="K9" s="49"/>
      <c r="L9" s="87">
        <v>0.48</v>
      </c>
      <c r="M9" s="87">
        <f t="shared" si="1"/>
        <v>1.44</v>
      </c>
    </row>
    <row r="10" spans="1:17">
      <c r="A10" s="49"/>
      <c r="B10" s="49"/>
      <c r="C10" s="49"/>
      <c r="D10" s="49"/>
      <c r="E10" s="49"/>
      <c r="F10" s="74" t="str">
        <f>D13</f>
        <v>RSDR12F30 BOM LED PCB</v>
      </c>
      <c r="G10" s="79">
        <v>1</v>
      </c>
      <c r="H10" s="49" t="s">
        <v>208</v>
      </c>
      <c r="I10" s="49" t="s">
        <v>9</v>
      </c>
      <c r="J10" s="76"/>
      <c r="K10" s="49"/>
      <c r="L10" s="87"/>
      <c r="M10" s="87"/>
    </row>
    <row r="11" spans="1:17">
      <c r="A11" s="49"/>
      <c r="B11" s="49"/>
      <c r="C11" s="49"/>
      <c r="D11" s="49"/>
      <c r="E11" s="49"/>
      <c r="F11" s="75" t="str">
        <f>'Backend data'!H6</f>
        <v>PS 8-12W 300mA 36V Power Plazza (RSDR12W)</v>
      </c>
      <c r="G11" s="79">
        <v>1</v>
      </c>
      <c r="H11" s="49" t="s">
        <v>208</v>
      </c>
      <c r="I11" s="49" t="s">
        <v>9</v>
      </c>
      <c r="J11" s="76"/>
      <c r="K11" s="49"/>
      <c r="L11" s="87">
        <f t="shared" ref="L10:L12" si="2">Q11*87</f>
        <v>0</v>
      </c>
      <c r="M11" s="87">
        <f t="shared" si="1"/>
        <v>0</v>
      </c>
      <c r="N11" s="89" t="s">
        <v>242</v>
      </c>
      <c r="O11" s="90"/>
      <c r="P11" s="90"/>
      <c r="Q11" s="90"/>
    </row>
    <row r="12" spans="1:17">
      <c r="A12" s="49"/>
      <c r="B12" s="49"/>
      <c r="C12" s="49"/>
      <c r="D12" s="49"/>
      <c r="E12" s="49"/>
      <c r="F12" s="49"/>
      <c r="G12" s="79"/>
      <c r="H12" s="49"/>
      <c r="I12" s="49"/>
      <c r="J12" s="49"/>
      <c r="K12" s="49"/>
      <c r="L12" s="87">
        <f t="shared" si="2"/>
        <v>0</v>
      </c>
      <c r="M12" s="87">
        <f t="shared" si="1"/>
        <v>0</v>
      </c>
      <c r="N12" s="90"/>
      <c r="O12" s="90"/>
      <c r="P12" s="90"/>
      <c r="Q12" s="90"/>
    </row>
    <row r="13" spans="1:17">
      <c r="A13" s="71" t="str">
        <f>A2</f>
        <v>RSDR12F30</v>
      </c>
      <c r="B13" s="70" t="s">
        <v>219</v>
      </c>
      <c r="C13" s="71"/>
      <c r="D13" s="71" t="str">
        <f>CONCATENATE('Backend data'!$H$5," ",'Backend data'!H10)</f>
        <v>RSDR12F30 BOM LED PCB</v>
      </c>
      <c r="E13" s="71">
        <v>1</v>
      </c>
      <c r="F13" s="71" t="str">
        <f>'Backend data'!G6</f>
        <v>LED 2835-60mA-3000K (WW)</v>
      </c>
      <c r="G13" s="79">
        <v>108</v>
      </c>
      <c r="H13" s="49" t="s">
        <v>211</v>
      </c>
      <c r="I13" s="49" t="s">
        <v>9</v>
      </c>
      <c r="J13" s="49"/>
      <c r="K13" s="49"/>
      <c r="L13" s="87">
        <v>0.09</v>
      </c>
      <c r="M13" s="87">
        <f t="shared" si="1"/>
        <v>9.7199999999999989</v>
      </c>
    </row>
    <row r="14" spans="1:17">
      <c r="A14" s="49"/>
      <c r="B14" s="49"/>
      <c r="C14" s="49"/>
      <c r="D14" s="49"/>
      <c r="E14" s="49"/>
      <c r="F14" s="70" t="s">
        <v>235</v>
      </c>
      <c r="G14" s="79">
        <v>1</v>
      </c>
      <c r="H14" s="49" t="s">
        <v>211</v>
      </c>
      <c r="I14" s="49" t="s">
        <v>9</v>
      </c>
      <c r="J14" s="49"/>
      <c r="K14" s="49"/>
      <c r="L14" s="87">
        <v>35.68</v>
      </c>
      <c r="M14" s="87">
        <f t="shared" si="1"/>
        <v>35.68</v>
      </c>
    </row>
    <row r="15" spans="1:17" ht="21" customHeight="1" thickBot="1">
      <c r="M15" s="91">
        <f>SUM(M2:M14)</f>
        <v>101.49708000000001</v>
      </c>
    </row>
    <row r="16" spans="1:17" ht="15.75" thickTop="1"/>
    <row r="17" spans="11:13" ht="20.25" customHeight="1">
      <c r="K17" s="97" t="s">
        <v>243</v>
      </c>
      <c r="L17" s="98"/>
      <c r="M17" s="93">
        <f>M15+98</f>
        <v>199.49708000000001</v>
      </c>
    </row>
  </sheetData>
  <mergeCells count="3">
    <mergeCell ref="L2:L4"/>
    <mergeCell ref="K17:L17"/>
    <mergeCell ref="M2:M4"/>
  </mergeCells>
  <conditionalFormatting sqref="F1 F23:F1048576">
    <cfRule type="containsText" dxfId="9" priority="21" operator="containsText" text="PS-">
      <formula>NOT(ISERROR(SEARCH("PS-",F1)))</formula>
    </cfRule>
    <cfRule type="containsText" dxfId="8" priority="24" operator="containsText" text="COB-">
      <formula>NOT(ISERROR(SEARCH("COB-",F1)))</formula>
    </cfRule>
    <cfRule type="containsText" dxfId="7" priority="26" operator="containsText" text="TRIM">
      <formula>NOT(ISERROR(SEARCH("TRIM",F1)))</formula>
    </cfRule>
  </conditionalFormatting>
  <conditionalFormatting sqref="F1:G1 F23:G1048576">
    <cfRule type="containsText" dxfId="6" priority="20" operator="containsText" text="REFLECTOR">
      <formula>NOT(ISERROR(SEARCH("REFLECTOR",F1)))</formula>
    </cfRule>
  </conditionalFormatting>
  <conditionalFormatting sqref="F5">
    <cfRule type="containsText" dxfId="5" priority="3" operator="containsText" text="PS-">
      <formula>NOT(ISERROR(SEARCH("PS-",F5)))</formula>
    </cfRule>
    <cfRule type="containsText" dxfId="4" priority="4" operator="containsText" text="COB-">
      <formula>NOT(ISERROR(SEARCH("COB-",F5)))</formula>
    </cfRule>
    <cfRule type="containsText" dxfId="3" priority="5" operator="containsText" text="TRIM">
      <formula>NOT(ISERROR(SEARCH("TRIM",F5)))</formula>
    </cfRule>
  </conditionalFormatting>
  <conditionalFormatting sqref="F5">
    <cfRule type="containsText" dxfId="2" priority="2" operator="containsText" text="REFLECTOR">
      <formula>NOT(ISERROR(SEARCH("REFLECTOR",F5)))</formula>
    </cfRule>
  </conditionalFormatting>
  <conditionalFormatting sqref="F5">
    <cfRule type="expression" dxfId="1" priority="1">
      <formula>$J6="CH"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0" t="s">
        <v>20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/>
    </row>
    <row r="6" spans="1:17" ht="12.6" customHeight="1">
      <c r="A6" s="16" t="s">
        <v>21</v>
      </c>
      <c r="B6" s="12" t="s">
        <v>15</v>
      </c>
      <c r="C6" s="13"/>
      <c r="E6" s="100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</row>
    <row r="7" spans="1:17" ht="12.6" customHeight="1">
      <c r="A7" s="16" t="s">
        <v>22</v>
      </c>
      <c r="B7" s="12" t="s">
        <v>15</v>
      </c>
      <c r="C7" s="13"/>
      <c r="E7" s="100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1:17" ht="12.6" customHeight="1">
      <c r="A8" s="16" t="s">
        <v>23</v>
      </c>
      <c r="B8" s="12" t="s">
        <v>15</v>
      </c>
      <c r="C8" s="13"/>
      <c r="E8" s="100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2"/>
    </row>
    <row r="9" spans="1:17" ht="12.95" customHeight="1">
      <c r="A9" s="16" t="s">
        <v>24</v>
      </c>
      <c r="B9" s="12" t="s">
        <v>15</v>
      </c>
      <c r="C9" s="13"/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2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</row>
    <row r="20" spans="1:17" ht="25.5">
      <c r="A20" s="16" t="s">
        <v>40</v>
      </c>
      <c r="B20" s="12" t="s">
        <v>15</v>
      </c>
      <c r="C20" s="13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</row>
    <row r="21" spans="1:17">
      <c r="A21" s="16" t="s">
        <v>41</v>
      </c>
      <c r="B21" s="12" t="s">
        <v>15</v>
      </c>
      <c r="C21" s="13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</row>
    <row r="22" spans="1:17">
      <c r="A22" s="6" t="s">
        <v>42</v>
      </c>
      <c r="B22" s="30"/>
      <c r="C22" s="31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2" workbookViewId="0">
      <selection activeCell="AB23" sqref="AB23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0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2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63" t="str">
        <f>MID('Stock Item'!$D$2,4,1)</f>
        <v>R</v>
      </c>
      <c r="D3" s="52" t="str">
        <f>MID('Stock Item'!$D$2,6,2)</f>
        <v>2F</v>
      </c>
      <c r="E3" s="63" t="str">
        <f>MID('Stock Item'!$D$2,7,1)</f>
        <v>F</v>
      </c>
      <c r="F3" s="63" t="str">
        <f>MID('Stock Item'!$D$2,5,2)</f>
        <v>12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S</v>
      </c>
    </row>
    <row r="4" spans="2:9">
      <c r="D4" s="64" t="str">
        <f>CONCATENATE(C3)</f>
        <v>R</v>
      </c>
      <c r="G4" s="64" t="str">
        <f>CONCATENATE($G$3,"-")</f>
        <v>30-</v>
      </c>
      <c r="H4" s="51" t="str">
        <f>CONCATENATE($F$3,"-")</f>
        <v>12-</v>
      </c>
    </row>
    <row r="5" spans="2:9">
      <c r="H5" s="51" t="str">
        <f>CONCATENATE('Stock Item'!D2)</f>
        <v>RSDR12F30</v>
      </c>
    </row>
    <row r="6" spans="2:9">
      <c r="B6" s="54" t="s">
        <v>199</v>
      </c>
      <c r="C6" s="58" t="str">
        <f>VLOOKUP($C$3,$B$23:$E$72,2,0)</f>
        <v>Fitting RSDR12W- Round White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8-12W 300mA 36V Power Plazza (RSDR12W)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06" t="s">
        <v>194</v>
      </c>
      <c r="C21" s="107"/>
      <c r="D21" s="107"/>
      <c r="E21" s="107"/>
      <c r="G21" s="106" t="s">
        <v>210</v>
      </c>
      <c r="H21" s="107"/>
      <c r="I21" s="107"/>
      <c r="J21" s="107"/>
      <c r="L21" s="106" t="s">
        <v>195</v>
      </c>
      <c r="M21" s="107"/>
      <c r="N21" s="107"/>
      <c r="O21" s="107"/>
      <c r="Q21" s="106" t="s">
        <v>196</v>
      </c>
      <c r="R21" s="107"/>
      <c r="S21" s="107"/>
      <c r="T21" s="107"/>
      <c r="V21" s="106" t="s">
        <v>205</v>
      </c>
      <c r="W21" s="107"/>
      <c r="X21" s="107"/>
      <c r="Y21" s="107"/>
      <c r="AA21" s="103" t="s">
        <v>197</v>
      </c>
      <c r="AB21" s="104"/>
      <c r="AC21" s="104"/>
      <c r="AD21" s="105"/>
      <c r="AF21" s="103" t="s">
        <v>203</v>
      </c>
      <c r="AG21" s="104"/>
      <c r="AH21" s="104"/>
      <c r="AI21" s="105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209</v>
      </c>
      <c r="C23" s="70" t="s">
        <v>223</v>
      </c>
      <c r="D23" s="66"/>
      <c r="E23" s="66"/>
      <c r="G23" s="68"/>
      <c r="H23" s="67"/>
      <c r="L23" s="60"/>
      <c r="M23" s="60"/>
      <c r="N23" s="49"/>
      <c r="O23" s="49"/>
      <c r="Q23" s="68" t="s">
        <v>207</v>
      </c>
      <c r="R23" s="69"/>
      <c r="V23" s="49" t="s">
        <v>216</v>
      </c>
      <c r="W23" s="78" t="s">
        <v>228</v>
      </c>
      <c r="X23" s="49"/>
      <c r="AA23" s="72" t="s">
        <v>218</v>
      </c>
      <c r="AB23" s="72" t="s">
        <v>226</v>
      </c>
      <c r="AF23" s="60"/>
      <c r="AG23" s="60"/>
    </row>
    <row r="24" spans="2:35">
      <c r="B24" s="67" t="s">
        <v>19</v>
      </c>
      <c r="C24" s="70" t="s">
        <v>224</v>
      </c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212</v>
      </c>
      <c r="W24" s="78" t="s">
        <v>229</v>
      </c>
      <c r="AB24"/>
    </row>
    <row r="25" spans="2:35">
      <c r="B25" s="60" t="s">
        <v>217</v>
      </c>
      <c r="C25" s="70"/>
      <c r="D25" s="66"/>
      <c r="E25" s="66"/>
      <c r="L25" s="49"/>
      <c r="M25" s="49"/>
      <c r="N25" s="49"/>
      <c r="O25" s="49"/>
      <c r="V25" s="49" t="s">
        <v>215</v>
      </c>
      <c r="W25" s="78" t="s">
        <v>230</v>
      </c>
      <c r="AB25"/>
    </row>
    <row r="26" spans="2:35">
      <c r="L26" s="49"/>
      <c r="M26" s="49"/>
      <c r="N26" s="49"/>
      <c r="O26" s="49"/>
      <c r="V26" s="49" t="s">
        <v>214</v>
      </c>
      <c r="W26" s="78" t="s">
        <v>231</v>
      </c>
      <c r="AB26"/>
    </row>
    <row r="27" spans="2:35">
      <c r="H27"/>
      <c r="V27" s="49" t="s">
        <v>213</v>
      </c>
      <c r="W27" s="78" t="s">
        <v>232</v>
      </c>
      <c r="AB27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Item</vt:lpstr>
      <vt:lpstr>Stock Item (Read Me)</vt:lpstr>
      <vt:lpstr>Backend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2025-03-31T10:59:33Z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
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20" windowWidth="15600" windowHeight="11340" tabRatio="597"/>
  </bookViews>
  <sheets>
    <sheet name="Stock Item" sheetId="23" r:id="rId1"/>
    <sheet name="Stock Item (Read Me)" sheetId="10" state="hidden" r:id="rId2"/>
    <sheet name="Backend data" sheetId="24" r:id="rId3"/>
    <sheet name="Result" sheetId="28" r:id="rId4"/>
  </sheets>
  <definedNames>
    <definedName name="_xlnm._FilterDatabase" localSheetId="3" hidden="1">Result!$A$1:$P$337</definedName>
  </definedNames>
  <calcPr calcId="144525"/>
</workbook>
</file>

<file path=xl/calcChain.xml><?xml version="1.0" encoding="utf-8"?>
<calcChain xmlns="http://schemas.openxmlformats.org/spreadsheetml/2006/main">
  <c r="N24" i="23" l="1"/>
  <c r="Q24" i="23" l="1"/>
  <c r="Q22" i="23"/>
  <c r="Q16" i="23"/>
  <c r="L16" i="23" s="1"/>
  <c r="M16" i="23" s="1"/>
  <c r="Q2" i="23"/>
  <c r="L15" i="23" l="1"/>
  <c r="N14" i="23"/>
  <c r="L2" i="23" l="1"/>
  <c r="M2" i="23" s="1"/>
  <c r="Q14" i="23" l="1"/>
  <c r="L14" i="23" l="1"/>
  <c r="M14" i="23" l="1"/>
  <c r="M17" i="23"/>
  <c r="M15" i="23"/>
  <c r="M18" i="23" l="1"/>
  <c r="R337" i="28"/>
  <c r="R336" i="28"/>
  <c r="R335" i="28"/>
  <c r="R334" i="28"/>
  <c r="R333" i="28"/>
  <c r="R332" i="28"/>
  <c r="R331" i="28"/>
  <c r="R330" i="28"/>
  <c r="R329" i="28"/>
  <c r="R328" i="28"/>
  <c r="R327" i="28"/>
  <c r="R326" i="28"/>
  <c r="R325" i="28"/>
  <c r="R324" i="28"/>
  <c r="R323" i="28"/>
  <c r="R322" i="28"/>
  <c r="R321" i="28"/>
  <c r="R320" i="28"/>
  <c r="R319" i="28"/>
  <c r="R318" i="28"/>
  <c r="R317" i="28"/>
  <c r="R316" i="28"/>
  <c r="R315" i="28"/>
  <c r="R314" i="28"/>
  <c r="R313" i="28"/>
  <c r="R312" i="28"/>
  <c r="R311" i="28"/>
  <c r="R310" i="28"/>
  <c r="R309" i="28"/>
  <c r="R308" i="28"/>
  <c r="R307" i="28"/>
  <c r="R306" i="28"/>
  <c r="R305" i="28"/>
  <c r="R304" i="28"/>
  <c r="R303" i="28"/>
  <c r="R302" i="28"/>
  <c r="R301" i="28"/>
  <c r="R300" i="28"/>
  <c r="R299" i="28"/>
  <c r="R298" i="28"/>
  <c r="R297" i="28"/>
  <c r="R296" i="28"/>
  <c r="R295" i="28"/>
  <c r="R294" i="28"/>
  <c r="R293" i="28"/>
  <c r="R292" i="28"/>
  <c r="R291" i="28"/>
  <c r="R290" i="28"/>
  <c r="R289" i="28"/>
  <c r="R288" i="28"/>
  <c r="R287" i="28"/>
  <c r="R286" i="28"/>
  <c r="R285" i="28"/>
  <c r="R284" i="28"/>
  <c r="R283" i="28"/>
  <c r="R282" i="28"/>
  <c r="R281" i="28"/>
  <c r="R280" i="28"/>
  <c r="R279" i="28"/>
  <c r="R278" i="28"/>
  <c r="R277" i="28"/>
  <c r="R276" i="28"/>
  <c r="R275" i="28"/>
  <c r="R274" i="28"/>
  <c r="R273" i="28"/>
  <c r="R272" i="28"/>
  <c r="R271" i="28"/>
  <c r="R270" i="28"/>
  <c r="R269" i="28"/>
  <c r="R268" i="28"/>
  <c r="R267" i="28"/>
  <c r="R266" i="28"/>
  <c r="R265" i="28"/>
  <c r="R264" i="28"/>
  <c r="R263" i="28"/>
  <c r="R262" i="28"/>
  <c r="R261" i="28"/>
  <c r="R260" i="28"/>
  <c r="R259" i="28"/>
  <c r="R258" i="28"/>
  <c r="R257" i="28"/>
  <c r="R256" i="28"/>
  <c r="R255" i="28"/>
  <c r="R254" i="28"/>
  <c r="R253" i="28"/>
  <c r="R252" i="28"/>
  <c r="R251" i="28"/>
  <c r="R250" i="28"/>
  <c r="R249" i="28"/>
  <c r="R248" i="28"/>
  <c r="R247" i="28"/>
  <c r="R246" i="28"/>
  <c r="R245" i="28"/>
  <c r="R244" i="28"/>
  <c r="R243" i="28"/>
  <c r="R242" i="28"/>
  <c r="R241" i="28"/>
  <c r="R240" i="28"/>
  <c r="R239" i="28"/>
  <c r="R238" i="28"/>
  <c r="R237" i="28"/>
  <c r="R236" i="28"/>
  <c r="R235" i="28"/>
  <c r="R234" i="28"/>
  <c r="R233" i="28"/>
  <c r="R232" i="28"/>
  <c r="R231" i="28"/>
  <c r="R230" i="28"/>
  <c r="R229" i="28"/>
  <c r="R228" i="28"/>
  <c r="R227" i="28"/>
  <c r="R226" i="28"/>
  <c r="R225" i="28"/>
  <c r="R224" i="28"/>
  <c r="R223" i="28"/>
  <c r="R222" i="28"/>
  <c r="R221" i="28"/>
  <c r="R220" i="28"/>
  <c r="R219" i="28"/>
  <c r="R218" i="28"/>
  <c r="R217" i="28"/>
  <c r="R216" i="28"/>
  <c r="R215" i="28"/>
  <c r="R214" i="28"/>
  <c r="R213" i="28"/>
  <c r="R212" i="28"/>
  <c r="R211" i="28"/>
  <c r="R210" i="28"/>
  <c r="R209" i="28"/>
  <c r="R208" i="28"/>
  <c r="R207" i="28"/>
  <c r="R206" i="28"/>
  <c r="R205" i="28"/>
  <c r="R204" i="28"/>
  <c r="R203" i="28"/>
  <c r="R202" i="28"/>
  <c r="R201" i="28"/>
  <c r="R200" i="28"/>
  <c r="R199" i="28"/>
  <c r="R198" i="28"/>
  <c r="R197" i="28"/>
  <c r="R196" i="28"/>
  <c r="R195" i="28"/>
  <c r="R194" i="28"/>
  <c r="R193" i="28"/>
  <c r="R192" i="28"/>
  <c r="R191" i="28"/>
  <c r="R190" i="28"/>
  <c r="R189" i="28"/>
  <c r="R188" i="28"/>
  <c r="R187" i="28"/>
  <c r="R186" i="28"/>
  <c r="R185" i="28"/>
  <c r="R184" i="28"/>
  <c r="R183" i="28"/>
  <c r="R182" i="28"/>
  <c r="R181" i="28"/>
  <c r="R180" i="28"/>
  <c r="R179" i="28"/>
  <c r="R178" i="28"/>
  <c r="R177" i="28"/>
  <c r="R176" i="28"/>
  <c r="R175" i="28"/>
  <c r="R174" i="28"/>
  <c r="R173" i="28"/>
  <c r="R172" i="28"/>
  <c r="R171" i="28"/>
  <c r="R170" i="28"/>
  <c r="R169" i="28"/>
  <c r="R168" i="28"/>
  <c r="R167" i="28"/>
  <c r="R166" i="28"/>
  <c r="R165" i="28"/>
  <c r="R164" i="28"/>
  <c r="R163" i="28"/>
  <c r="R162" i="28"/>
  <c r="R161" i="28"/>
  <c r="R160" i="28"/>
  <c r="R159" i="28"/>
  <c r="R158" i="28"/>
  <c r="R157" i="28"/>
  <c r="R156" i="28"/>
  <c r="R155" i="28"/>
  <c r="R154" i="28"/>
  <c r="R153" i="28"/>
  <c r="R152" i="28"/>
  <c r="R151" i="28"/>
  <c r="R150" i="28"/>
  <c r="R149" i="28"/>
  <c r="R148" i="28"/>
  <c r="R147" i="28"/>
  <c r="R146" i="28"/>
  <c r="R145" i="28"/>
  <c r="R144" i="28"/>
  <c r="R143" i="28"/>
  <c r="R142" i="28"/>
  <c r="R141" i="28"/>
  <c r="R140" i="28"/>
  <c r="R139" i="28"/>
  <c r="R138" i="28"/>
  <c r="R137" i="28"/>
  <c r="R136" i="28"/>
  <c r="R135" i="28"/>
  <c r="R134" i="28"/>
  <c r="R133" i="28"/>
  <c r="R132" i="28"/>
  <c r="R131" i="28"/>
  <c r="R130" i="28"/>
  <c r="R129" i="28"/>
  <c r="R128" i="28"/>
  <c r="R127" i="28"/>
  <c r="R126" i="28"/>
  <c r="R125" i="28"/>
  <c r="R124" i="28"/>
  <c r="R123" i="28"/>
  <c r="R122" i="28"/>
  <c r="R121" i="28"/>
  <c r="R120" i="28"/>
  <c r="R119" i="28"/>
  <c r="R118" i="28"/>
  <c r="R117" i="28"/>
  <c r="R116" i="28"/>
  <c r="R115" i="28"/>
  <c r="R114" i="28"/>
  <c r="R113" i="28"/>
  <c r="R112" i="28"/>
  <c r="R111" i="28"/>
  <c r="R110" i="28"/>
  <c r="R109" i="28"/>
  <c r="R108" i="28"/>
  <c r="R107" i="28"/>
  <c r="R106" i="28"/>
  <c r="R105" i="28"/>
  <c r="R104" i="28"/>
  <c r="R103" i="28"/>
  <c r="R102" i="28"/>
  <c r="R101" i="28"/>
  <c r="R100" i="28"/>
  <c r="R99" i="28"/>
  <c r="R98" i="28"/>
  <c r="R97" i="28"/>
  <c r="R96" i="28"/>
  <c r="R95" i="28"/>
  <c r="R94" i="28"/>
  <c r="R93" i="28"/>
  <c r="R92" i="28"/>
  <c r="R91" i="28"/>
  <c r="R90" i="28"/>
  <c r="R89" i="28"/>
  <c r="R88" i="28"/>
  <c r="R87" i="28"/>
  <c r="R86" i="28"/>
  <c r="R85" i="28"/>
  <c r="R84" i="28"/>
  <c r="R83" i="28"/>
  <c r="R82" i="28"/>
  <c r="R81" i="28"/>
  <c r="R80" i="28"/>
  <c r="R79" i="28"/>
  <c r="R78" i="28"/>
  <c r="R77" i="28"/>
  <c r="R76" i="28"/>
  <c r="R75" i="28"/>
  <c r="R74" i="28"/>
  <c r="R73" i="28"/>
  <c r="R72" i="28"/>
  <c r="R71" i="28"/>
  <c r="R70" i="28"/>
  <c r="R69" i="28"/>
  <c r="R68" i="28"/>
  <c r="R67" i="28"/>
  <c r="R66" i="28"/>
  <c r="R65" i="28"/>
  <c r="R64" i="28"/>
  <c r="R63" i="28"/>
  <c r="R62" i="28"/>
  <c r="R61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1" i="28"/>
  <c r="R20" i="28"/>
  <c r="R19" i="28"/>
  <c r="R18" i="28"/>
  <c r="R17" i="28"/>
  <c r="R16" i="28"/>
  <c r="R15" i="28"/>
  <c r="R14" i="28"/>
  <c r="R13" i="28"/>
  <c r="R12" i="28"/>
  <c r="R11" i="28"/>
  <c r="R10" i="28"/>
  <c r="R9" i="28"/>
  <c r="R8" i="28"/>
  <c r="R7" i="28"/>
  <c r="R6" i="28"/>
  <c r="R5" i="28"/>
  <c r="R4" i="28"/>
  <c r="R3" i="28"/>
  <c r="R2" i="28"/>
  <c r="J5" i="24"/>
  <c r="I3" i="24"/>
  <c r="I7" i="24" s="1"/>
  <c r="H3" i="24"/>
  <c r="H4" i="24" s="1"/>
  <c r="G3" i="24"/>
  <c r="F3" i="24"/>
  <c r="F8" i="24" s="1"/>
  <c r="E3" i="24"/>
  <c r="E7" i="24" s="1"/>
  <c r="D3" i="24"/>
  <c r="C3" i="24"/>
  <c r="C7" i="24" s="1"/>
  <c r="A2" i="23"/>
  <c r="M22" i="23" l="1"/>
  <c r="M24" i="23"/>
  <c r="M23" i="23"/>
  <c r="M21" i="23"/>
  <c r="M20" i="23"/>
  <c r="M25" i="23"/>
  <c r="G4" i="24"/>
  <c r="G7" i="24" s="1"/>
  <c r="D4" i="24"/>
  <c r="D8" i="24" s="1"/>
  <c r="C6" i="24"/>
  <c r="F2" i="23" s="1"/>
  <c r="I6" i="24"/>
  <c r="E8" i="24"/>
  <c r="E6" i="24"/>
  <c r="F4" i="23" s="1"/>
  <c r="C8" i="24"/>
  <c r="I8" i="24"/>
  <c r="H7" i="24"/>
  <c r="H8" i="24"/>
  <c r="H6" i="24"/>
  <c r="F17" i="23" s="1"/>
  <c r="G6" i="24"/>
  <c r="F16" i="23" s="1"/>
  <c r="F7" i="24"/>
  <c r="F6" i="24"/>
  <c r="F6" i="23" s="1"/>
  <c r="G8" i="24" l="1"/>
  <c r="D7" i="24"/>
  <c r="D6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<sst xmlns="http://schemas.openxmlformats.org/spreadsheetml/2006/main" count="2860" uniqueCount="656">
  <si>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</si>
  <si>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</si>
  <si>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</si>
  <si>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</si>
  <si>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</si>
  <si>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</si>
  <si>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</si>
  <si>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</si>
  <si>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</si>
  <si>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</si>
  <si>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</si>
  <si>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</si>
  <si>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</si>
  <si>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NGBB08M60BT</t>
  </si>
  <si>
    <t>Mechanical Store</t>
  </si>
  <si>
    <t>Component</t>
  </si>
  <si>
    <t xml:space="preserve">HS-O-35.8 I-30.5 H-68mm 0.5W NGWR8W (OUCHI) </t>
  </si>
  <si>
    <t xml:space="preserve">Diff-25.2x0.25mm PS 0.5W NGWR8W (OUCHI)  </t>
  </si>
  <si>
    <t xml:space="preserve">Housing-O-37 I-25.5 H-31mm 0.5W NGWR8W (OUCHI) </t>
  </si>
  <si>
    <t>Gasket-30X1.3mm 0.5W NGWR8W (OUCHI)</t>
  </si>
  <si>
    <t xml:space="preserve">COB Holder-O-25 H-4 L-11.3mm-PC NGWR8W (OUCHI) </t>
  </si>
  <si>
    <t xml:space="preserve">PBX-L-85 W-66 H-130mm NGWR8W (OUCHI) </t>
  </si>
  <si>
    <t>SBX</t>
  </si>
  <si>
    <t xml:space="preserve">Screw-M3X4mm CSK + Head-MS </t>
  </si>
  <si>
    <t>Screw M4x4mm , SS , Allen grub screw</t>
  </si>
  <si>
    <t>Conn. 2Pin Ass. Wire Black Male (Small)</t>
  </si>
  <si>
    <t>Sleeve M4mm Fiber Glass White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</si>
  <si>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</si>
  <si>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</si>
  <si>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</si>
  <si>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</si>
  <si>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</si>
  <si>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</si>
  <si>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</si>
  <si>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</si>
  <si>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</si>
  <si>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</si>
  <si>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</si>
  <si>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</si>
  <si>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</si>
  <si>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</si>
  <si>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</si>
  <si>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</si>
  <si>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</si>
  <si>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</si>
  <si>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</si>
  <si>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</si>
  <si>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</si>
  <si>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</si>
  <si>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</si>
  <si>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</si>
  <si>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</si>
  <si>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</si>
  <si>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</si>
  <si>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</si>
  <si>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</si>
  <si>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</si>
  <si>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</si>
  <si>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</si>
  <si>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</si>
  <si>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</si>
  <si>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</si>
  <si>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</si>
  <si>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</si>
  <si>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</si>
  <si>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</si>
  <si>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</si>
  <si>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</si>
  <si>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</si>
  <si>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</si>
  <si>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</si>
  <si>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</si>
  <si>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</si>
  <si>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</si>
  <si>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</si>
  <si>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</si>
  <si>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</si>
  <si>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</si>
  <si>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</si>
  <si>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</si>
  <si>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</si>
  <si>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</si>
  <si>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</si>
  <si>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</si>
  <si>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</si>
  <si>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</si>
  <si>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</si>
  <si>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</si>
  <si>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</si>
  <si>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</si>
  <si>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</si>
  <si>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</si>
  <si>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</si>
  <si>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</si>
  <si>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</si>
  <si>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</si>
  <si>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</si>
  <si>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</si>
  <si>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</si>
  <si>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</si>
  <si>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</si>
  <si>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</si>
  <si>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</si>
  <si>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</si>
  <si>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</si>
  <si>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</si>
  <si>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</si>
  <si>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</si>
  <si>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</si>
  <si>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</si>
  <si>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</si>
  <si>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</si>
  <si>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</si>
  <si>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</si>
  <si>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</si>
  <si>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</si>
  <si>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</si>
  <si>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</si>
  <si>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</si>
  <si>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</si>
  <si>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</si>
  <si>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</si>
  <si>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</si>
  <si>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</si>
  <si>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</si>
  <si>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</si>
  <si>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</si>
  <si>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</si>
  <si>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</si>
  <si>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</si>
  <si>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</si>
  <si>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</si>
  <si>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</si>
  <si>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</si>
  <si>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</si>
  <si>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</si>
  <si>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</si>
  <si>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</si>
  <si>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</si>
  <si>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</si>
  <si>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</si>
  <si>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</si>
  <si>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</si>
  <si>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</si>
  <si>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</si>
  <si>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</si>
  <si>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</si>
  <si>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</si>
  <si>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</si>
  <si>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</si>
  <si>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</si>
  <si>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</si>
  <si>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</si>
  <si>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</si>
  <si>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</si>
  <si>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</si>
  <si>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</si>
  <si>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</si>
  <si>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</si>
  <si>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</si>
  <si>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</si>
  <si>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</si>
  <si>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</si>
  <si>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</si>
  <si>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</si>
  <si>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</si>
  <si>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</si>
  <si>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</si>
  <si>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</si>
  <si>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</si>
  <si>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</si>
  <si>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</si>
  <si>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</si>
  <si>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</si>
  <si>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</si>
  <si>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</si>
  <si>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</si>
  <si>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</si>
  <si>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</si>
  <si>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</si>
  <si>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</si>
  <si>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</si>
  <si>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</si>
  <si>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</si>
  <si>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</si>
  <si>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</si>
  <si>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</si>
  <si>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</si>
  <si>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</si>
  <si>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</si>
  <si>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</si>
  <si>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</si>
  <si>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</si>
  <si>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</si>
  <si>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</si>
  <si>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</si>
  <si>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</si>
  <si>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</si>
  <si>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</si>
  <si>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</si>
  <si>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</si>
  <si>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</si>
  <si>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</si>
  <si>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</si>
  <si>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</si>
  <si>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</si>
  <si>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</si>
  <si>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</si>
  <si>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</si>
  <si>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</si>
  <si>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</si>
  <si>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</si>
  <si>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</si>
  <si>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</si>
  <si>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</si>
  <si>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BOM LED PCB</t>
  </si>
  <si>
    <t>COLOR TEMPERATURE</t>
  </si>
  <si>
    <t>Code</t>
  </si>
  <si>
    <t>Item Name</t>
  </si>
  <si>
    <t xml:space="preserve">Quantity </t>
  </si>
  <si>
    <t>Cost</t>
  </si>
  <si>
    <t>R</t>
  </si>
  <si>
    <t xml:space="preserve">Trim-O-50 I-37.5 H-22.5mm 0.5W White NGWR8W (OUCHI) </t>
  </si>
  <si>
    <t>W</t>
  </si>
  <si>
    <t>Refl O-39 H.14.8 L-23mm0.5W-White- NGWR8W (OUCHI)</t>
  </si>
  <si>
    <t>N</t>
  </si>
  <si>
    <t xml:space="preserve">Lens-O-24.8 H-12.9 L-8.5mm 24°-PMMA 0.5W NGWR8W (OUCHI) </t>
  </si>
  <si>
    <t>30-</t>
  </si>
  <si>
    <t>COB 12&amp;15W 3000K 12LED 36V 350mA 13.5x13.5mm CRI-90</t>
  </si>
  <si>
    <t>-</t>
  </si>
  <si>
    <t>PS 8W 200MA 36V LPF (PCB MT43-8-12W-V2 LPF)</t>
  </si>
  <si>
    <t xml:space="preserve">Trim-O-50 I-37.5 H-22.5mm 0.5W Black NGWR8W (OUCHI) </t>
  </si>
  <si>
    <t>Refl O-39 H-14.8-L-23mm 0.5W - Black NGWR8W (OUCHI)</t>
  </si>
  <si>
    <t>M</t>
  </si>
  <si>
    <t>40-</t>
  </si>
  <si>
    <t>COB 12&amp;15W 4000K 12LED 36V 350mA 13.5x13.5mm CRI-90</t>
  </si>
  <si>
    <t>T-</t>
  </si>
  <si>
    <t>PS 8W 200MA 36V Triac Dimming</t>
  </si>
  <si>
    <t>T</t>
  </si>
  <si>
    <t>Trimles O-64 I-37 H-22.6mm 0.5W White NGWR8 (OUCHI)</t>
  </si>
  <si>
    <t>A</t>
  </si>
  <si>
    <t>Refl.O-39 H-14.8 L-23mm 0.5W -Silver NGWR8W (OUCHI)</t>
  </si>
  <si>
    <t>50-</t>
  </si>
  <si>
    <t>COB 12&amp;15W 5000K 12LED 36V 350mA 13.5x13.5mm CRI-90</t>
  </si>
  <si>
    <t>I-</t>
  </si>
  <si>
    <t>Dali Driver SC-10W PE19DA4240  (AI-Dimming)-25-40V</t>
  </si>
  <si>
    <t>C</t>
  </si>
  <si>
    <t>Refl.O-39 H-14.8 L-23mm 0.5W - Chrome NWR8W (OUCHI)</t>
  </si>
  <si>
    <t>60-</t>
  </si>
  <si>
    <t>COB 12&amp;15W 6000K 12LED 36V 350mA 13.5x13.5mm CRI-90</t>
  </si>
  <si>
    <t>BT-</t>
  </si>
  <si>
    <t>PS CCT 8W 170MA 36V BT-SC (PCB LT 7-20W-CCT-V 1.1 REV-1)</t>
  </si>
  <si>
    <t>ID-</t>
  </si>
  <si>
    <t>Dali Driver DC-10W PE694R4230(AI-Dimming)-25-40V</t>
  </si>
  <si>
    <t>BTD-</t>
  </si>
  <si>
    <t>PS CCT 8W 170MA 36V BT-DC (PCB LT 7-20W-CCT-V 1.1 REV-1)</t>
  </si>
  <si>
    <t>COB 12&amp;15W 2700-5000K 12LED 36V 350mA 13.5x13.5mm CRI-90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</si>
  <si>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</si>
  <si>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</si>
  <si>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</si>
  <si>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</si>
  <si>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</si>
  <si>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</si>
  <si>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</si>
  <si>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</si>
  <si>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</si>
  <si>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</si>
  <si>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</si>
  <si>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</si>
  <si>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</si>
  <si>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Input Power</t>
  </si>
  <si>
    <t>Reflector</t>
  </si>
  <si>
    <t>Trim</t>
  </si>
  <si>
    <t>SKU</t>
  </si>
  <si>
    <t>NGWR08M30</t>
  </si>
  <si>
    <t>Medium - 36°</t>
  </si>
  <si>
    <t>3000K</t>
  </si>
  <si>
    <t>Constant Current</t>
  </si>
  <si>
    <t>08 Watt</t>
  </si>
  <si>
    <t>White Reflector</t>
  </si>
  <si>
    <t>Round White Trim</t>
  </si>
  <si>
    <t>NGWT08M30</t>
  </si>
  <si>
    <t>Round White Trimless</t>
  </si>
  <si>
    <t>NGWB08M30</t>
  </si>
  <si>
    <t>Round Black Trim</t>
  </si>
  <si>
    <t>NGWR08N30</t>
  </si>
  <si>
    <t>Narrow - 28°</t>
  </si>
  <si>
    <t>NGWT08N30</t>
  </si>
  <si>
    <t>NGWB08N30</t>
  </si>
  <si>
    <t>NGWR08M40</t>
  </si>
  <si>
    <t>4000K</t>
  </si>
  <si>
    <t>NGWT08M40</t>
  </si>
  <si>
    <t>NGWB08M40</t>
  </si>
  <si>
    <t>NGWR08N40</t>
  </si>
  <si>
    <t>NGWT08N40</t>
  </si>
  <si>
    <t>NGWB08N40</t>
  </si>
  <si>
    <t>NGWR08M60</t>
  </si>
  <si>
    <t>6000k</t>
  </si>
  <si>
    <t>NGWT08M60</t>
  </si>
  <si>
    <t>NGWB08M60</t>
  </si>
  <si>
    <t>NGWR08N60</t>
  </si>
  <si>
    <t>NGWT08N60</t>
  </si>
  <si>
    <t>NGWB08N60</t>
  </si>
  <si>
    <t>NGBR08M30</t>
  </si>
  <si>
    <t>Black Reflector</t>
  </si>
  <si>
    <t>NGBT08M30</t>
  </si>
  <si>
    <t>NGBB08M30</t>
  </si>
  <si>
    <t>NGBR08N30</t>
  </si>
  <si>
    <t>NGBT08N30</t>
  </si>
  <si>
    <t>NGBB08N30</t>
  </si>
  <si>
    <t>NGBR08M40</t>
  </si>
  <si>
    <t>NGBT08M40</t>
  </si>
  <si>
    <t>NGBB08M40</t>
  </si>
  <si>
    <t>NGBR08N40</t>
  </si>
  <si>
    <t>NGBT08N40</t>
  </si>
  <si>
    <t>NGBB08N40</t>
  </si>
  <si>
    <t>NGBR08M60</t>
  </si>
  <si>
    <t>NGBT08M60</t>
  </si>
  <si>
    <t>NGBB08M60</t>
  </si>
  <si>
    <t>NGBR08N60</t>
  </si>
  <si>
    <t>NGBT08N60</t>
  </si>
  <si>
    <t>NGBB08N60</t>
  </si>
  <si>
    <t>NGAR08M30</t>
  </si>
  <si>
    <t>Black Alloy Reflector</t>
  </si>
  <si>
    <t>NGAT08M30</t>
  </si>
  <si>
    <t>NGAB08M30</t>
  </si>
  <si>
    <t>NGAR08N30</t>
  </si>
  <si>
    <t>NGAT08N30</t>
  </si>
  <si>
    <t>NGAB08N30</t>
  </si>
  <si>
    <t>NGAR08M40</t>
  </si>
  <si>
    <t>NGAT08M40</t>
  </si>
  <si>
    <t>NGAB08M40</t>
  </si>
  <si>
    <t>NGAR08N40</t>
  </si>
  <si>
    <t>NGAT08N40</t>
  </si>
  <si>
    <t>NGAB08N40</t>
  </si>
  <si>
    <t>NGAR08M60</t>
  </si>
  <si>
    <t>NGAT08M60</t>
  </si>
  <si>
    <t>NGAB08M60</t>
  </si>
  <si>
    <t>NGAR08N60</t>
  </si>
  <si>
    <t>NGAT08N60</t>
  </si>
  <si>
    <t>NGAB08N60</t>
  </si>
  <si>
    <t>NGCR08M30</t>
  </si>
  <si>
    <t>Chrome Reflector</t>
  </si>
  <si>
    <t>NGCT08M30</t>
  </si>
  <si>
    <t>NGCB08M30</t>
  </si>
  <si>
    <t>NGCR08N30</t>
  </si>
  <si>
    <t>NGCT08N30</t>
  </si>
  <si>
    <t>NGCB08N30</t>
  </si>
  <si>
    <t>NGCR08M40</t>
  </si>
  <si>
    <t>NGCT08M40</t>
  </si>
  <si>
    <t>NGCB08M40</t>
  </si>
  <si>
    <t>NGCR08N40</t>
  </si>
  <si>
    <t>NGCT08N40</t>
  </si>
  <si>
    <t>NGCB08N40</t>
  </si>
  <si>
    <t>NGCR08M60</t>
  </si>
  <si>
    <t>NGCT08M60</t>
  </si>
  <si>
    <t>NGCB08M60</t>
  </si>
  <si>
    <t>NGCR08N60</t>
  </si>
  <si>
    <t>NGCT08N60</t>
  </si>
  <si>
    <t>NGCB08N60</t>
  </si>
  <si>
    <t>NGWR08M30T</t>
  </si>
  <si>
    <t>TRIAC Dimming</t>
  </si>
  <si>
    <t>NGWT08M30T</t>
  </si>
  <si>
    <t>NGWB08M30T</t>
  </si>
  <si>
    <t>NGWR08N30T</t>
  </si>
  <si>
    <t>NGWT08N30T</t>
  </si>
  <si>
    <t>NGWB08N30T</t>
  </si>
  <si>
    <t>NGWR08M40T</t>
  </si>
  <si>
    <t>NGWT08M40T</t>
  </si>
  <si>
    <t>NGWB08M40T</t>
  </si>
  <si>
    <t>NGWR08N40T</t>
  </si>
  <si>
    <t>NGWT08N40T</t>
  </si>
  <si>
    <t>NGWB08N40T</t>
  </si>
  <si>
    <t>NGWR08M60T</t>
  </si>
  <si>
    <t>NGWT08M60T</t>
  </si>
  <si>
    <t>NGWB08M60T</t>
  </si>
  <si>
    <t>NGWR08N60T</t>
  </si>
  <si>
    <t>NGWT08N60T</t>
  </si>
  <si>
    <t>NGWB08N60T</t>
  </si>
  <si>
    <t>NGBR08M30T</t>
  </si>
  <si>
    <t>NGBT08M30T</t>
  </si>
  <si>
    <t>NGBB08M30T</t>
  </si>
  <si>
    <t>NGBR08N30T</t>
  </si>
  <si>
    <t>NGBT08N30T</t>
  </si>
  <si>
    <t>NGBB08N30T</t>
  </si>
  <si>
    <t>NGBR08M40T</t>
  </si>
  <si>
    <t>NGBT08M40T</t>
  </si>
  <si>
    <t>NGBB08M40T</t>
  </si>
  <si>
    <t>NGBR08N40T</t>
  </si>
  <si>
    <t>NGBT08N40T</t>
  </si>
  <si>
    <t>NGBB08N40T</t>
  </si>
  <si>
    <t>NGBR08M60T</t>
  </si>
  <si>
    <t>NGBT08M60T</t>
  </si>
  <si>
    <t>NGBB08M60T</t>
  </si>
  <si>
    <t>NGBR08N60T</t>
  </si>
  <si>
    <t>NGBT08N60T</t>
  </si>
  <si>
    <t>NGBB08N60T</t>
  </si>
  <si>
    <t>NGAR08M30T</t>
  </si>
  <si>
    <t>NGAT08M30T</t>
  </si>
  <si>
    <t>NGAB08M30T</t>
  </si>
  <si>
    <t>NGAR08N30T</t>
  </si>
  <si>
    <t>NGAT08N30T</t>
  </si>
  <si>
    <t>NGAB08N30T</t>
  </si>
  <si>
    <t>NGAR08M40T</t>
  </si>
  <si>
    <t>NGAT08M40T</t>
  </si>
  <si>
    <t>NGAB08M40T</t>
  </si>
  <si>
    <t>NGAR08N40T</t>
  </si>
  <si>
    <t>NGAT08N40T</t>
  </si>
  <si>
    <t>NGAB08N40T</t>
  </si>
  <si>
    <t>NGAR08M60T</t>
  </si>
  <si>
    <t>NGAT08M60T</t>
  </si>
  <si>
    <t>NGAB08M60T</t>
  </si>
  <si>
    <t>NGAR08N60T</t>
  </si>
  <si>
    <t>NGAT08N60T</t>
  </si>
  <si>
    <t>NGAB08N60T</t>
  </si>
  <si>
    <t>NGCR08M30T</t>
  </si>
  <si>
    <t>NGCT08M30T</t>
  </si>
  <si>
    <t>NGCB08M30T</t>
  </si>
  <si>
    <t>NGCR08N30T</t>
  </si>
  <si>
    <t>NGCT08N30T</t>
  </si>
  <si>
    <t>NGCB08N30T</t>
  </si>
  <si>
    <t>NGCR08M40T</t>
  </si>
  <si>
    <t>NGCT08M40T</t>
  </si>
  <si>
    <t>NGCB08M40T</t>
  </si>
  <si>
    <t>NGCR08N40T</t>
  </si>
  <si>
    <t>NGCT08N40T</t>
  </si>
  <si>
    <t>NGCB08N40T</t>
  </si>
  <si>
    <t>NGCR08M60T</t>
  </si>
  <si>
    <t>NGCT08M60T</t>
  </si>
  <si>
    <t>NGCB08M60T</t>
  </si>
  <si>
    <t>NGCR08N60T</t>
  </si>
  <si>
    <t>NGCT08N60T</t>
  </si>
  <si>
    <t>NGCB08N60T</t>
  </si>
  <si>
    <t>NGWR08M30I</t>
  </si>
  <si>
    <t>DALI Dimming -  48V DC</t>
  </si>
  <si>
    <t>NGWT08M30I</t>
  </si>
  <si>
    <t>NGWB08M30I</t>
  </si>
  <si>
    <t>NGWR08N30I</t>
  </si>
  <si>
    <t>NGWT08N30I</t>
  </si>
  <si>
    <t>NGWB08N30I</t>
  </si>
  <si>
    <t>NGWR08M40I</t>
  </si>
  <si>
    <t>NGWT08M40I</t>
  </si>
  <si>
    <t>NGWB08M40I</t>
  </si>
  <si>
    <t>NGWR08N40I</t>
  </si>
  <si>
    <t>NGWT08N40I</t>
  </si>
  <si>
    <t>NGWB08N40I</t>
  </si>
  <si>
    <t>NGWR08M60I</t>
  </si>
  <si>
    <t>NGWT08M60I</t>
  </si>
  <si>
    <t>NGWB08M60I</t>
  </si>
  <si>
    <t>NGWR08N60I</t>
  </si>
  <si>
    <t>NGWT08N60I</t>
  </si>
  <si>
    <t>NGWB08N60I</t>
  </si>
  <si>
    <t>NGBR08M30I</t>
  </si>
  <si>
    <t>NGBT08M30I</t>
  </si>
  <si>
    <t>NGBB08M30I</t>
  </si>
  <si>
    <t>NGBR08N30I</t>
  </si>
  <si>
    <t>NGBT08N30I</t>
  </si>
  <si>
    <t>NGBB08N30I</t>
  </si>
  <si>
    <t>NGBR08M40I</t>
  </si>
  <si>
    <t>NGBT08M40I</t>
  </si>
  <si>
    <t>NGBB08M40I</t>
  </si>
  <si>
    <t>NGBR08N40I</t>
  </si>
  <si>
    <t>NGBT08N40I</t>
  </si>
  <si>
    <t>NGBB08N40I</t>
  </si>
  <si>
    <t>NGBR08M60I</t>
  </si>
  <si>
    <t>NGBT08M60I</t>
  </si>
  <si>
    <t>NGBB08M60I</t>
  </si>
  <si>
    <t>NGBR08N60I</t>
  </si>
  <si>
    <t>NGBT08N60I</t>
  </si>
  <si>
    <t>NGBB08N60I</t>
  </si>
  <si>
    <t>NGAR08M30I</t>
  </si>
  <si>
    <t>NGAT08M30I</t>
  </si>
  <si>
    <t>NGAB08M30I</t>
  </si>
  <si>
    <t>NGAR08N30I</t>
  </si>
  <si>
    <t>NGAT08N30I</t>
  </si>
  <si>
    <t>NGAB08N30I</t>
  </si>
  <si>
    <t>NGAR08M40I</t>
  </si>
  <si>
    <t>NGAT08M40I</t>
  </si>
  <si>
    <t>NGAB08M40I</t>
  </si>
  <si>
    <t>NGAR08N40I</t>
  </si>
  <si>
    <t>NGAT08N40I</t>
  </si>
  <si>
    <t>NGAB08N40I</t>
  </si>
  <si>
    <t>NGAR08M60I</t>
  </si>
  <si>
    <t>NGAT08M60I</t>
  </si>
  <si>
    <t>NGAB08M60I</t>
  </si>
  <si>
    <t>NGAR08N60I</t>
  </si>
  <si>
    <t>NGAT08N60I</t>
  </si>
  <si>
    <t>NGAB08N60I</t>
  </si>
  <si>
    <t>NGCR08M30I</t>
  </si>
  <si>
    <t>NGCT08M30I</t>
  </si>
  <si>
    <t>NGCB08M30I</t>
  </si>
  <si>
    <t>NGCR08N30I</t>
  </si>
  <si>
    <t>NGCT08N30I</t>
  </si>
  <si>
    <t>NGCB08N30I</t>
  </si>
  <si>
    <t>NGCR08M40I</t>
  </si>
  <si>
    <t>NGCT08M40I</t>
  </si>
  <si>
    <t>NGCB08M40I</t>
  </si>
  <si>
    <t>NGCR08N40I</t>
  </si>
  <si>
    <t>NGCT08N40I</t>
  </si>
  <si>
    <t>NGCB08N40I</t>
  </si>
  <si>
    <t>NGCR08M60I</t>
  </si>
  <si>
    <t>NGCT08M60I</t>
  </si>
  <si>
    <t>NGCB08M60I</t>
  </si>
  <si>
    <t>NGCR08N60I</t>
  </si>
  <si>
    <t>NGCT08N60I</t>
  </si>
  <si>
    <t>NGCB08N60I</t>
  </si>
  <si>
    <t>NGWR08M30BT</t>
  </si>
  <si>
    <t>Bluetooth Dimming - 48V DC</t>
  </si>
  <si>
    <t>NGWT08M30BT</t>
  </si>
  <si>
    <t>NGWB08M30BT</t>
  </si>
  <si>
    <t>NGWR08N30BT</t>
  </si>
  <si>
    <t>NGWT08N30BT</t>
  </si>
  <si>
    <t>NGWB08N30BT</t>
  </si>
  <si>
    <t>NGWR08M40BT</t>
  </si>
  <si>
    <t>NGWT08M40BT</t>
  </si>
  <si>
    <t>NGWB08M40BT</t>
  </si>
  <si>
    <t>NGWR08N40BT</t>
  </si>
  <si>
    <t>NGWT08N40BT</t>
  </si>
  <si>
    <t>NGWB08N40BT</t>
  </si>
  <si>
    <t>NGWR08M60BT</t>
  </si>
  <si>
    <t>NGWT08M60BT</t>
  </si>
  <si>
    <t>NGWB08M60BT</t>
  </si>
  <si>
    <t>NGWR08N60BT</t>
  </si>
  <si>
    <t>NGWT08N60BT</t>
  </si>
  <si>
    <t>NGWB08N60BT</t>
  </si>
  <si>
    <t>NGBR08M30BT</t>
  </si>
  <si>
    <t>NGBT08M30BT</t>
  </si>
  <si>
    <t>NGBB08M30BT</t>
  </si>
  <si>
    <t>NGBR08N30BT</t>
  </si>
  <si>
    <t>NGBT08N30BT</t>
  </si>
  <si>
    <t>NGBB08N30BT</t>
  </si>
  <si>
    <t>NGBR08M40BT</t>
  </si>
  <si>
    <t>NGBT08M40BT</t>
  </si>
  <si>
    <t>NGBB08M40BT</t>
  </si>
  <si>
    <t>NGBR08N40BT</t>
  </si>
  <si>
    <t>NGBT08N40BT</t>
  </si>
  <si>
    <t>NGBB08N40BT</t>
  </si>
  <si>
    <t>NGBR08M60BT</t>
  </si>
  <si>
    <t>NGBT08M60BT</t>
  </si>
  <si>
    <t>NGBR08N60BT</t>
  </si>
  <si>
    <t>NGBT08N60BT</t>
  </si>
  <si>
    <t>NGBB08N60BT</t>
  </si>
  <si>
    <t>NGAR08M30BT</t>
  </si>
  <si>
    <t>NGAT08M30BT</t>
  </si>
  <si>
    <t>NGAB08M30BT</t>
  </si>
  <si>
    <t>NGAR08N30BT</t>
  </si>
  <si>
    <t>NGAT08N30BT</t>
  </si>
  <si>
    <t>NGAB08N30BT</t>
  </si>
  <si>
    <t>NGAR08M40BT</t>
  </si>
  <si>
    <t>NGAT08M40BT</t>
  </si>
  <si>
    <t>NGAB08M40BT</t>
  </si>
  <si>
    <t>NGAR08N40BT</t>
  </si>
  <si>
    <t>NGAT08N40BT</t>
  </si>
  <si>
    <t>NGAB08N40BT</t>
  </si>
  <si>
    <t>NGAR08M60BT</t>
  </si>
  <si>
    <t>NGAT08M60BT</t>
  </si>
  <si>
    <t>NGAB08M60BT</t>
  </si>
  <si>
    <t>NGAR08N60BT</t>
  </si>
  <si>
    <t>NGAT08N60BT</t>
  </si>
  <si>
    <t>NGAB08N60BT</t>
  </si>
  <si>
    <t>NGCR08M30BT</t>
  </si>
  <si>
    <t>NGCT08M30BT</t>
  </si>
  <si>
    <t>NGCB08M30BT</t>
  </si>
  <si>
    <t>NGCR08N30BT</t>
  </si>
  <si>
    <t>NGCT08N30BT</t>
  </si>
  <si>
    <t>NGCB08N30BT</t>
  </si>
  <si>
    <t>NGCR08M40BT</t>
  </si>
  <si>
    <t>NGCT08M40BT</t>
  </si>
  <si>
    <t>NGCB08M40BT</t>
  </si>
  <si>
    <t>NGCR08N40BT</t>
  </si>
  <si>
    <t>NGCT08N40BT</t>
  </si>
  <si>
    <t>NGCB08N40BT</t>
  </si>
  <si>
    <t>NGCR08M60BT</t>
  </si>
  <si>
    <t>NGCT08M60BT</t>
  </si>
  <si>
    <t>NGCB08M60BT</t>
  </si>
  <si>
    <t>NGCR08N60BT</t>
  </si>
  <si>
    <t>NGCT08N60BT</t>
  </si>
  <si>
    <t>NGCB08N60BT</t>
  </si>
  <si>
    <t>NGWR08M26ID</t>
  </si>
  <si>
    <t>2700K - 6000K Dual Color</t>
  </si>
  <si>
    <t>Dali + Dual Color (2700K - 6000K)</t>
  </si>
  <si>
    <t>NGWT08M26ID</t>
  </si>
  <si>
    <t>NGWB08M26ID</t>
  </si>
  <si>
    <t>NGWR08N26ID</t>
  </si>
  <si>
    <t>NGWT08N26ID</t>
  </si>
  <si>
    <t>NGWB08N26ID</t>
  </si>
  <si>
    <t>NGBR08M26ID</t>
  </si>
  <si>
    <t>NGBT08M26ID</t>
  </si>
  <si>
    <t>NGBB08M26ID</t>
  </si>
  <si>
    <t>NGBR08N26ID</t>
  </si>
  <si>
    <t>NGBT08N26ID</t>
  </si>
  <si>
    <t>NGBB08N26ID</t>
  </si>
  <si>
    <t>NGAR08M26ID</t>
  </si>
  <si>
    <t>NGAT08M26ID</t>
  </si>
  <si>
    <t>NGAB08M26ID</t>
  </si>
  <si>
    <t>NGAR08N26ID</t>
  </si>
  <si>
    <t>NGAT08N26ID</t>
  </si>
  <si>
    <t>NGAB08N26ID</t>
  </si>
  <si>
    <t>NGCR08M26ID</t>
  </si>
  <si>
    <t>NGCT08M26ID</t>
  </si>
  <si>
    <t>NGCB08M26ID</t>
  </si>
  <si>
    <t>NGCR08N26ID</t>
  </si>
  <si>
    <t>NGCT08N26ID</t>
  </si>
  <si>
    <t>NGCB08N26ID</t>
  </si>
  <si>
    <t>NGWR08M26BTD</t>
  </si>
  <si>
    <t>Bluetooth + Dual Color (2700K - 6000K)</t>
  </si>
  <si>
    <t>NGWT08M26BTD</t>
  </si>
  <si>
    <t>NGWB08M26BTD</t>
  </si>
  <si>
    <t>NGWR08N26BTD</t>
  </si>
  <si>
    <t>NGWT08N26BTD</t>
  </si>
  <si>
    <t>NGWB08N26BTD</t>
  </si>
  <si>
    <t>NGBR08M26BTD</t>
  </si>
  <si>
    <t>NGBT08M26BTD</t>
  </si>
  <si>
    <t>NGBB08M26BTD</t>
  </si>
  <si>
    <t>NGBR08N26BTD</t>
  </si>
  <si>
    <t>NGBT08N26BTD</t>
  </si>
  <si>
    <t>NGBB08N26BTD</t>
  </si>
  <si>
    <t>NGAR08M26BTD</t>
  </si>
  <si>
    <t>NGAT08M26BTD</t>
  </si>
  <si>
    <t>NGAB08M26BTD</t>
  </si>
  <si>
    <t>NGAR08N26BTD</t>
  </si>
  <si>
    <t>NGAT08N26BTD</t>
  </si>
  <si>
    <t>NGAB08N26BTD</t>
  </si>
  <si>
    <t>NGCR08M26BTD</t>
  </si>
  <si>
    <t>NGCT08M26BTD</t>
  </si>
  <si>
    <t>NGCB08M26BTD</t>
  </si>
  <si>
    <t>NGCR08N26BTD</t>
  </si>
  <si>
    <t>NGCT08N26BTD</t>
  </si>
  <si>
    <t>NGCB08N26BTD</t>
  </si>
  <si>
    <t>Unit Price</t>
  </si>
  <si>
    <t>USD</t>
  </si>
  <si>
    <t>INS&amp;FRED</t>
  </si>
  <si>
    <t>BCD</t>
  </si>
  <si>
    <t>Total Cost</t>
  </si>
  <si>
    <t>NGWR08-CC</t>
  </si>
  <si>
    <t>NGWR08 Track Dimming</t>
  </si>
  <si>
    <t>NGWR08 Dali Single Color</t>
  </si>
  <si>
    <t>NGWR08 BT Single Color</t>
  </si>
  <si>
    <t>NGWR08  Dali Dual Color</t>
  </si>
  <si>
    <t>NGWR08  BT Dual Color</t>
  </si>
  <si>
    <t>30BT-</t>
  </si>
  <si>
    <t>40BT-</t>
  </si>
  <si>
    <t>50BT-</t>
  </si>
  <si>
    <t>60BT-</t>
  </si>
  <si>
    <t>26BTD-</t>
  </si>
  <si>
    <t>30I-</t>
  </si>
  <si>
    <t>40I-</t>
  </si>
  <si>
    <t>50I-</t>
  </si>
  <si>
    <t>60I-</t>
  </si>
  <si>
    <t>26ID-</t>
  </si>
  <si>
    <t>30T-</t>
  </si>
  <si>
    <t>40T-</t>
  </si>
  <si>
    <t>50T-</t>
  </si>
  <si>
    <t>60T-</t>
  </si>
  <si>
    <t>PS Rate Mention with Total Amt</t>
  </si>
  <si>
    <t>Lens-O-24.8 H-12.9 L-8.5mm 36°-PMMA 0.5W NGWR8&amp;12W (OUCHI)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</si>
</sst>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₹&quot;* #,##0.00_ ;_ &quot;₹&quot;* \-#,##0.00_ ;_ &quot;₹&quot;* &quot;-&quot;??_ ;_ @_ "/>
    <numFmt numFmtId="165" formatCode="&quot;$&quot;#,##0.0000"/>
    <numFmt numFmtId="166" formatCode="&quot;Rs.&quot;\ #,##0.00"/>
    <numFmt numFmtId="168" formatCode="_-[$Rs-420]* #,##0.00_-;_-[$Rs-420]* #,##0.00\-;_-[$Rs-420]* &quot;-&quot;??_-;_-@_-"/>
    <numFmt numFmtId="169" formatCode="&quot;$&quot;#,##0.000"/>
    <numFmt numFmtId="170" formatCode="_ [$Rs.-4009]\ * #,##0.00_ ;_ [$Rs.-4009]\ * \-#,##0.00_ ;_ [$Rs.-4009]\ * &quot;-&quot;??_ ;_ @_ "/>
    <numFmt numFmtId="171" formatCode="_-[$$-409]* #,##0.000_ ;_-[$$-409]* \-#,##0.000\ ;_-[$$-409]* &quot;-&quot;??_ ;_-@_ "/>
    <numFmt numFmtId="172" formatCode="_-[$$-409]* #,##0.0000_ ;_-[$$-409]* \-#,##0.0000\ ;_-[$$-409]* &quot;-&quot;??_ ;_-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10"/>
      <color rgb="FF000000"/>
      <name val="Afacad-Regular"/>
      <charset val="134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8" fillId="0" borderId="0" applyFont="0" applyFill="0" applyBorder="0" applyAlignment="0" applyProtection="0">
      <alignment vertical="center"/>
    </xf>
    <xf numFmtId="0" fontId="18" fillId="0" borderId="0"/>
    <xf numFmtId="0" fontId="3" fillId="0" borderId="0"/>
    <xf numFmtId="0" fontId="14" fillId="0" borderId="0" applyNumberFormat="0" applyFill="0" applyBorder="0" applyAlignment="0" applyProtection="0"/>
    <xf numFmtId="0" fontId="3" fillId="0" borderId="0"/>
  </cellStyleXfs>
  <cellXfs count="122">
    <xf numFmtId="0" fontId="0" fillId="0" borderId="0" xfId="0"/>
    <xf numFmtId="0" fontId="3" fillId="0" borderId="0" xfId="3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0" fillId="0" borderId="1" xfId="0" applyBorder="1"/>
    <xf numFmtId="0" fontId="0" fillId="2" borderId="3" xfId="0" applyFont="1" applyFill="1" applyBorder="1"/>
    <xf numFmtId="0" fontId="0" fillId="0" borderId="0" xfId="0" applyFont="1"/>
    <xf numFmtId="0" fontId="0" fillId="0" borderId="2" xfId="0" applyBorder="1"/>
    <xf numFmtId="0" fontId="0" fillId="5" borderId="2" xfId="0" applyFill="1" applyBorder="1"/>
    <xf numFmtId="0" fontId="0" fillId="5" borderId="1" xfId="0" applyFill="1" applyBorder="1"/>
    <xf numFmtId="0" fontId="0" fillId="0" borderId="4" xfId="0" applyFont="1" applyBorder="1"/>
    <xf numFmtId="0" fontId="0" fillId="0" borderId="2" xfId="0" applyFont="1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  <xf numFmtId="0" fontId="0" fillId="0" borderId="1" xfId="0" applyFont="1" applyBorder="1"/>
    <xf numFmtId="0" fontId="5" fillId="0" borderId="0" xfId="0" applyFont="1"/>
    <xf numFmtId="0" fontId="6" fillId="6" borderId="0" xfId="0" applyFont="1" applyFill="1"/>
    <xf numFmtId="0" fontId="7" fillId="7" borderId="1" xfId="0" applyFont="1" applyFill="1" applyBorder="1" applyAlignment="1">
      <alignment horizontal="center" wrapText="1"/>
    </xf>
    <xf numFmtId="0" fontId="4" fillId="6" borderId="0" xfId="0" applyFont="1" applyFill="1"/>
    <xf numFmtId="0" fontId="0" fillId="6" borderId="0" xfId="0" applyFill="1"/>
    <xf numFmtId="0" fontId="7" fillId="8" borderId="1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wrapText="1"/>
    </xf>
    <xf numFmtId="0" fontId="8" fillId="6" borderId="8" xfId="0" applyFont="1" applyFill="1" applyBorder="1"/>
    <xf numFmtId="0" fontId="5" fillId="6" borderId="9" xfId="0" applyFont="1" applyFill="1" applyBorder="1"/>
    <xf numFmtId="0" fontId="7" fillId="0" borderId="10" xfId="0" applyFon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/>
    <xf numFmtId="0" fontId="9" fillId="6" borderId="11" xfId="0" applyFont="1" applyFill="1" applyBorder="1" applyAlignment="1">
      <alignment horizontal="left" indent="2"/>
    </xf>
    <xf numFmtId="0" fontId="5" fillId="6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6" borderId="11" xfId="0" applyFont="1" applyFill="1" applyBorder="1" applyAlignment="1">
      <alignment horizontal="left" indent="2"/>
    </xf>
    <xf numFmtId="0" fontId="5" fillId="6" borderId="11" xfId="0" applyFont="1" applyFill="1" applyBorder="1" applyAlignment="1">
      <alignment horizontal="left" indent="2"/>
    </xf>
    <xf numFmtId="0" fontId="10" fillId="6" borderId="11" xfId="0" applyFont="1" applyFill="1" applyBorder="1" applyAlignment="1">
      <alignment horizontal="left" indent="2"/>
    </xf>
    <xf numFmtId="0" fontId="10" fillId="6" borderId="0" xfId="0" applyFont="1" applyFill="1" applyAlignment="1">
      <alignment horizontal="left" indent="2"/>
    </xf>
    <xf numFmtId="0" fontId="10" fillId="6" borderId="11" xfId="0" applyFont="1" applyFill="1" applyBorder="1" applyAlignment="1">
      <alignment horizontal="left" indent="3"/>
    </xf>
    <xf numFmtId="0" fontId="11" fillId="6" borderId="11" xfId="0" applyFont="1" applyFill="1" applyBorder="1" applyAlignment="1">
      <alignment horizontal="left" indent="3"/>
    </xf>
    <xf numFmtId="0" fontId="12" fillId="6" borderId="0" xfId="0" applyFont="1" applyFill="1" applyAlignment="1">
      <alignment horizontal="left" indent="3"/>
    </xf>
    <xf numFmtId="0" fontId="13" fillId="0" borderId="7" xfId="0" applyFont="1" applyBorder="1" applyAlignment="1">
      <alignment wrapText="1"/>
    </xf>
    <xf numFmtId="0" fontId="5" fillId="6" borderId="11" xfId="0" applyFont="1" applyFill="1" applyBorder="1"/>
    <xf numFmtId="0" fontId="5" fillId="6" borderId="12" xfId="0" applyFont="1" applyFill="1" applyBorder="1"/>
    <xf numFmtId="0" fontId="5" fillId="6" borderId="13" xfId="0" applyFont="1" applyFill="1" applyBorder="1"/>
    <xf numFmtId="0" fontId="9" fillId="6" borderId="0" xfId="0" applyFont="1" applyFill="1"/>
    <xf numFmtId="0" fontId="7" fillId="6" borderId="0" xfId="0" applyFont="1" applyFill="1"/>
    <xf numFmtId="0" fontId="7" fillId="8" borderId="4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top" wrapText="1"/>
    </xf>
    <xf numFmtId="0" fontId="10" fillId="6" borderId="0" xfId="0" applyFont="1" applyFill="1" applyAlignment="1">
      <alignment wrapText="1"/>
    </xf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left" indent="1"/>
    </xf>
    <xf numFmtId="0" fontId="12" fillId="6" borderId="0" xfId="0" applyFont="1" applyFill="1" applyAlignment="1">
      <alignment horizontal="left" indent="1"/>
    </xf>
    <xf numFmtId="0" fontId="5" fillId="0" borderId="7" xfId="0" applyFont="1" applyBorder="1" applyAlignment="1">
      <alignment wrapText="1"/>
    </xf>
    <xf numFmtId="0" fontId="8" fillId="6" borderId="9" xfId="0" applyFont="1" applyFill="1" applyBorder="1"/>
    <xf numFmtId="0" fontId="14" fillId="6" borderId="0" xfId="4" applyFill="1" applyBorder="1" applyAlignment="1"/>
    <xf numFmtId="0" fontId="14" fillId="6" borderId="0" xfId="4" applyFill="1" applyBorder="1"/>
    <xf numFmtId="0" fontId="8" fillId="6" borderId="14" xfId="0" applyFont="1" applyFill="1" applyBorder="1"/>
    <xf numFmtId="0" fontId="5" fillId="6" borderId="15" xfId="0" applyFont="1" applyFill="1" applyBorder="1" applyAlignment="1">
      <alignment horizontal="left" indent="2"/>
    </xf>
    <xf numFmtId="0" fontId="10" fillId="6" borderId="15" xfId="0" applyFont="1" applyFill="1" applyBorder="1" applyAlignment="1">
      <alignment horizontal="left" indent="2"/>
    </xf>
    <xf numFmtId="0" fontId="5" fillId="6" borderId="15" xfId="0" applyFont="1" applyFill="1" applyBorder="1"/>
    <xf numFmtId="0" fontId="5" fillId="6" borderId="16" xfId="0" applyFont="1" applyFill="1" applyBorder="1"/>
    <xf numFmtId="0" fontId="6" fillId="0" borderId="4" xfId="0" applyFont="1" applyBorder="1" applyAlignment="1">
      <alignment horizontal="left" vertical="top" wrapText="1"/>
    </xf>
    <xf numFmtId="0" fontId="0" fillId="6" borderId="0" xfId="0" applyFill="1" applyAlignment="1">
      <alignment readingOrder="1"/>
    </xf>
    <xf numFmtId="0" fontId="0" fillId="0" borderId="0" xfId="0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0" fillId="10" borderId="1" xfId="0" applyFill="1" applyBorder="1"/>
    <xf numFmtId="0" fontId="0" fillId="0" borderId="1" xfId="0" applyBorder="1" applyAlignment="1">
      <alignment horizontal="left"/>
    </xf>
    <xf numFmtId="0" fontId="0" fillId="11" borderId="1" xfId="0" applyFill="1" applyBorder="1"/>
    <xf numFmtId="0" fontId="19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8" fontId="20" fillId="0" borderId="1" xfId="0" applyNumberFormat="1" applyFont="1" applyFill="1" applyBorder="1" applyAlignment="1">
      <alignment vertical="center"/>
    </xf>
    <xf numFmtId="168" fontId="21" fillId="5" borderId="1" xfId="0" applyNumberFormat="1" applyFont="1" applyFill="1" applyBorder="1" applyAlignment="1">
      <alignment vertical="center"/>
    </xf>
    <xf numFmtId="169" fontId="20" fillId="0" borderId="0" xfId="0" applyNumberFormat="1" applyFont="1" applyBorder="1" applyAlignment="1">
      <alignment horizontal="center" vertical="center"/>
    </xf>
    <xf numFmtId="9" fontId="20" fillId="0" borderId="0" xfId="0" applyNumberFormat="1" applyFont="1" applyBorder="1" applyAlignment="1">
      <alignment horizontal="center" vertical="center"/>
    </xf>
    <xf numFmtId="165" fontId="20" fillId="0" borderId="0" xfId="0" applyNumberFormat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1" fillId="0" borderId="1" xfId="0" applyFont="1" applyBorder="1"/>
    <xf numFmtId="168" fontId="4" fillId="0" borderId="1" xfId="0" applyNumberFormat="1" applyFont="1" applyBorder="1" applyAlignment="1">
      <alignment vertical="center"/>
    </xf>
    <xf numFmtId="168" fontId="0" fillId="0" borderId="0" xfId="0" applyNumberFormat="1"/>
    <xf numFmtId="0" fontId="0" fillId="13" borderId="18" xfId="0" applyFill="1" applyBorder="1"/>
    <xf numFmtId="0" fontId="4" fillId="4" borderId="4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4" fillId="12" borderId="4" xfId="0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right" vertical="center"/>
    </xf>
    <xf numFmtId="0" fontId="10" fillId="6" borderId="0" xfId="0" applyFont="1" applyFill="1" applyAlignment="1">
      <alignment horizontal="left" wrapText="1"/>
    </xf>
    <xf numFmtId="0" fontId="10" fillId="6" borderId="11" xfId="0" applyFont="1" applyFill="1" applyBorder="1" applyAlignment="1">
      <alignment horizontal="left" wrapText="1" indent="2"/>
    </xf>
    <xf numFmtId="0" fontId="10" fillId="6" borderId="0" xfId="0" applyFont="1" applyFill="1" applyAlignment="1">
      <alignment horizontal="left" wrapText="1" indent="2"/>
    </xf>
    <xf numFmtId="0" fontId="10" fillId="6" borderId="15" xfId="0" applyFont="1" applyFill="1" applyBorder="1" applyAlignment="1">
      <alignment horizontal="left" wrapText="1" indent="2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0" fontId="22" fillId="0" borderId="17" xfId="0" applyNumberFormat="1" applyFont="1" applyBorder="1" applyAlignment="1">
      <alignment horizontal="center" vertical="center"/>
    </xf>
    <xf numFmtId="171" fontId="22" fillId="0" borderId="1" xfId="1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72" fontId="22" fillId="0" borderId="1" xfId="0" applyNumberFormat="1" applyFont="1" applyBorder="1" applyAlignment="1">
      <alignment horizontal="center" vertical="center"/>
    </xf>
    <xf numFmtId="170" fontId="22" fillId="0" borderId="3" xfId="0" applyNumberFormat="1" applyFont="1" applyBorder="1" applyAlignment="1">
      <alignment horizontal="center" vertical="center"/>
    </xf>
    <xf numFmtId="170" fontId="22" fillId="0" borderId="10" xfId="0" applyNumberFormat="1" applyFont="1" applyBorder="1" applyAlignment="1">
      <alignment horizontal="center" vertical="center"/>
    </xf>
    <xf numFmtId="0" fontId="22" fillId="0" borderId="0" xfId="0" applyFont="1"/>
    <xf numFmtId="171" fontId="22" fillId="0" borderId="1" xfId="1" applyNumberFormat="1" applyFont="1" applyBorder="1" applyAlignment="1"/>
    <xf numFmtId="9" fontId="22" fillId="0" borderId="1" xfId="0" applyNumberFormat="1" applyFont="1" applyBorder="1" applyAlignment="1">
      <alignment horizontal="center"/>
    </xf>
    <xf numFmtId="0" fontId="22" fillId="0" borderId="1" xfId="0" applyFont="1" applyBorder="1"/>
    <xf numFmtId="165" fontId="20" fillId="0" borderId="1" xfId="0" applyNumberFormat="1" applyFont="1" applyBorder="1" applyAlignment="1">
      <alignment horizontal="center" vertical="center"/>
    </xf>
    <xf numFmtId="169" fontId="20" fillId="0" borderId="1" xfId="0" applyNumberFormat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</cellXfs>
  <cellStyles count="6">
    <cellStyle name="Currency" xfId="1" builtinId="4"/>
    <cellStyle name="Hyperlink 2" xfId="4"/>
    <cellStyle name="Normal" xfId="0" builtinId="0"/>
    <cellStyle name="Normal 2" xfId="2"/>
    <cellStyle name="Normal 2 2" xfId="5"/>
    <cellStyle name="Normal 3" xfId="3"/>
  </cellStyles>
  <dxfs count="4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46F421CA-312F-682f-3DD2-61675219B42D}">
      <x14:dxfs count="1">
        <dxf>
          <fill>
            <patternFill patternType="solid">
              <bgColor theme="7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topLeftCell="J6" zoomScale="96" zoomScaleNormal="96" workbookViewId="0">
      <selection activeCell="M20" sqref="M20"/>
    </sheetView>
  </sheetViews>
  <sheetFormatPr defaultColWidth="9" defaultRowHeight="15"/>
  <cols>
    <col min="1" max="1" width="18" customWidth="1"/>
    <col min="2" max="2" width="21.85546875" style="71" customWidth="1"/>
    <col min="3" max="3" width="8.28515625" style="71" customWidth="1"/>
    <col min="4" max="4" width="25.42578125" style="71" customWidth="1"/>
    <col min="5" max="5" width="20.42578125" style="71" customWidth="1"/>
    <col min="6" max="6" width="57" customWidth="1"/>
    <col min="7" max="7" width="28" customWidth="1"/>
    <col min="8" max="8" width="27.7109375" customWidth="1"/>
    <col min="9" max="9" width="31.85546875" customWidth="1"/>
    <col min="10" max="10" width="27.7109375" customWidth="1"/>
    <col min="11" max="11" width="15.28515625" customWidth="1"/>
    <col min="12" max="12" width="14" customWidth="1"/>
    <col min="13" max="13" width="18.5703125" customWidth="1"/>
    <col min="15" max="15" width="10.85546875" customWidth="1"/>
    <col min="19" max="19" width="11.5703125" bestFit="1" customWidth="1"/>
  </cols>
  <sheetData>
    <row r="1" spans="1:17" s="71" customFormat="1" ht="38.25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86" t="s">
        <v>10</v>
      </c>
      <c r="L1" s="77" t="s">
        <v>629</v>
      </c>
      <c r="M1" s="77" t="s">
        <v>220</v>
      </c>
      <c r="N1" s="78" t="s">
        <v>630</v>
      </c>
      <c r="O1" s="79" t="s">
        <v>631</v>
      </c>
      <c r="P1" s="80" t="s">
        <v>632</v>
      </c>
      <c r="Q1" s="78" t="s">
        <v>633</v>
      </c>
    </row>
    <row r="2" spans="1:17">
      <c r="A2" s="14" t="str">
        <f>$D$2</f>
        <v>NGAB08N30</v>
      </c>
      <c r="B2" s="11" t="s">
        <v>11</v>
      </c>
      <c r="C2" s="11" t="s">
        <v>12</v>
      </c>
      <c r="D2" s="73" t="s">
        <v>328</v>
      </c>
      <c r="E2" s="11">
        <v>1</v>
      </c>
      <c r="F2" s="74" t="str">
        <f>'Backend data'!C6</f>
        <v xml:space="preserve">Trim-O-50 I-37.5 H-22.5mm 0.5W Black NGWR8W (OUCHI) </v>
      </c>
      <c r="G2" s="11">
        <v>1</v>
      </c>
      <c r="H2" s="75" t="s">
        <v>14</v>
      </c>
      <c r="I2" s="14" t="s">
        <v>15</v>
      </c>
      <c r="J2" s="14"/>
      <c r="K2" s="14"/>
      <c r="L2" s="108">
        <f>Q2*87</f>
        <v>463.14449999999999</v>
      </c>
      <c r="M2" s="108">
        <f>L2*G2</f>
        <v>463.14449999999999</v>
      </c>
      <c r="N2" s="109">
        <v>3.5489999999999999</v>
      </c>
      <c r="O2" s="110">
        <v>0.5</v>
      </c>
      <c r="P2" s="111"/>
      <c r="Q2" s="112">
        <f>N2+(N2*(O2+P2))</f>
        <v>5.3235000000000001</v>
      </c>
    </row>
    <row r="3" spans="1:17">
      <c r="A3" s="14"/>
      <c r="B3" s="11"/>
      <c r="C3" s="11"/>
      <c r="D3" s="11"/>
      <c r="E3" s="11"/>
      <c r="F3" s="89" t="s">
        <v>16</v>
      </c>
      <c r="G3" s="11">
        <v>1</v>
      </c>
      <c r="H3" s="75" t="s">
        <v>14</v>
      </c>
      <c r="I3" s="14" t="s">
        <v>15</v>
      </c>
      <c r="J3" s="14"/>
      <c r="K3" s="14"/>
      <c r="L3" s="113"/>
      <c r="M3" s="113"/>
      <c r="N3" s="109"/>
      <c r="O3" s="110"/>
      <c r="P3" s="111"/>
      <c r="Q3" s="112"/>
    </row>
    <row r="4" spans="1:17">
      <c r="A4" s="14"/>
      <c r="B4" s="11"/>
      <c r="C4" s="11"/>
      <c r="D4" s="11"/>
      <c r="E4" s="11"/>
      <c r="F4" s="74" t="str">
        <f>'Backend data'!E6</f>
        <v>Refl.O-39 H-14.8 L-23mm 0.5W -Silver NGWR8W (OUCHI)</v>
      </c>
      <c r="G4" s="11">
        <v>1</v>
      </c>
      <c r="H4" s="75" t="s">
        <v>14</v>
      </c>
      <c r="I4" s="14" t="s">
        <v>15</v>
      </c>
      <c r="J4" s="14"/>
      <c r="K4" s="14"/>
      <c r="L4" s="113"/>
      <c r="M4" s="113"/>
      <c r="N4" s="109"/>
      <c r="O4" s="110"/>
      <c r="P4" s="111"/>
      <c r="Q4" s="112"/>
    </row>
    <row r="5" spans="1:17">
      <c r="A5" s="14"/>
      <c r="B5" s="11"/>
      <c r="C5" s="11"/>
      <c r="D5" s="11"/>
      <c r="E5" s="11"/>
      <c r="F5" s="24" t="s">
        <v>17</v>
      </c>
      <c r="G5" s="11">
        <v>1</v>
      </c>
      <c r="H5" s="75" t="s">
        <v>14</v>
      </c>
      <c r="I5" s="14" t="s">
        <v>15</v>
      </c>
      <c r="J5" s="14"/>
      <c r="K5" s="14"/>
      <c r="L5" s="113"/>
      <c r="M5" s="113"/>
      <c r="N5" s="109"/>
      <c r="O5" s="110"/>
      <c r="P5" s="111"/>
      <c r="Q5" s="112"/>
    </row>
    <row r="6" spans="1:17">
      <c r="A6" s="14"/>
      <c r="B6" s="11"/>
      <c r="C6" s="11"/>
      <c r="D6" s="11"/>
      <c r="E6" s="11"/>
      <c r="F6" s="74" t="str">
        <f>'Backend data'!F6</f>
        <v xml:space="preserve">Lens-O-24.8 H-12.9 L-8.5mm 24°-PMMA 0.5W NGWR8W (OUCHI) </v>
      </c>
      <c r="G6" s="11">
        <v>1</v>
      </c>
      <c r="H6" s="75" t="s">
        <v>14</v>
      </c>
      <c r="I6" s="14" t="s">
        <v>15</v>
      </c>
      <c r="J6" s="14"/>
      <c r="K6" s="14"/>
      <c r="L6" s="113"/>
      <c r="M6" s="113"/>
      <c r="N6" s="109"/>
      <c r="O6" s="110"/>
      <c r="P6" s="111"/>
      <c r="Q6" s="112"/>
    </row>
    <row r="7" spans="1:17">
      <c r="A7" s="14"/>
      <c r="B7" s="11"/>
      <c r="C7" s="11"/>
      <c r="D7" s="11"/>
      <c r="E7" s="11"/>
      <c r="F7" s="14" t="s">
        <v>18</v>
      </c>
      <c r="G7" s="11">
        <v>1</v>
      </c>
      <c r="H7" s="75" t="s">
        <v>14</v>
      </c>
      <c r="I7" s="14" t="s">
        <v>15</v>
      </c>
      <c r="J7" s="14"/>
      <c r="K7" s="14"/>
      <c r="L7" s="113"/>
      <c r="M7" s="113"/>
      <c r="N7" s="109"/>
      <c r="O7" s="110"/>
      <c r="P7" s="111"/>
      <c r="Q7" s="112"/>
    </row>
    <row r="8" spans="1:17">
      <c r="A8" s="14"/>
      <c r="B8" s="11"/>
      <c r="C8" s="11"/>
      <c r="D8" s="11"/>
      <c r="E8" s="11"/>
      <c r="F8" s="14" t="s">
        <v>19</v>
      </c>
      <c r="G8" s="11">
        <v>1</v>
      </c>
      <c r="H8" s="75" t="s">
        <v>14</v>
      </c>
      <c r="I8" s="14" t="s">
        <v>15</v>
      </c>
      <c r="J8" s="14"/>
      <c r="K8" s="14"/>
      <c r="L8" s="113"/>
      <c r="M8" s="113"/>
      <c r="N8" s="109"/>
      <c r="O8" s="110"/>
      <c r="P8" s="111"/>
      <c r="Q8" s="112"/>
    </row>
    <row r="9" spans="1:17">
      <c r="A9" s="14"/>
      <c r="B9" s="11"/>
      <c r="C9" s="11"/>
      <c r="D9" s="11"/>
      <c r="E9" s="11"/>
      <c r="F9" s="14" t="s">
        <v>20</v>
      </c>
      <c r="G9" s="11">
        <v>1</v>
      </c>
      <c r="H9" s="75" t="s">
        <v>14</v>
      </c>
      <c r="I9" s="14" t="s">
        <v>15</v>
      </c>
      <c r="J9" s="14"/>
      <c r="K9" s="14"/>
      <c r="L9" s="113"/>
      <c r="M9" s="113"/>
      <c r="N9" s="109"/>
      <c r="O9" s="110"/>
      <c r="P9" s="111"/>
      <c r="Q9" s="112"/>
    </row>
    <row r="10" spans="1:17">
      <c r="A10" s="14"/>
      <c r="B10" s="11"/>
      <c r="C10" s="11"/>
      <c r="D10" s="11"/>
      <c r="E10" s="11"/>
      <c r="F10" s="76" t="s">
        <v>21</v>
      </c>
      <c r="G10" s="11">
        <v>1</v>
      </c>
      <c r="H10" s="75" t="s">
        <v>14</v>
      </c>
      <c r="I10" s="14" t="s">
        <v>15</v>
      </c>
      <c r="J10" s="14"/>
      <c r="K10" s="14"/>
      <c r="L10" s="113"/>
      <c r="M10" s="113"/>
      <c r="N10" s="109"/>
      <c r="O10" s="110"/>
      <c r="P10" s="111"/>
      <c r="Q10" s="112"/>
    </row>
    <row r="11" spans="1:17">
      <c r="A11" s="14"/>
      <c r="B11" s="11"/>
      <c r="C11" s="11"/>
      <c r="D11" s="11"/>
      <c r="E11" s="11"/>
      <c r="F11" s="76" t="s">
        <v>22</v>
      </c>
      <c r="G11" s="11">
        <v>0.08</v>
      </c>
      <c r="H11" s="75" t="s">
        <v>14</v>
      </c>
      <c r="I11" s="14" t="s">
        <v>15</v>
      </c>
      <c r="J11" s="14"/>
      <c r="K11" s="14"/>
      <c r="L11" s="113"/>
      <c r="M11" s="113"/>
      <c r="N11" s="109"/>
      <c r="O11" s="110"/>
      <c r="P11" s="111"/>
      <c r="Q11" s="112"/>
    </row>
    <row r="12" spans="1:17">
      <c r="A12" s="14"/>
      <c r="B12" s="11"/>
      <c r="C12" s="11"/>
      <c r="D12" s="11"/>
      <c r="E12" s="11"/>
      <c r="F12" s="14" t="s">
        <v>23</v>
      </c>
      <c r="G12" s="11">
        <v>2</v>
      </c>
      <c r="H12" s="75" t="s">
        <v>14</v>
      </c>
      <c r="I12" s="14" t="s">
        <v>15</v>
      </c>
      <c r="J12" s="14"/>
      <c r="K12" s="14"/>
      <c r="L12" s="113"/>
      <c r="M12" s="113"/>
      <c r="N12" s="109"/>
      <c r="O12" s="110"/>
      <c r="P12" s="111"/>
      <c r="Q12" s="112"/>
    </row>
    <row r="13" spans="1:17">
      <c r="A13" s="14"/>
      <c r="B13" s="11"/>
      <c r="C13" s="11"/>
      <c r="D13" s="11"/>
      <c r="E13" s="11"/>
      <c r="F13" s="14" t="s">
        <v>24</v>
      </c>
      <c r="G13" s="11">
        <v>1</v>
      </c>
      <c r="H13" s="75" t="s">
        <v>14</v>
      </c>
      <c r="I13" s="14" t="s">
        <v>15</v>
      </c>
      <c r="J13" s="14"/>
      <c r="K13" s="14"/>
      <c r="L13" s="114"/>
      <c r="M13" s="114"/>
      <c r="N13" s="109"/>
      <c r="O13" s="110"/>
      <c r="P13" s="111"/>
      <c r="Q13" s="112"/>
    </row>
    <row r="14" spans="1:17">
      <c r="A14" s="14"/>
      <c r="B14" s="11"/>
      <c r="C14" s="11"/>
      <c r="D14" s="11"/>
      <c r="E14" s="11"/>
      <c r="F14" s="14" t="s">
        <v>25</v>
      </c>
      <c r="G14" s="11">
        <v>1</v>
      </c>
      <c r="H14" s="75" t="s">
        <v>14</v>
      </c>
      <c r="I14" s="14" t="s">
        <v>15</v>
      </c>
      <c r="J14" s="14"/>
      <c r="K14" s="14"/>
      <c r="L14" s="81">
        <f>Q14*87</f>
        <v>3.915</v>
      </c>
      <c r="M14" s="81">
        <f>L14*G14</f>
        <v>3.915</v>
      </c>
      <c r="N14" s="116">
        <f>0.06/2</f>
        <v>0.03</v>
      </c>
      <c r="O14" s="117">
        <v>0.5</v>
      </c>
      <c r="P14" s="118"/>
      <c r="Q14" s="119">
        <f>N14+(N14*(O14+P14))</f>
        <v>4.4999999999999998E-2</v>
      </c>
    </row>
    <row r="15" spans="1:17">
      <c r="A15" s="14"/>
      <c r="B15" s="11"/>
      <c r="C15" s="11"/>
      <c r="D15" s="11"/>
      <c r="E15" s="11"/>
      <c r="F15" s="14" t="s">
        <v>26</v>
      </c>
      <c r="G15" s="11">
        <v>0.12</v>
      </c>
      <c r="H15" s="75" t="s">
        <v>14</v>
      </c>
      <c r="I15" s="14" t="s">
        <v>15</v>
      </c>
      <c r="J15" s="14"/>
      <c r="K15" s="14"/>
      <c r="L15" s="81">
        <f>5.7/1000*120</f>
        <v>0.68400000000000005</v>
      </c>
      <c r="M15" s="81">
        <f t="shared" ref="M15:M17" si="0">L15*G15</f>
        <v>8.208E-2</v>
      </c>
      <c r="N15" s="115"/>
      <c r="O15" s="115"/>
      <c r="P15" s="115"/>
      <c r="Q15" s="115"/>
    </row>
    <row r="16" spans="1:17">
      <c r="A16" s="14"/>
      <c r="B16" s="11"/>
      <c r="C16" s="11"/>
      <c r="D16" s="11"/>
      <c r="E16" s="11"/>
      <c r="F16" s="74" t="str">
        <f>'Backend data'!G6</f>
        <v>COB 12&amp;15W 3000K 12LED 36V 350mA 13.5x13.5mm CRI-90</v>
      </c>
      <c r="G16" s="11">
        <v>1</v>
      </c>
      <c r="H16" s="75" t="s">
        <v>27</v>
      </c>
      <c r="I16" s="14" t="s">
        <v>15</v>
      </c>
      <c r="J16" s="14"/>
      <c r="K16" s="14"/>
      <c r="L16" s="81">
        <f>Q16*87</f>
        <v>41.76</v>
      </c>
      <c r="M16" s="81">
        <f>L16*G16</f>
        <v>41.76</v>
      </c>
      <c r="N16" s="116">
        <v>0.32</v>
      </c>
      <c r="O16" s="117">
        <v>0.5</v>
      </c>
      <c r="P16" s="118"/>
      <c r="Q16" s="119">
        <f>N16+(N16*(O16+P16))</f>
        <v>0.48</v>
      </c>
    </row>
    <row r="17" spans="1:19">
      <c r="A17" s="14"/>
      <c r="B17" s="11"/>
      <c r="C17" s="11"/>
      <c r="D17" s="11"/>
      <c r="E17" s="11"/>
      <c r="F17" s="74" t="str">
        <f>'Backend data'!H6</f>
        <v>PS 8W 200MA 36V LPF (PCB MT43-8-12W-V2 LPF)</v>
      </c>
      <c r="G17" s="11">
        <v>1</v>
      </c>
      <c r="H17" s="75" t="s">
        <v>14</v>
      </c>
      <c r="I17" s="14" t="s">
        <v>15</v>
      </c>
      <c r="J17" s="14"/>
      <c r="K17" s="14"/>
      <c r="L17" s="81">
        <v>0</v>
      </c>
      <c r="M17" s="81">
        <f t="shared" si="0"/>
        <v>0</v>
      </c>
      <c r="N17" s="115" t="s">
        <v>654</v>
      </c>
      <c r="O17" s="115"/>
      <c r="P17" s="115"/>
      <c r="Q17" s="115"/>
    </row>
    <row r="18" spans="1:19" ht="31.5" customHeight="1">
      <c r="M18" s="82">
        <f>SUM(M2:M17)</f>
        <v>508.90158000000002</v>
      </c>
    </row>
    <row r="20" spans="1:19" ht="27" customHeight="1">
      <c r="K20" s="95" t="s">
        <v>634</v>
      </c>
      <c r="L20" s="96"/>
      <c r="M20" s="90">
        <f>M18+42</f>
        <v>550.90157999999997</v>
      </c>
      <c r="N20" s="83"/>
      <c r="O20" s="84"/>
      <c r="P20" s="84"/>
      <c r="Q20" s="85"/>
    </row>
    <row r="21" spans="1:19" ht="27" customHeight="1">
      <c r="K21" s="93" t="s">
        <v>635</v>
      </c>
      <c r="L21" s="94"/>
      <c r="M21" s="90">
        <f>M18+275</f>
        <v>783.90157999999997</v>
      </c>
      <c r="N21" s="83"/>
      <c r="O21" s="84"/>
      <c r="P21" s="84"/>
      <c r="Q21" s="85"/>
    </row>
    <row r="22" spans="1:19" ht="27" customHeight="1">
      <c r="K22" s="93" t="s">
        <v>636</v>
      </c>
      <c r="L22" s="94"/>
      <c r="M22" s="90">
        <f>((M18)+(Q22*87))</f>
        <v>1166.62158</v>
      </c>
      <c r="N22" s="120">
        <v>5.04</v>
      </c>
      <c r="O22" s="121">
        <v>0.5</v>
      </c>
      <c r="P22" s="121"/>
      <c r="Q22" s="119">
        <f>N22+(N22*(O22+P22))</f>
        <v>7.5600000000000005</v>
      </c>
      <c r="S22" s="91"/>
    </row>
    <row r="23" spans="1:19" ht="27.75" customHeight="1">
      <c r="K23" s="93" t="s">
        <v>637</v>
      </c>
      <c r="L23" s="94"/>
      <c r="M23" s="90">
        <f>M18+330</f>
        <v>838.90157999999997</v>
      </c>
      <c r="N23" s="83"/>
      <c r="O23" s="84"/>
      <c r="P23" s="84"/>
      <c r="Q23" s="85"/>
    </row>
    <row r="24" spans="1:19" ht="27.75" customHeight="1">
      <c r="K24" s="93" t="s">
        <v>638</v>
      </c>
      <c r="L24" s="94"/>
      <c r="M24" s="90">
        <f>((M18)+(Q24*87))</f>
        <v>1223.3890799999999</v>
      </c>
      <c r="N24" s="120">
        <f>5.475</f>
        <v>5.4749999999999996</v>
      </c>
      <c r="O24" s="121">
        <v>0.5</v>
      </c>
      <c r="P24" s="121"/>
      <c r="Q24" s="119">
        <f t="shared" ref="Q24" si="1">N24+(N24*(O24+P24))</f>
        <v>8.2124999999999986</v>
      </c>
      <c r="S24" s="91"/>
    </row>
    <row r="25" spans="1:19" ht="27.75" customHeight="1">
      <c r="K25" s="93" t="s">
        <v>639</v>
      </c>
      <c r="L25" s="94"/>
      <c r="M25" s="90">
        <f>M18+330</f>
        <v>838.90157999999997</v>
      </c>
      <c r="N25" s="83"/>
      <c r="O25" s="84"/>
      <c r="P25" s="84"/>
      <c r="Q25" s="85"/>
    </row>
  </sheetData>
  <mergeCells count="12">
    <mergeCell ref="K24:L24"/>
    <mergeCell ref="K25:L25"/>
    <mergeCell ref="K20:L20"/>
    <mergeCell ref="K21:L21"/>
    <mergeCell ref="K22:L22"/>
    <mergeCell ref="K23:L23"/>
    <mergeCell ref="Q2:Q13"/>
    <mergeCell ref="L2:L13"/>
    <mergeCell ref="M2:M13"/>
    <mergeCell ref="N2:N13"/>
    <mergeCell ref="O2:O13"/>
    <mergeCell ref="P2:P13"/>
  </mergeCells>
  <conditionalFormatting sqref="F1:F10 F13:F17 F30:F1048576">
    <cfRule type="containsText" dxfId="3" priority="4" operator="containsText" text="PS-">
      <formula>NOT(ISERROR(SEARCH("PS-",F1)))</formula>
    </cfRule>
    <cfRule type="containsText" dxfId="2" priority="7" operator="containsText" text="COB-">
      <formula>NOT(ISERROR(SEARCH("COB-",F1)))</formula>
    </cfRule>
    <cfRule type="containsText" dxfId="1" priority="9" operator="containsText" text="TRIM">
      <formula>NOT(ISERROR(SEARCH("TRIM",F1)))</formula>
    </cfRule>
  </conditionalFormatting>
  <conditionalFormatting sqref="F1:G10 F13:G17 F30:G1048576">
    <cfRule type="containsText" dxfId="0" priority="3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/>
  <ignoredErrors>
    <ignoredError sqref="F16" evalError="1"/>
    <ignoredError sqref="L1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94EA492-7E88-48CC-B948-B97566923CB4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F1:G10 F13:G17 F30:G1048576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Result!$R$2:$R$337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5" customWidth="1"/>
    <col min="2" max="3" width="23.42578125" style="25" customWidth="1"/>
    <col min="4" max="4" width="5.85546875" style="26" customWidth="1"/>
    <col min="5" max="11" width="8.7109375" style="26"/>
    <col min="12" max="12" width="6.140625" style="26" customWidth="1"/>
    <col min="13" max="18" width="8.7109375" style="26"/>
    <col min="19" max="16384" width="8.7109375" style="25"/>
  </cols>
  <sheetData>
    <row r="1" spans="1:17" ht="15">
      <c r="A1" s="27" t="s">
        <v>28</v>
      </c>
      <c r="B1" s="27" t="s">
        <v>29</v>
      </c>
      <c r="C1" s="27" t="s">
        <v>30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>
      <c r="A2" s="30" t="s">
        <v>31</v>
      </c>
      <c r="B2" s="31"/>
      <c r="C2" s="32" t="s">
        <v>32</v>
      </c>
      <c r="E2" s="33"/>
      <c r="F2" s="34"/>
      <c r="G2" s="34"/>
      <c r="H2" s="34"/>
      <c r="I2" s="34"/>
      <c r="J2" s="34"/>
      <c r="K2" s="34"/>
      <c r="L2" s="34"/>
      <c r="M2" s="34"/>
      <c r="N2" s="34"/>
      <c r="O2" s="61"/>
      <c r="P2" s="61"/>
      <c r="Q2" s="64"/>
    </row>
    <row r="3" spans="1:17">
      <c r="A3" s="35" t="s">
        <v>0</v>
      </c>
      <c r="B3" s="36" t="s">
        <v>33</v>
      </c>
      <c r="C3" s="37"/>
      <c r="E3" s="38" t="s">
        <v>34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65"/>
    </row>
    <row r="4" spans="1:17">
      <c r="A4" s="40" t="s">
        <v>1</v>
      </c>
      <c r="B4" s="36" t="s">
        <v>33</v>
      </c>
      <c r="C4" s="37"/>
      <c r="E4" s="41" t="s">
        <v>35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65"/>
    </row>
    <row r="5" spans="1:17" ht="12.6" customHeight="1">
      <c r="A5" s="40" t="s">
        <v>36</v>
      </c>
      <c r="B5" s="36" t="s">
        <v>33</v>
      </c>
      <c r="C5" s="37"/>
      <c r="E5" s="98" t="s">
        <v>37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100"/>
    </row>
    <row r="6" spans="1:17" ht="12.6" customHeight="1">
      <c r="A6" s="40" t="s">
        <v>38</v>
      </c>
      <c r="B6" s="36" t="s">
        <v>33</v>
      </c>
      <c r="C6" s="37"/>
      <c r="E6" s="98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100"/>
    </row>
    <row r="7" spans="1:17" ht="12.6" customHeight="1">
      <c r="A7" s="40" t="s">
        <v>39</v>
      </c>
      <c r="B7" s="36" t="s">
        <v>33</v>
      </c>
      <c r="C7" s="37"/>
      <c r="E7" s="98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100"/>
    </row>
    <row r="8" spans="1:17" ht="12.6" customHeight="1">
      <c r="A8" s="40" t="s">
        <v>40</v>
      </c>
      <c r="B8" s="36" t="s">
        <v>33</v>
      </c>
      <c r="C8" s="37"/>
      <c r="E8" s="98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100"/>
    </row>
    <row r="9" spans="1:17" ht="12.95" customHeight="1">
      <c r="A9" s="40" t="s">
        <v>41</v>
      </c>
      <c r="B9" s="36" t="s">
        <v>33</v>
      </c>
      <c r="C9" s="37"/>
      <c r="E9" s="98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100"/>
    </row>
    <row r="10" spans="1:17">
      <c r="A10" s="40" t="s">
        <v>42</v>
      </c>
      <c r="B10" s="36" t="s">
        <v>33</v>
      </c>
      <c r="C10" s="37"/>
      <c r="E10" s="42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65"/>
    </row>
    <row r="11" spans="1:17">
      <c r="A11" s="40" t="s">
        <v>2</v>
      </c>
      <c r="B11" s="36" t="s">
        <v>33</v>
      </c>
      <c r="C11" s="37"/>
      <c r="E11" s="41" t="s">
        <v>43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65"/>
    </row>
    <row r="12" spans="1:17">
      <c r="A12" s="40" t="s">
        <v>44</v>
      </c>
      <c r="B12" s="36" t="s">
        <v>33</v>
      </c>
      <c r="C12" s="37"/>
      <c r="E12" s="43" t="s">
        <v>45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66"/>
    </row>
    <row r="13" spans="1:17">
      <c r="A13" s="40" t="s">
        <v>46</v>
      </c>
      <c r="B13" s="36" t="s">
        <v>33</v>
      </c>
      <c r="C13" s="37"/>
      <c r="E13" s="45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65"/>
    </row>
    <row r="14" spans="1:17" ht="15">
      <c r="A14" s="40" t="s">
        <v>47</v>
      </c>
      <c r="B14" s="36" t="s">
        <v>33</v>
      </c>
      <c r="C14" s="37"/>
      <c r="E14" s="46" t="s">
        <v>48</v>
      </c>
      <c r="F14" s="47"/>
      <c r="G14" s="47"/>
      <c r="H14" s="47"/>
      <c r="I14" s="47"/>
      <c r="J14" s="47"/>
      <c r="K14" s="47"/>
      <c r="L14" s="47"/>
      <c r="M14" s="62" t="s">
        <v>49</v>
      </c>
      <c r="N14" s="39"/>
      <c r="O14" s="39"/>
      <c r="P14" s="39"/>
      <c r="Q14" s="65"/>
    </row>
    <row r="15" spans="1:17" ht="15">
      <c r="A15" s="40" t="s">
        <v>50</v>
      </c>
      <c r="B15" s="36" t="s">
        <v>33</v>
      </c>
      <c r="C15" s="48" t="s">
        <v>51</v>
      </c>
      <c r="E15" s="4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67"/>
    </row>
    <row r="16" spans="1:17">
      <c r="A16" s="40" t="s">
        <v>52</v>
      </c>
      <c r="B16" s="36" t="s">
        <v>33</v>
      </c>
      <c r="C16" s="37"/>
      <c r="E16" s="50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68"/>
    </row>
    <row r="17" spans="1:17" ht="15">
      <c r="A17" s="40" t="s">
        <v>53</v>
      </c>
      <c r="B17" s="36" t="s">
        <v>33</v>
      </c>
      <c r="C17" s="37"/>
      <c r="E17" s="5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ht="15">
      <c r="A18" s="40" t="s">
        <v>54</v>
      </c>
      <c r="B18" s="36" t="s">
        <v>33</v>
      </c>
      <c r="C18" s="37"/>
      <c r="E18" s="53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spans="1:17">
      <c r="A19" s="40" t="s">
        <v>55</v>
      </c>
      <c r="B19" s="36" t="s">
        <v>33</v>
      </c>
      <c r="C19" s="3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</row>
    <row r="20" spans="1:17" ht="25.5">
      <c r="A20" s="40" t="s">
        <v>56</v>
      </c>
      <c r="B20" s="36" t="s">
        <v>33</v>
      </c>
      <c r="C20" s="3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</row>
    <row r="21" spans="1:17">
      <c r="A21" s="40" t="s">
        <v>57</v>
      </c>
      <c r="B21" s="36" t="s">
        <v>33</v>
      </c>
      <c r="C21" s="3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</row>
    <row r="22" spans="1:17">
      <c r="A22" s="30" t="s">
        <v>58</v>
      </c>
      <c r="B22" s="54"/>
      <c r="C22" s="55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</row>
    <row r="23" spans="1:17" ht="38.25">
      <c r="A23" s="40" t="s">
        <v>59</v>
      </c>
      <c r="B23" s="36" t="s">
        <v>60</v>
      </c>
      <c r="C23" s="37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</row>
    <row r="24" spans="1:17" ht="15">
      <c r="A24" s="40" t="s">
        <v>61</v>
      </c>
      <c r="B24" s="36" t="s">
        <v>33</v>
      </c>
      <c r="C24" s="37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ht="15">
      <c r="A25" s="40" t="s">
        <v>62</v>
      </c>
      <c r="B25" s="36" t="s">
        <v>33</v>
      </c>
      <c r="C25" s="37"/>
      <c r="E25" s="53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40" t="s">
        <v>63</v>
      </c>
      <c r="B26" s="36" t="s">
        <v>33</v>
      </c>
      <c r="C26" s="3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7" ht="15">
      <c r="A27" s="40" t="s">
        <v>64</v>
      </c>
      <c r="B27" s="36" t="s">
        <v>33</v>
      </c>
      <c r="C27" s="37"/>
      <c r="E27" s="5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ht="15">
      <c r="A28" s="40" t="s">
        <v>65</v>
      </c>
      <c r="B28" s="36" t="s">
        <v>33</v>
      </c>
      <c r="C28" s="37"/>
      <c r="E28" s="59"/>
      <c r="F28" s="59"/>
      <c r="G28" s="59"/>
      <c r="H28" s="59"/>
      <c r="I28" s="59"/>
      <c r="J28" s="59"/>
      <c r="K28" s="59"/>
      <c r="L28" s="59"/>
      <c r="M28" s="63"/>
      <c r="N28" s="29"/>
      <c r="O28" s="29"/>
      <c r="P28" s="29"/>
      <c r="Q28" s="29"/>
    </row>
    <row r="29" spans="1:17" ht="15">
      <c r="A29" s="40" t="s">
        <v>66</v>
      </c>
      <c r="B29" s="36" t="s">
        <v>33</v>
      </c>
      <c r="C29" s="3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 ht="15">
      <c r="A30" s="40" t="s">
        <v>67</v>
      </c>
      <c r="B30" s="36" t="s">
        <v>33</v>
      </c>
      <c r="C30" s="3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 ht="38.25">
      <c r="A31" s="40" t="s">
        <v>68</v>
      </c>
      <c r="B31" s="36" t="s">
        <v>69</v>
      </c>
      <c r="C31" s="3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ht="15">
      <c r="A32" s="30" t="s">
        <v>70</v>
      </c>
      <c r="B32" s="54"/>
      <c r="C32" s="55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3">
      <c r="A33" s="40" t="s">
        <v>71</v>
      </c>
      <c r="B33" s="36" t="s">
        <v>33</v>
      </c>
      <c r="C33" s="37"/>
    </row>
    <row r="34" spans="1:3">
      <c r="A34" s="40" t="s">
        <v>72</v>
      </c>
      <c r="B34" s="36" t="s">
        <v>33</v>
      </c>
      <c r="C34" s="37"/>
    </row>
    <row r="35" spans="1:3">
      <c r="A35" s="40" t="s">
        <v>73</v>
      </c>
      <c r="B35" s="36" t="s">
        <v>33</v>
      </c>
      <c r="C35" s="37"/>
    </row>
    <row r="36" spans="1:3">
      <c r="A36" s="40" t="s">
        <v>74</v>
      </c>
      <c r="B36" s="36" t="s">
        <v>33</v>
      </c>
      <c r="C36" s="37"/>
    </row>
    <row r="37" spans="1:3" ht="76.5">
      <c r="A37" s="40" t="s">
        <v>75</v>
      </c>
      <c r="B37" s="36" t="s">
        <v>33</v>
      </c>
      <c r="C37" s="48" t="s">
        <v>76</v>
      </c>
    </row>
    <row r="38" spans="1:3" ht="38.25">
      <c r="A38" s="40" t="s">
        <v>77</v>
      </c>
      <c r="B38" s="36" t="s">
        <v>33</v>
      </c>
      <c r="C38" s="48" t="s">
        <v>78</v>
      </c>
    </row>
    <row r="39" spans="1:3">
      <c r="A39" s="30" t="s">
        <v>79</v>
      </c>
      <c r="B39" s="54"/>
      <c r="C39" s="55"/>
    </row>
    <row r="40" spans="1:3" ht="25.5">
      <c r="A40" s="40" t="s">
        <v>80</v>
      </c>
      <c r="B40" s="36" t="s">
        <v>33</v>
      </c>
      <c r="C40" s="37"/>
    </row>
    <row r="41" spans="1:3">
      <c r="A41" s="40" t="s">
        <v>81</v>
      </c>
      <c r="B41" s="36" t="s">
        <v>33</v>
      </c>
      <c r="C41" s="37"/>
    </row>
    <row r="42" spans="1:3" ht="25.5">
      <c r="A42" s="40" t="s">
        <v>82</v>
      </c>
      <c r="B42" s="36" t="s">
        <v>33</v>
      </c>
      <c r="C42" s="37"/>
    </row>
    <row r="43" spans="1:3" ht="25.5">
      <c r="A43" s="40" t="s">
        <v>83</v>
      </c>
      <c r="B43" s="36" t="s">
        <v>33</v>
      </c>
      <c r="C43" s="37"/>
    </row>
    <row r="44" spans="1:3">
      <c r="A44" s="40" t="s">
        <v>84</v>
      </c>
      <c r="B44" s="36" t="s">
        <v>33</v>
      </c>
      <c r="C44" s="37"/>
    </row>
    <row r="45" spans="1:3" ht="25.5">
      <c r="A45" s="40" t="s">
        <v>85</v>
      </c>
      <c r="B45" s="36" t="s">
        <v>33</v>
      </c>
      <c r="C45" s="37"/>
    </row>
    <row r="46" spans="1:3">
      <c r="A46" s="30" t="s">
        <v>86</v>
      </c>
      <c r="B46" s="54"/>
      <c r="C46" s="55"/>
    </row>
    <row r="47" spans="1:3">
      <c r="A47" s="40" t="s">
        <v>3</v>
      </c>
      <c r="B47" s="36" t="s">
        <v>33</v>
      </c>
      <c r="C47" s="37"/>
    </row>
    <row r="48" spans="1:3">
      <c r="A48" s="40" t="s">
        <v>4</v>
      </c>
      <c r="B48" s="36" t="s">
        <v>33</v>
      </c>
      <c r="C48" s="37"/>
    </row>
    <row r="49" spans="1:3">
      <c r="A49" s="40" t="s">
        <v>5</v>
      </c>
      <c r="B49" s="36" t="s">
        <v>33</v>
      </c>
      <c r="C49" s="37"/>
    </row>
    <row r="50" spans="1:3">
      <c r="A50" s="40" t="s">
        <v>6</v>
      </c>
      <c r="B50" s="36" t="s">
        <v>33</v>
      </c>
      <c r="C50" s="37"/>
    </row>
    <row r="51" spans="1:3" ht="38.25">
      <c r="A51" s="40" t="s">
        <v>7</v>
      </c>
      <c r="B51" s="36" t="s">
        <v>60</v>
      </c>
      <c r="C51" s="37"/>
    </row>
    <row r="52" spans="1:3" ht="25.5">
      <c r="A52" s="40" t="s">
        <v>8</v>
      </c>
      <c r="B52" s="36" t="s">
        <v>33</v>
      </c>
      <c r="C52" s="60" t="s">
        <v>87</v>
      </c>
    </row>
    <row r="53" spans="1:3">
      <c r="A53" s="40" t="s">
        <v>9</v>
      </c>
      <c r="B53" s="36" t="s">
        <v>33</v>
      </c>
      <c r="C53" s="37"/>
    </row>
    <row r="54" spans="1:3" ht="38.25">
      <c r="A54" s="40" t="s">
        <v>10</v>
      </c>
      <c r="B54" s="36" t="s">
        <v>69</v>
      </c>
      <c r="C54" s="37"/>
    </row>
    <row r="55" spans="1:3" ht="25.5">
      <c r="A55" s="30" t="s">
        <v>88</v>
      </c>
      <c r="B55" s="54"/>
      <c r="C55" s="55"/>
    </row>
    <row r="56" spans="1:3" ht="25.5">
      <c r="A56" s="40" t="s">
        <v>89</v>
      </c>
      <c r="B56" s="36" t="s">
        <v>33</v>
      </c>
      <c r="C56" s="37"/>
    </row>
    <row r="57" spans="1:3" ht="25.5">
      <c r="A57" s="40" t="s">
        <v>90</v>
      </c>
      <c r="B57" s="36" t="s">
        <v>33</v>
      </c>
      <c r="C57" s="37"/>
    </row>
    <row r="58" spans="1:3" ht="25.5">
      <c r="A58" s="40" t="s">
        <v>91</v>
      </c>
      <c r="B58" s="36" t="s">
        <v>33</v>
      </c>
      <c r="C58" s="37"/>
    </row>
    <row r="59" spans="1:3" ht="25.5">
      <c r="A59" s="40" t="s">
        <v>92</v>
      </c>
      <c r="B59" s="36" t="s">
        <v>33</v>
      </c>
      <c r="C59" s="37"/>
    </row>
    <row r="60" spans="1:3">
      <c r="A60" s="40" t="s">
        <v>93</v>
      </c>
      <c r="B60" s="36" t="s">
        <v>94</v>
      </c>
      <c r="C60" s="37"/>
    </row>
    <row r="61" spans="1:3">
      <c r="A61" s="40" t="s">
        <v>95</v>
      </c>
      <c r="B61" s="36" t="s">
        <v>94</v>
      </c>
      <c r="C61" s="37"/>
    </row>
    <row r="62" spans="1:3" ht="63.75">
      <c r="A62" s="40" t="s">
        <v>96</v>
      </c>
      <c r="B62" s="36" t="s">
        <v>97</v>
      </c>
      <c r="C62" s="37"/>
    </row>
    <row r="63" spans="1:3" ht="25.5">
      <c r="A63" s="40" t="s">
        <v>98</v>
      </c>
      <c r="B63" s="36" t="s">
        <v>33</v>
      </c>
      <c r="C63" s="37"/>
    </row>
    <row r="64" spans="1:3" ht="25.5">
      <c r="A64" s="30" t="s">
        <v>99</v>
      </c>
      <c r="B64" s="54"/>
      <c r="C64" s="55"/>
    </row>
    <row r="65" spans="1:3" ht="25.5">
      <c r="A65" s="40" t="s">
        <v>100</v>
      </c>
      <c r="B65" s="36" t="s">
        <v>33</v>
      </c>
      <c r="C65" s="37"/>
    </row>
    <row r="66" spans="1:3" ht="25.5">
      <c r="A66" s="40" t="s">
        <v>101</v>
      </c>
      <c r="B66" s="36" t="s">
        <v>33</v>
      </c>
      <c r="C66" s="37"/>
    </row>
    <row r="67" spans="1:3" ht="25.5">
      <c r="A67" s="40" t="s">
        <v>102</v>
      </c>
      <c r="B67" s="36" t="s">
        <v>33</v>
      </c>
      <c r="C67" s="37"/>
    </row>
    <row r="68" spans="1:3" ht="25.5">
      <c r="A68" s="40" t="s">
        <v>103</v>
      </c>
      <c r="B68" s="36" t="s">
        <v>33</v>
      </c>
      <c r="C68" s="37"/>
    </row>
    <row r="69" spans="1:3">
      <c r="A69" s="40" t="s">
        <v>104</v>
      </c>
      <c r="B69" s="36" t="s">
        <v>94</v>
      </c>
      <c r="C69" s="37"/>
    </row>
    <row r="70" spans="1:3">
      <c r="A70" s="40" t="s">
        <v>105</v>
      </c>
      <c r="B70" s="36" t="s">
        <v>94</v>
      </c>
      <c r="C70" s="37"/>
    </row>
    <row r="71" spans="1:3" ht="63.75">
      <c r="A71" s="40" t="s">
        <v>106</v>
      </c>
      <c r="B71" s="36" t="s">
        <v>97</v>
      </c>
      <c r="C71" s="37"/>
    </row>
    <row r="72" spans="1:3" ht="25.5">
      <c r="A72" s="40" t="s">
        <v>107</v>
      </c>
      <c r="B72" s="36" t="s">
        <v>33</v>
      </c>
      <c r="C72" s="37"/>
    </row>
    <row r="73" spans="1:3">
      <c r="A73" s="30" t="s">
        <v>108</v>
      </c>
      <c r="B73" s="54"/>
      <c r="C73" s="55"/>
    </row>
    <row r="74" spans="1:3">
      <c r="A74" s="40" t="s">
        <v>109</v>
      </c>
      <c r="B74" s="36" t="s">
        <v>94</v>
      </c>
      <c r="C74" s="37"/>
    </row>
    <row r="75" spans="1:3" ht="51">
      <c r="A75" s="40" t="s">
        <v>110</v>
      </c>
      <c r="B75" s="36" t="s">
        <v>94</v>
      </c>
      <c r="C75" s="48" t="s">
        <v>111</v>
      </c>
    </row>
    <row r="76" spans="1:3">
      <c r="A76" s="40" t="s">
        <v>112</v>
      </c>
      <c r="B76" s="36" t="s">
        <v>94</v>
      </c>
      <c r="C76" s="37"/>
    </row>
    <row r="77" spans="1:3">
      <c r="A77" s="40" t="s">
        <v>113</v>
      </c>
      <c r="B77" s="36" t="s">
        <v>94</v>
      </c>
      <c r="C77" s="37"/>
    </row>
    <row r="78" spans="1:3">
      <c r="A78" s="40" t="s">
        <v>114</v>
      </c>
      <c r="B78" s="36" t="s">
        <v>94</v>
      </c>
      <c r="C78" s="37"/>
    </row>
    <row r="79" spans="1:3">
      <c r="A79" s="30" t="s">
        <v>115</v>
      </c>
      <c r="B79" s="54"/>
      <c r="C79" s="55"/>
    </row>
    <row r="80" spans="1:3">
      <c r="A80" s="40" t="s">
        <v>116</v>
      </c>
      <c r="B80" s="36" t="s">
        <v>94</v>
      </c>
      <c r="C80" s="37"/>
    </row>
    <row r="81" spans="1:3" ht="63.75">
      <c r="A81" s="40" t="s">
        <v>117</v>
      </c>
      <c r="B81" s="36" t="s">
        <v>94</v>
      </c>
      <c r="C81" s="48" t="s">
        <v>118</v>
      </c>
    </row>
    <row r="82" spans="1:3">
      <c r="A82" s="40" t="s">
        <v>119</v>
      </c>
      <c r="B82" s="36" t="s">
        <v>94</v>
      </c>
      <c r="C82" s="37"/>
    </row>
    <row r="83" spans="1:3" ht="25.5">
      <c r="A83" s="40" t="s">
        <v>120</v>
      </c>
      <c r="B83" s="36" t="s">
        <v>94</v>
      </c>
      <c r="C83" s="48" t="s">
        <v>121</v>
      </c>
    </row>
    <row r="84" spans="1:3">
      <c r="A84" s="40" t="s">
        <v>122</v>
      </c>
      <c r="B84" s="36" t="s">
        <v>94</v>
      </c>
      <c r="C84" s="37"/>
    </row>
    <row r="85" spans="1:3">
      <c r="A85" s="40" t="s">
        <v>123</v>
      </c>
      <c r="B85" s="36" t="s">
        <v>94</v>
      </c>
      <c r="C85" s="37"/>
    </row>
    <row r="86" spans="1:3">
      <c r="A86" s="40" t="s">
        <v>124</v>
      </c>
      <c r="B86" s="36" t="s">
        <v>94</v>
      </c>
      <c r="C86" s="37"/>
    </row>
    <row r="87" spans="1:3">
      <c r="A87" s="40" t="s">
        <v>125</v>
      </c>
      <c r="B87" s="36" t="s">
        <v>94</v>
      </c>
      <c r="C87" s="37"/>
    </row>
    <row r="88" spans="1:3">
      <c r="A88" s="40" t="s">
        <v>126</v>
      </c>
      <c r="B88" s="36" t="s">
        <v>94</v>
      </c>
      <c r="C88" s="37"/>
    </row>
    <row r="89" spans="1:3">
      <c r="A89" s="40" t="s">
        <v>127</v>
      </c>
      <c r="B89" s="36" t="s">
        <v>94</v>
      </c>
      <c r="C89" s="37"/>
    </row>
    <row r="90" spans="1:3">
      <c r="A90" s="40" t="s">
        <v>128</v>
      </c>
      <c r="B90" s="36" t="s">
        <v>94</v>
      </c>
      <c r="C90" s="37"/>
    </row>
    <row r="91" spans="1:3">
      <c r="A91" s="40" t="s">
        <v>129</v>
      </c>
      <c r="B91" s="36" t="s">
        <v>94</v>
      </c>
      <c r="C91" s="37"/>
    </row>
    <row r="92" spans="1:3">
      <c r="A92" s="40" t="s">
        <v>130</v>
      </c>
      <c r="B92" s="36" t="s">
        <v>94</v>
      </c>
      <c r="C92" s="37"/>
    </row>
    <row r="93" spans="1:3" ht="25.5">
      <c r="A93" s="40" t="s">
        <v>131</v>
      </c>
      <c r="B93" s="36" t="s">
        <v>94</v>
      </c>
      <c r="C93" s="37"/>
    </row>
    <row r="94" spans="1:3" ht="25.5">
      <c r="A94" s="40" t="s">
        <v>132</v>
      </c>
      <c r="B94" s="36" t="s">
        <v>94</v>
      </c>
      <c r="C94" s="37"/>
    </row>
    <row r="95" spans="1:3" ht="25.5">
      <c r="A95" s="40" t="s">
        <v>133</v>
      </c>
      <c r="B95" s="36" t="s">
        <v>94</v>
      </c>
      <c r="C95" s="48" t="s">
        <v>134</v>
      </c>
    </row>
    <row r="96" spans="1:3">
      <c r="A96" s="30" t="s">
        <v>135</v>
      </c>
      <c r="B96" s="54"/>
      <c r="C96" s="55"/>
    </row>
    <row r="97" spans="1:3">
      <c r="A97" s="40" t="s">
        <v>136</v>
      </c>
      <c r="B97" s="36" t="s">
        <v>94</v>
      </c>
      <c r="C97" s="37"/>
    </row>
    <row r="98" spans="1:3">
      <c r="A98" s="40" t="s">
        <v>137</v>
      </c>
      <c r="B98" s="36" t="s">
        <v>94</v>
      </c>
      <c r="C98" s="37"/>
    </row>
    <row r="99" spans="1:3">
      <c r="A99" s="40" t="s">
        <v>138</v>
      </c>
      <c r="B99" s="36" t="s">
        <v>94</v>
      </c>
      <c r="C99" s="37"/>
    </row>
    <row r="100" spans="1:3">
      <c r="A100" s="40" t="s">
        <v>139</v>
      </c>
      <c r="B100" s="36" t="s">
        <v>94</v>
      </c>
      <c r="C100" s="37"/>
    </row>
    <row r="101" spans="1:3">
      <c r="A101" s="40" t="s">
        <v>140</v>
      </c>
      <c r="B101" s="36" t="s">
        <v>94</v>
      </c>
      <c r="C101" s="37"/>
    </row>
    <row r="102" spans="1:3">
      <c r="A102" s="30" t="s">
        <v>141</v>
      </c>
      <c r="B102" s="54"/>
      <c r="C102" s="55"/>
    </row>
    <row r="103" spans="1:3">
      <c r="A103" s="40" t="s">
        <v>142</v>
      </c>
      <c r="B103" s="36" t="s">
        <v>94</v>
      </c>
      <c r="C103" s="37"/>
    </row>
    <row r="104" spans="1:3">
      <c r="A104" s="40" t="s">
        <v>143</v>
      </c>
      <c r="B104" s="36" t="s">
        <v>33</v>
      </c>
      <c r="C104" s="37"/>
    </row>
    <row r="105" spans="1:3">
      <c r="A105" s="30" t="s">
        <v>144</v>
      </c>
      <c r="B105" s="54"/>
      <c r="C105" s="55"/>
    </row>
    <row r="106" spans="1:3">
      <c r="A106" s="40" t="s">
        <v>145</v>
      </c>
      <c r="B106" s="36" t="s">
        <v>33</v>
      </c>
      <c r="C106" s="37"/>
    </row>
    <row r="107" spans="1:3">
      <c r="A107" s="40" t="s">
        <v>146</v>
      </c>
      <c r="B107" s="36" t="s">
        <v>33</v>
      </c>
      <c r="C107" s="37"/>
    </row>
    <row r="108" spans="1:3">
      <c r="A108" s="40" t="s">
        <v>147</v>
      </c>
      <c r="B108" s="36" t="s">
        <v>33</v>
      </c>
      <c r="C108" s="37"/>
    </row>
    <row r="109" spans="1:3">
      <c r="A109" s="40" t="s">
        <v>148</v>
      </c>
      <c r="B109" s="36" t="s">
        <v>33</v>
      </c>
      <c r="C109" s="37"/>
    </row>
    <row r="110" spans="1:3">
      <c r="A110" s="40" t="s">
        <v>149</v>
      </c>
      <c r="B110" s="36" t="s">
        <v>33</v>
      </c>
      <c r="C110" s="37"/>
    </row>
    <row r="111" spans="1:3">
      <c r="A111" s="40" t="s">
        <v>150</v>
      </c>
      <c r="B111" s="36" t="s">
        <v>33</v>
      </c>
      <c r="C111" s="37"/>
    </row>
    <row r="112" spans="1:3">
      <c r="A112" s="30" t="s">
        <v>151</v>
      </c>
      <c r="B112" s="54"/>
      <c r="C112" s="55"/>
    </row>
    <row r="113" spans="1:3">
      <c r="A113" s="40" t="s">
        <v>152</v>
      </c>
      <c r="B113" s="36" t="s">
        <v>33</v>
      </c>
      <c r="C113" s="37"/>
    </row>
    <row r="114" spans="1:3">
      <c r="A114" s="40" t="s">
        <v>153</v>
      </c>
      <c r="B114" s="36" t="s">
        <v>33</v>
      </c>
      <c r="C114" s="37"/>
    </row>
    <row r="115" spans="1:3">
      <c r="A115" s="40" t="s">
        <v>154</v>
      </c>
      <c r="B115" s="36" t="s">
        <v>33</v>
      </c>
      <c r="C115" s="37"/>
    </row>
    <row r="116" spans="1:3">
      <c r="A116" s="30" t="s">
        <v>155</v>
      </c>
      <c r="B116" s="54"/>
      <c r="C116" s="55"/>
    </row>
    <row r="117" spans="1:3" ht="25.5">
      <c r="A117" s="40" t="s">
        <v>156</v>
      </c>
      <c r="B117" s="36" t="s">
        <v>33</v>
      </c>
      <c r="C117" s="37"/>
    </row>
    <row r="118" spans="1:3">
      <c r="A118" s="40" t="s">
        <v>157</v>
      </c>
      <c r="B118" s="36" t="s">
        <v>33</v>
      </c>
      <c r="C118" s="37"/>
    </row>
    <row r="119" spans="1:3">
      <c r="A119" s="40" t="s">
        <v>158</v>
      </c>
      <c r="B119" s="36" t="s">
        <v>33</v>
      </c>
      <c r="C119" s="37"/>
    </row>
    <row r="120" spans="1:3">
      <c r="A120" s="30" t="s">
        <v>159</v>
      </c>
      <c r="B120" s="54"/>
      <c r="C120" s="55"/>
    </row>
    <row r="121" spans="1:3">
      <c r="A121" s="40" t="s">
        <v>160</v>
      </c>
      <c r="B121" s="36" t="s">
        <v>161</v>
      </c>
      <c r="C121" s="37"/>
    </row>
    <row r="122" spans="1:3">
      <c r="A122" s="40" t="s">
        <v>162</v>
      </c>
      <c r="B122" s="36" t="s">
        <v>163</v>
      </c>
      <c r="C122" s="37"/>
    </row>
    <row r="123" spans="1:3">
      <c r="A123" s="30" t="s">
        <v>164</v>
      </c>
      <c r="B123" s="54"/>
      <c r="C123" s="55"/>
    </row>
    <row r="124" spans="1:3">
      <c r="A124" s="40" t="s">
        <v>165</v>
      </c>
      <c r="B124" s="36" t="s">
        <v>94</v>
      </c>
      <c r="C124" s="37"/>
    </row>
    <row r="125" spans="1:3">
      <c r="A125" s="40" t="s">
        <v>166</v>
      </c>
      <c r="B125" s="36" t="s">
        <v>94</v>
      </c>
      <c r="C125" s="37"/>
    </row>
    <row r="126" spans="1:3" ht="25.5">
      <c r="A126" s="30" t="s">
        <v>167</v>
      </c>
      <c r="B126" s="54"/>
      <c r="C126" s="55"/>
    </row>
    <row r="127" spans="1:3">
      <c r="A127" s="40" t="s">
        <v>168</v>
      </c>
      <c r="B127" s="36" t="s">
        <v>94</v>
      </c>
      <c r="C127" s="37"/>
    </row>
    <row r="128" spans="1:3">
      <c r="A128" s="40" t="s">
        <v>169</v>
      </c>
      <c r="B128" s="36" t="s">
        <v>94</v>
      </c>
      <c r="C128" s="37"/>
    </row>
    <row r="129" spans="1:3">
      <c r="A129" s="30" t="s">
        <v>170</v>
      </c>
      <c r="B129" s="54"/>
      <c r="C129" s="55"/>
    </row>
    <row r="130" spans="1:3" ht="51">
      <c r="A130" s="40" t="s">
        <v>171</v>
      </c>
      <c r="B130" s="69" t="s">
        <v>172</v>
      </c>
      <c r="C130" s="37"/>
    </row>
    <row r="131" spans="1:3" ht="51">
      <c r="A131" s="40" t="s">
        <v>173</v>
      </c>
      <c r="B131" s="69" t="s">
        <v>172</v>
      </c>
      <c r="C131" s="37"/>
    </row>
    <row r="132" spans="1:3" ht="51">
      <c r="A132" s="40" t="s">
        <v>174</v>
      </c>
      <c r="B132" s="69" t="s">
        <v>172</v>
      </c>
      <c r="C132" s="37"/>
    </row>
    <row r="133" spans="1:3" ht="38.25">
      <c r="A133" s="40" t="s">
        <v>175</v>
      </c>
      <c r="B133" s="69" t="s">
        <v>176</v>
      </c>
      <c r="C133" s="37"/>
    </row>
    <row r="134" spans="1:3">
      <c r="A134" s="40" t="s">
        <v>177</v>
      </c>
      <c r="B134" s="69" t="s">
        <v>178</v>
      </c>
      <c r="C134" s="37"/>
    </row>
    <row r="135" spans="1:3">
      <c r="A135" s="40" t="s">
        <v>179</v>
      </c>
      <c r="B135" s="69" t="s">
        <v>180</v>
      </c>
      <c r="C135" s="37"/>
    </row>
    <row r="136" spans="1:3">
      <c r="A136" s="40" t="s">
        <v>181</v>
      </c>
      <c r="B136" s="69" t="s">
        <v>182</v>
      </c>
      <c r="C136" s="37"/>
    </row>
    <row r="137" spans="1:3">
      <c r="A137" s="40" t="s">
        <v>183</v>
      </c>
      <c r="B137" s="69" t="s">
        <v>184</v>
      </c>
      <c r="C137" s="37"/>
    </row>
    <row r="138" spans="1:3">
      <c r="A138" s="40" t="s">
        <v>185</v>
      </c>
      <c r="B138" s="69" t="s">
        <v>186</v>
      </c>
      <c r="C138" s="37"/>
    </row>
    <row r="139" spans="1:3">
      <c r="A139" s="40" t="s">
        <v>187</v>
      </c>
      <c r="B139" s="69" t="s">
        <v>186</v>
      </c>
      <c r="C139" s="37"/>
    </row>
    <row r="140" spans="1:3">
      <c r="A140" s="40" t="s">
        <v>188</v>
      </c>
      <c r="B140" s="69" t="s">
        <v>186</v>
      </c>
      <c r="C140" s="37"/>
    </row>
    <row r="141" spans="1:3">
      <c r="A141" s="30" t="s">
        <v>189</v>
      </c>
      <c r="B141" s="54"/>
      <c r="C141" s="55"/>
    </row>
    <row r="142" spans="1:3">
      <c r="A142" s="40" t="s">
        <v>190</v>
      </c>
      <c r="B142" s="36" t="s">
        <v>33</v>
      </c>
      <c r="C142" s="37"/>
    </row>
    <row r="143" spans="1:3">
      <c r="A143" s="40" t="s">
        <v>191</v>
      </c>
      <c r="B143" s="36" t="s">
        <v>33</v>
      </c>
      <c r="C143" s="37"/>
    </row>
    <row r="144" spans="1:3">
      <c r="A144" s="30" t="s">
        <v>192</v>
      </c>
      <c r="B144" s="54"/>
      <c r="C144" s="55"/>
    </row>
    <row r="145" spans="1:3">
      <c r="A145" s="40" t="s">
        <v>193</v>
      </c>
      <c r="B145" s="36" t="s">
        <v>33</v>
      </c>
      <c r="C145" s="37"/>
    </row>
    <row r="146" spans="1:3">
      <c r="A146" s="40" t="s">
        <v>194</v>
      </c>
      <c r="B146" s="36" t="s">
        <v>33</v>
      </c>
      <c r="C146" s="37"/>
    </row>
    <row r="147" spans="1:3">
      <c r="A147" s="40" t="s">
        <v>195</v>
      </c>
      <c r="B147" s="36" t="s">
        <v>33</v>
      </c>
      <c r="C147" s="37"/>
    </row>
    <row r="148" spans="1:3">
      <c r="A148" s="40" t="s">
        <v>196</v>
      </c>
      <c r="B148" s="36" t="s">
        <v>33</v>
      </c>
      <c r="C148" s="37"/>
    </row>
    <row r="149" spans="1:3">
      <c r="A149" s="40" t="s">
        <v>197</v>
      </c>
      <c r="B149" s="36" t="s">
        <v>33</v>
      </c>
      <c r="C149" s="37"/>
    </row>
    <row r="150" spans="1:3">
      <c r="A150" s="40" t="s">
        <v>198</v>
      </c>
      <c r="B150" s="36" t="s">
        <v>33</v>
      </c>
      <c r="C150" s="37"/>
    </row>
    <row r="151" spans="1:3">
      <c r="A151" s="40" t="s">
        <v>199</v>
      </c>
      <c r="B151" s="36" t="s">
        <v>33</v>
      </c>
      <c r="C151" s="37"/>
    </row>
    <row r="152" spans="1:3">
      <c r="A152" s="40" t="s">
        <v>200</v>
      </c>
      <c r="B152" s="36" t="s">
        <v>33</v>
      </c>
      <c r="C152" s="37"/>
    </row>
    <row r="153" spans="1:3">
      <c r="A153" s="40" t="s">
        <v>201</v>
      </c>
      <c r="B153" s="36" t="s">
        <v>33</v>
      </c>
      <c r="C153" s="37"/>
    </row>
    <row r="154" spans="1:3">
      <c r="A154" s="40" t="s">
        <v>202</v>
      </c>
      <c r="B154" s="36" t="s">
        <v>33</v>
      </c>
      <c r="C154" s="37"/>
    </row>
    <row r="155" spans="1:3" ht="25.5">
      <c r="A155" s="40" t="s">
        <v>203</v>
      </c>
      <c r="B155" s="36" t="s">
        <v>33</v>
      </c>
      <c r="C155" s="37"/>
    </row>
    <row r="156" spans="1:3">
      <c r="A156" s="40" t="s">
        <v>204</v>
      </c>
      <c r="B156" s="36" t="s">
        <v>33</v>
      </c>
      <c r="C156" s="37"/>
    </row>
    <row r="241" spans="5:7" ht="15">
      <c r="E241" s="29"/>
      <c r="F241" s="29"/>
      <c r="G241" s="29"/>
    </row>
    <row r="242" spans="5:7" ht="15">
      <c r="E242" s="29"/>
      <c r="F242" s="29"/>
      <c r="G242" s="29"/>
    </row>
    <row r="243" spans="5:7" ht="15">
      <c r="E243" s="29"/>
      <c r="F243" s="29"/>
      <c r="G243" s="70"/>
    </row>
    <row r="244" spans="5:7" ht="15">
      <c r="E244" s="29"/>
      <c r="F244" s="29"/>
      <c r="G244" s="70"/>
    </row>
    <row r="245" spans="5:7" ht="15">
      <c r="E245" s="29"/>
      <c r="F245" s="29"/>
      <c r="G245" s="70"/>
    </row>
    <row r="246" spans="5:7" ht="15">
      <c r="E246" s="29"/>
      <c r="F246" s="29"/>
      <c r="G246" s="70"/>
    </row>
    <row r="247" spans="5:7" ht="15">
      <c r="E247" s="29"/>
      <c r="F247" s="29"/>
      <c r="G247" s="70"/>
    </row>
    <row r="248" spans="5:7" ht="15">
      <c r="E248" s="29"/>
      <c r="F248" s="29"/>
      <c r="G248" s="70"/>
    </row>
    <row r="249" spans="5:7" ht="15">
      <c r="E249" s="29"/>
      <c r="F249" s="29"/>
      <c r="G249" s="70"/>
    </row>
    <row r="250" spans="5:7" ht="15">
      <c r="E250" s="29"/>
      <c r="F250" s="29"/>
      <c r="G250" s="70"/>
    </row>
    <row r="251" spans="5:7" ht="15">
      <c r="E251" s="29"/>
      <c r="F251" s="29"/>
      <c r="G251" s="70"/>
    </row>
    <row r="252" spans="5:7" ht="15">
      <c r="E252" s="29"/>
      <c r="F252" s="29"/>
      <c r="G252" s="70"/>
    </row>
    <row r="253" spans="5:7" ht="15">
      <c r="E253" s="29"/>
      <c r="F253" s="29"/>
      <c r="G253" s="70"/>
    </row>
    <row r="254" spans="5:7" ht="15">
      <c r="E254" s="29"/>
      <c r="F254" s="29"/>
      <c r="G254" s="70"/>
    </row>
    <row r="255" spans="5:7" ht="15">
      <c r="E255" s="29"/>
      <c r="F255" s="29"/>
      <c r="G255" s="70"/>
    </row>
    <row r="256" spans="5:7" ht="15">
      <c r="E256" s="29"/>
      <c r="F256" s="29"/>
      <c r="G256" s="70"/>
    </row>
    <row r="257" spans="5:7" ht="15">
      <c r="E257" s="29"/>
      <c r="F257" s="29"/>
      <c r="G257" s="70"/>
    </row>
    <row r="258" spans="5:7" ht="15">
      <c r="E258" s="29"/>
      <c r="F258" s="29"/>
      <c r="G258" s="70"/>
    </row>
    <row r="259" spans="5:7" ht="15">
      <c r="E259" s="29"/>
      <c r="F259" s="29"/>
      <c r="G259" s="70"/>
    </row>
    <row r="260" spans="5:7" ht="15">
      <c r="E260" s="29"/>
      <c r="F260" s="29"/>
      <c r="G260" s="70"/>
    </row>
    <row r="261" spans="5:7" ht="15">
      <c r="E261" s="29"/>
      <c r="F261" s="29"/>
      <c r="G261" s="70"/>
    </row>
    <row r="262" spans="5:7" ht="15">
      <c r="E262" s="29"/>
      <c r="F262" s="29"/>
      <c r="G262" s="70"/>
    </row>
    <row r="263" spans="5:7" ht="15">
      <c r="E263" s="29"/>
      <c r="F263" s="29"/>
      <c r="G263" s="70"/>
    </row>
    <row r="264" spans="5:7" ht="15">
      <c r="E264" s="29"/>
      <c r="F264" s="29"/>
      <c r="G264" s="70"/>
    </row>
    <row r="265" spans="5:7" ht="15">
      <c r="E265" s="29"/>
      <c r="F265" s="29"/>
      <c r="G265" s="70"/>
    </row>
    <row r="266" spans="5:7" ht="15">
      <c r="E266" s="29"/>
      <c r="F266" s="29"/>
      <c r="G266" s="29"/>
    </row>
    <row r="267" spans="5:7" ht="15">
      <c r="E267" s="29"/>
      <c r="F267" s="29"/>
      <c r="G267" s="29"/>
    </row>
    <row r="268" spans="5:7" ht="15">
      <c r="E268" s="29"/>
      <c r="F268" s="29"/>
      <c r="G268" s="29"/>
    </row>
    <row r="269" spans="5:7" ht="15">
      <c r="E269" s="29"/>
      <c r="F269" s="29"/>
      <c r="G269" s="29"/>
    </row>
    <row r="270" spans="5:7" ht="15">
      <c r="E270" s="29"/>
      <c r="F270" s="29"/>
      <c r="G270" s="29"/>
    </row>
    <row r="271" spans="5:7" ht="15">
      <c r="E271" s="29"/>
      <c r="F271" s="29"/>
      <c r="G271" s="29"/>
    </row>
    <row r="272" spans="5:7" ht="15">
      <c r="E272" s="29"/>
      <c r="F272" s="29"/>
      <c r="G272" s="29"/>
    </row>
    <row r="353" spans="5:5" ht="15">
      <c r="E353" s="29"/>
    </row>
    <row r="354" spans="5:5" ht="15">
      <c r="E354" s="29"/>
    </row>
    <row r="355" spans="5:5" ht="15">
      <c r="E355" s="29"/>
    </row>
    <row r="356" spans="5:5" ht="15">
      <c r="E356" s="29"/>
    </row>
    <row r="358" spans="5:5" ht="15">
      <c r="E358" s="29"/>
    </row>
    <row r="360" spans="5:5" ht="15">
      <c r="E360" s="29"/>
    </row>
    <row r="362" spans="5:5" ht="15">
      <c r="E362" s="29"/>
    </row>
    <row r="365" spans="5:5" ht="15">
      <c r="E365" s="29"/>
    </row>
    <row r="366" spans="5:5" ht="15">
      <c r="E366" s="29"/>
    </row>
    <row r="367" spans="5:5" ht="15">
      <c r="E367" s="29"/>
    </row>
    <row r="368" spans="5:5" ht="15">
      <c r="E368" s="29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5"/>
  <sheetViews>
    <sheetView topLeftCell="H10" workbookViewId="0">
      <selection activeCell="R45" sqref="R45"/>
    </sheetView>
  </sheetViews>
  <sheetFormatPr defaultColWidth="9" defaultRowHeight="15"/>
  <cols>
    <col min="1" max="1" width="2" customWidth="1"/>
    <col min="2" max="2" width="11.5703125" customWidth="1"/>
    <col min="3" max="3" width="57.85546875" style="2" customWidth="1"/>
    <col min="4" max="4" width="10.85546875" customWidth="1"/>
    <col min="5" max="5" width="10.42578125" customWidth="1"/>
    <col min="6" max="6" width="11.85546875" customWidth="1"/>
    <col min="7" max="7" width="29.140625" customWidth="1"/>
    <col min="8" max="8" width="29.140625" style="2" customWidth="1"/>
    <col min="9" max="9" width="12.7109375" customWidth="1"/>
    <col min="10" max="10" width="19.7109375" customWidth="1"/>
    <col min="11" max="11" width="2.7109375" customWidth="1"/>
    <col min="13" max="13" width="52.85546875" style="2" customWidth="1"/>
    <col min="16" max="16" width="2.28515625" customWidth="1"/>
    <col min="18" max="18" width="61.7109375" style="2" bestFit="1" customWidth="1"/>
    <col min="21" max="21" width="1.42578125" customWidth="1"/>
    <col min="22" max="22" width="8.140625" customWidth="1"/>
    <col min="23" max="23" width="58" customWidth="1"/>
    <col min="26" max="26" width="1.28515625" customWidth="1"/>
    <col min="28" max="28" width="55.42578125" style="2" customWidth="1"/>
    <col min="31" max="31" width="1.7109375" customWidth="1"/>
    <col min="33" max="33" width="20.28515625" customWidth="1"/>
  </cols>
  <sheetData>
    <row r="1" spans="2:10">
      <c r="C1" s="3"/>
    </row>
    <row r="2" spans="2:10">
      <c r="C2" s="4" t="s">
        <v>205</v>
      </c>
      <c r="D2" s="5" t="s">
        <v>206</v>
      </c>
      <c r="E2" s="5" t="s">
        <v>207</v>
      </c>
      <c r="F2" s="5" t="s">
        <v>208</v>
      </c>
      <c r="G2" s="5" t="s">
        <v>209</v>
      </c>
      <c r="H2" s="4" t="s">
        <v>210</v>
      </c>
      <c r="I2" s="15" t="s">
        <v>211</v>
      </c>
    </row>
    <row r="3" spans="2:10">
      <c r="C3" s="6" t="str">
        <f>MID('Stock Item'!$D$2,4,1)</f>
        <v>B</v>
      </c>
      <c r="D3" s="3" t="str">
        <f>MID('Stock Item'!$D$2,6,2)</f>
        <v>8N</v>
      </c>
      <c r="E3" s="6" t="str">
        <f>MID('Stock Item'!$D$2,3,1)</f>
        <v>A</v>
      </c>
      <c r="F3" s="6" t="str">
        <f>MID('Stock Item'!$D$2,7,1)</f>
        <v>N</v>
      </c>
      <c r="G3" s="2" t="str">
        <f>MID('Stock Item'!$D$2,8,2)</f>
        <v>30</v>
      </c>
      <c r="H3" s="6" t="str">
        <f>MID('Stock Item'!$D$2,10,11)</f>
        <v/>
      </c>
      <c r="I3" t="str">
        <f>MID('Stock Item'!$D$2,2,1)</f>
        <v>G</v>
      </c>
    </row>
    <row r="4" spans="2:10">
      <c r="D4" s="7" t="str">
        <f>CONCATENATE($D$3,$F$3)</f>
        <v>8NN</v>
      </c>
      <c r="G4" s="7" t="str">
        <f>CONCATENATE(G3,H4)</f>
        <v>30-</v>
      </c>
      <c r="H4" s="2" t="str">
        <f>CONCATENATE($H$3,"-")</f>
        <v>-</v>
      </c>
    </row>
    <row r="5" spans="2:10">
      <c r="J5" t="str">
        <f>CONCATENATE('Stock Item'!D2)</f>
        <v>NGAB08N30</v>
      </c>
    </row>
    <row r="6" spans="2:10" ht="30">
      <c r="B6" s="4" t="s">
        <v>212</v>
      </c>
      <c r="C6" s="8" t="str">
        <f>VLOOKUP($C$3,$B$23:$E$68,2,0)</f>
        <v xml:space="preserve">Trim-O-50 I-37.5 H-22.5mm 0.5W Black NGWR8W (OUCHI) </v>
      </c>
      <c r="D6" s="9" t="e">
        <f>VLOOKUP($D$4,G23:$J$96,2,0)</f>
        <v>#N/A</v>
      </c>
      <c r="E6" s="9" t="str">
        <f>VLOOKUP($E$3,$L$23:$O$68,2,0)</f>
        <v>Refl.O-39 H-14.8 L-23mm 0.5W -Silver NGWR8W (OUCHI)</v>
      </c>
      <c r="F6" s="9" t="str">
        <f>VLOOKUP($F$3,$Q$23:$T$68,2,0)</f>
        <v xml:space="preserve">Lens-O-24.8 H-12.9 L-8.5mm 24°-PMMA 0.5W NGWR8W (OUCHI) </v>
      </c>
      <c r="G6" s="9" t="str">
        <f>VLOOKUP($G$4,$V$23:$Y$68,2,0)</f>
        <v>COB 12&amp;15W 3000K 12LED 36V 350mA 13.5x13.5mm CRI-90</v>
      </c>
      <c r="H6" s="10" t="str">
        <f>VLOOKUP($H$4,$AA$23:$AD$68,2,0)</f>
        <v>PS 8W 200MA 36V LPF (PCB MT43-8-12W-V2 LPF)</v>
      </c>
      <c r="I6" s="10" t="e">
        <f>VLOOKUP($I$3,AF23:$AI$96,2,0)</f>
        <v>#N/A</v>
      </c>
    </row>
    <row r="7" spans="2:10" ht="30">
      <c r="B7" s="4" t="s">
        <v>213</v>
      </c>
      <c r="C7" s="8">
        <f>VLOOKUP($C$3,$B$23:$E$68,4,0)</f>
        <v>0</v>
      </c>
      <c r="D7" s="9" t="e">
        <f>VLOOKUP($D$4,G23:$J$96,4,0)</f>
        <v>#N/A</v>
      </c>
      <c r="E7" s="9">
        <f>VLOOKUP($E$3,$L$23:$O$68,4,0)</f>
        <v>0</v>
      </c>
      <c r="F7" s="9">
        <f>VLOOKUP($F$3,$Q$23:$T$68,4,0)</f>
        <v>0</v>
      </c>
      <c r="G7" s="9">
        <f>VLOOKUP($G$4,$V$23:$Y$68,4,0)</f>
        <v>0</v>
      </c>
      <c r="H7" s="10">
        <f>VLOOKUP($H$4,$AA$23:$AD$68,4,0)</f>
        <v>0</v>
      </c>
      <c r="I7" s="10" t="e">
        <f>VLOOKUP($I$3,$AF$23:$AI$96,4,0)</f>
        <v>#N/A</v>
      </c>
    </row>
    <row r="8" spans="2:10" ht="45">
      <c r="B8" s="4" t="s">
        <v>214</v>
      </c>
      <c r="C8" s="8">
        <f>VLOOKUP($C$3,$B$23:$E$68,3,0)</f>
        <v>0</v>
      </c>
      <c r="D8" s="9" t="e">
        <f>VLOOKUP($D$4,G23:$J$96,3,0)</f>
        <v>#N/A</v>
      </c>
      <c r="E8" s="9">
        <f>VLOOKUP($E$3,$L$23:$O$68,3,0)</f>
        <v>0</v>
      </c>
      <c r="F8" s="9">
        <f>VLOOKUP($F$3,$Q$23:$T$68,3,0)</f>
        <v>0</v>
      </c>
      <c r="G8" s="9">
        <f>VLOOKUP($G$4,$V$23:$Y$68,3,0)</f>
        <v>0</v>
      </c>
      <c r="H8" s="10">
        <f>VLOOKUP($H$4,$AA$23:$AD$68,3,0)</f>
        <v>0</v>
      </c>
      <c r="I8" s="10" t="e">
        <f>VLOOKUP($I$3,$AF$23:$AI$96,3,0)</f>
        <v>#N/A</v>
      </c>
    </row>
    <row r="9" spans="2:10">
      <c r="J9" s="16" t="s">
        <v>215</v>
      </c>
    </row>
    <row r="19" spans="2:35" ht="13.9" customHeight="1"/>
    <row r="21" spans="2:35">
      <c r="B21" s="106" t="s">
        <v>205</v>
      </c>
      <c r="C21" s="107"/>
      <c r="D21" s="107"/>
      <c r="E21" s="107"/>
      <c r="G21" s="106" t="s">
        <v>206</v>
      </c>
      <c r="H21" s="107"/>
      <c r="I21" s="107"/>
      <c r="J21" s="107"/>
      <c r="L21" s="106" t="s">
        <v>207</v>
      </c>
      <c r="M21" s="107"/>
      <c r="N21" s="107"/>
      <c r="O21" s="107"/>
      <c r="Q21" s="106" t="s">
        <v>208</v>
      </c>
      <c r="R21" s="107"/>
      <c r="S21" s="107"/>
      <c r="T21" s="107"/>
      <c r="V21" s="106" t="s">
        <v>216</v>
      </c>
      <c r="W21" s="107"/>
      <c r="X21" s="107"/>
      <c r="Y21" s="107"/>
      <c r="AA21" s="101" t="s">
        <v>210</v>
      </c>
      <c r="AB21" s="102"/>
      <c r="AC21" s="102"/>
      <c r="AD21" s="103"/>
      <c r="AF21" s="101" t="s">
        <v>211</v>
      </c>
      <c r="AG21" s="102"/>
      <c r="AH21" s="102"/>
      <c r="AI21" s="103"/>
    </row>
    <row r="22" spans="2:35">
      <c r="B22" s="12" t="s">
        <v>217</v>
      </c>
      <c r="C22" s="13" t="s">
        <v>218</v>
      </c>
      <c r="D22" s="12" t="s">
        <v>219</v>
      </c>
      <c r="E22" s="12" t="s">
        <v>220</v>
      </c>
      <c r="G22" s="12" t="s">
        <v>217</v>
      </c>
      <c r="H22" s="13" t="s">
        <v>218</v>
      </c>
      <c r="I22" s="12" t="s">
        <v>219</v>
      </c>
      <c r="J22" s="12" t="s">
        <v>220</v>
      </c>
      <c r="L22" s="12" t="s">
        <v>217</v>
      </c>
      <c r="M22" s="13" t="s">
        <v>218</v>
      </c>
      <c r="N22" s="12" t="s">
        <v>219</v>
      </c>
      <c r="O22" s="12" t="s">
        <v>220</v>
      </c>
      <c r="Q22" s="12" t="s">
        <v>217</v>
      </c>
      <c r="R22" s="13" t="s">
        <v>218</v>
      </c>
      <c r="S22" s="12" t="s">
        <v>219</v>
      </c>
      <c r="T22" s="12" t="s">
        <v>220</v>
      </c>
      <c r="V22" s="12" t="s">
        <v>217</v>
      </c>
      <c r="W22" s="12" t="s">
        <v>218</v>
      </c>
      <c r="X22" s="12" t="s">
        <v>219</v>
      </c>
      <c r="Y22" s="12" t="s">
        <v>220</v>
      </c>
      <c r="AA22" s="12" t="s">
        <v>217</v>
      </c>
      <c r="AB22" s="13" t="s">
        <v>218</v>
      </c>
      <c r="AC22" s="12" t="s">
        <v>219</v>
      </c>
      <c r="AD22" s="12" t="s">
        <v>220</v>
      </c>
      <c r="AF22" s="12" t="s">
        <v>217</v>
      </c>
      <c r="AG22" s="12" t="s">
        <v>218</v>
      </c>
      <c r="AH22" s="12" t="s">
        <v>219</v>
      </c>
      <c r="AI22" s="12" t="s">
        <v>220</v>
      </c>
    </row>
    <row r="23" spans="2:35">
      <c r="B23" s="14" t="s">
        <v>221</v>
      </c>
      <c r="C23" s="14" t="s">
        <v>222</v>
      </c>
      <c r="H23"/>
      <c r="L23" s="17" t="s">
        <v>223</v>
      </c>
      <c r="M23" s="14" t="s">
        <v>224</v>
      </c>
      <c r="Q23" s="17" t="s">
        <v>225</v>
      </c>
      <c r="R23" s="20" t="s">
        <v>226</v>
      </c>
      <c r="V23" s="21" t="s">
        <v>227</v>
      </c>
      <c r="W23" s="14" t="s">
        <v>228</v>
      </c>
      <c r="X23" s="22"/>
      <c r="AA23" s="14" t="s">
        <v>229</v>
      </c>
      <c r="AB23" s="14" t="s">
        <v>230</v>
      </c>
      <c r="AF23" s="24"/>
      <c r="AG23" s="24"/>
    </row>
    <row r="24" spans="2:35">
      <c r="B24" s="14" t="s">
        <v>36</v>
      </c>
      <c r="C24" s="14" t="s">
        <v>231</v>
      </c>
      <c r="H24"/>
      <c r="L24" s="17" t="s">
        <v>36</v>
      </c>
      <c r="M24" s="14" t="s">
        <v>232</v>
      </c>
      <c r="Q24" s="17" t="s">
        <v>233</v>
      </c>
      <c r="R24" s="92" t="s">
        <v>655</v>
      </c>
      <c r="V24" s="21" t="s">
        <v>234</v>
      </c>
      <c r="W24" s="14" t="s">
        <v>235</v>
      </c>
      <c r="X24" s="22"/>
      <c r="AA24" s="24" t="s">
        <v>236</v>
      </c>
      <c r="AB24" s="89" t="s">
        <v>237</v>
      </c>
      <c r="AF24" s="24"/>
      <c r="AG24" s="24"/>
    </row>
    <row r="25" spans="2:35">
      <c r="B25" s="14" t="s">
        <v>238</v>
      </c>
      <c r="C25" s="14" t="s">
        <v>239</v>
      </c>
      <c r="H25"/>
      <c r="L25" s="18" t="s">
        <v>240</v>
      </c>
      <c r="M25" s="19" t="s">
        <v>241</v>
      </c>
      <c r="V25" s="21" t="s">
        <v>242</v>
      </c>
      <c r="W25" t="s">
        <v>243</v>
      </c>
      <c r="AA25" s="24" t="s">
        <v>244</v>
      </c>
      <c r="AB25" s="89" t="s">
        <v>245</v>
      </c>
      <c r="AF25" s="14"/>
      <c r="AG25" s="24"/>
    </row>
    <row r="26" spans="2:35">
      <c r="H26"/>
      <c r="L26" s="17" t="s">
        <v>246</v>
      </c>
      <c r="M26" s="14" t="s">
        <v>247</v>
      </c>
      <c r="V26" s="21" t="s">
        <v>248</v>
      </c>
      <c r="W26" s="14" t="s">
        <v>249</v>
      </c>
      <c r="X26" s="22"/>
      <c r="AA26" s="24" t="s">
        <v>250</v>
      </c>
      <c r="AB26" s="89" t="s">
        <v>251</v>
      </c>
      <c r="AF26" s="14"/>
      <c r="AG26" s="24"/>
    </row>
    <row r="27" spans="2:35">
      <c r="H27"/>
      <c r="V27" s="23"/>
      <c r="AA27" s="24" t="s">
        <v>252</v>
      </c>
      <c r="AB27" s="24" t="s">
        <v>253</v>
      </c>
    </row>
    <row r="28" spans="2:35">
      <c r="V28" s="87" t="s">
        <v>640</v>
      </c>
      <c r="W28" s="14" t="s">
        <v>228</v>
      </c>
      <c r="X28" s="22"/>
      <c r="AA28" s="24" t="s">
        <v>254</v>
      </c>
      <c r="AB28" s="89" t="s">
        <v>255</v>
      </c>
    </row>
    <row r="29" spans="2:35">
      <c r="V29" s="87" t="s">
        <v>641</v>
      </c>
      <c r="W29" s="14" t="s">
        <v>235</v>
      </c>
      <c r="X29" s="22"/>
    </row>
    <row r="30" spans="2:35">
      <c r="V30" s="87" t="s">
        <v>642</v>
      </c>
      <c r="W30" t="s">
        <v>243</v>
      </c>
      <c r="AB30"/>
    </row>
    <row r="31" spans="2:35">
      <c r="V31" s="87" t="s">
        <v>643</v>
      </c>
      <c r="W31" s="14" t="s">
        <v>249</v>
      </c>
      <c r="X31" s="22"/>
      <c r="AB31"/>
    </row>
    <row r="32" spans="2:35">
      <c r="V32" s="88" t="s">
        <v>644</v>
      </c>
      <c r="W32" s="24" t="s">
        <v>256</v>
      </c>
      <c r="X32" s="22"/>
      <c r="AB32"/>
    </row>
    <row r="33" spans="22:28">
      <c r="W33" s="104"/>
      <c r="X33" s="105"/>
      <c r="AB33"/>
    </row>
    <row r="34" spans="22:28">
      <c r="V34" s="87" t="s">
        <v>645</v>
      </c>
      <c r="W34" s="14" t="s">
        <v>228</v>
      </c>
      <c r="X34" s="22"/>
      <c r="AB34"/>
    </row>
    <row r="35" spans="22:28">
      <c r="V35" s="87" t="s">
        <v>646</v>
      </c>
      <c r="W35" s="14" t="s">
        <v>235</v>
      </c>
      <c r="X35" s="22"/>
      <c r="AB35"/>
    </row>
    <row r="36" spans="22:28">
      <c r="V36" s="87" t="s">
        <v>647</v>
      </c>
      <c r="W36" t="s">
        <v>243</v>
      </c>
      <c r="X36" s="22"/>
      <c r="AB36"/>
    </row>
    <row r="37" spans="22:28">
      <c r="V37" s="87" t="s">
        <v>648</v>
      </c>
      <c r="W37" s="14" t="s">
        <v>249</v>
      </c>
      <c r="X37" s="22"/>
      <c r="AB37"/>
    </row>
    <row r="38" spans="22:28">
      <c r="V38" s="88" t="s">
        <v>649</v>
      </c>
      <c r="W38" s="24" t="s">
        <v>256</v>
      </c>
      <c r="X38" s="22"/>
      <c r="AB38"/>
    </row>
    <row r="39" spans="22:28">
      <c r="AB39"/>
    </row>
    <row r="40" spans="22:28">
      <c r="V40" s="87" t="s">
        <v>650</v>
      </c>
      <c r="W40" s="14" t="s">
        <v>228</v>
      </c>
      <c r="X40" s="22"/>
      <c r="AB40"/>
    </row>
    <row r="41" spans="22:28">
      <c r="V41" s="87" t="s">
        <v>651</v>
      </c>
      <c r="W41" s="14" t="s">
        <v>235</v>
      </c>
      <c r="X41" s="22"/>
      <c r="AB41"/>
    </row>
    <row r="42" spans="22:28">
      <c r="V42" s="87" t="s">
        <v>652</v>
      </c>
      <c r="W42" t="s">
        <v>243</v>
      </c>
      <c r="AB42"/>
    </row>
    <row r="43" spans="22:28">
      <c r="V43" s="87" t="s">
        <v>653</v>
      </c>
      <c r="W43" s="14" t="s">
        <v>249</v>
      </c>
      <c r="X43" s="22"/>
      <c r="AB43"/>
    </row>
    <row r="44" spans="22:28">
      <c r="AB44"/>
    </row>
    <row r="45" spans="22:28">
      <c r="AB45"/>
    </row>
  </sheetData>
  <mergeCells count="8">
    <mergeCell ref="AA21:AD21"/>
    <mergeCell ref="AF21:AI21"/>
    <mergeCell ref="W33:X33"/>
    <mergeCell ref="B21:E21"/>
    <mergeCell ref="G21:J21"/>
    <mergeCell ref="L21:O21"/>
    <mergeCell ref="Q21:T21"/>
    <mergeCell ref="V21:Y21"/>
  </mergeCells>
  <pageMargins left="0.7" right="0.7" top="0.75" bottom="0.75" header="0.3" footer="0.3"/>
  <ignoredErrors>
    <ignoredError sqref="G6 G7:G8 I6:I8 D6:D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7"/>
  <sheetViews>
    <sheetView topLeftCell="A194" workbookViewId="0">
      <selection activeCell="L235" sqref="L235"/>
    </sheetView>
  </sheetViews>
  <sheetFormatPr defaultColWidth="9.140625" defaultRowHeight="15"/>
  <cols>
    <col min="1" max="1" width="9.140625" style="1"/>
    <col min="2" max="2" width="14.85546875" style="1" customWidth="1"/>
    <col min="3" max="3" width="11.42578125" style="1" hidden="1" customWidth="1"/>
    <col min="4" max="10" width="9" style="1" hidden="1" customWidth="1"/>
    <col min="11" max="11" width="9.140625" style="1"/>
    <col min="12" max="12" width="18.85546875" style="1" customWidth="1"/>
    <col min="13" max="13" width="19.140625" style="1" customWidth="1"/>
    <col min="14" max="14" width="9.140625" style="1"/>
    <col min="15" max="15" width="15.85546875" style="1" customWidth="1"/>
    <col min="16" max="16" width="20.7109375" style="1" customWidth="1"/>
    <col min="17" max="17" width="13.7109375" style="1" customWidth="1"/>
    <col min="18" max="18" width="16.5703125" style="1" customWidth="1"/>
    <col min="19" max="16384" width="9.140625" style="1"/>
  </cols>
  <sheetData>
    <row r="1" spans="1:18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  <c r="P1" s="1" t="s">
        <v>272</v>
      </c>
      <c r="R1" s="1" t="s">
        <v>273</v>
      </c>
    </row>
    <row r="2" spans="1:18">
      <c r="A2" s="1">
        <v>195477</v>
      </c>
      <c r="B2" s="1" t="s">
        <v>274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275</v>
      </c>
      <c r="L2" s="1" t="s">
        <v>276</v>
      </c>
      <c r="M2" s="1" t="s">
        <v>277</v>
      </c>
      <c r="N2" s="1" t="s">
        <v>278</v>
      </c>
      <c r="O2" s="1" t="s">
        <v>279</v>
      </c>
      <c r="P2" s="1" t="s">
        <v>280</v>
      </c>
      <c r="R2" s="1" t="str">
        <f>MID(B2,1,9)</f>
        <v>NGWR08M30</v>
      </c>
    </row>
    <row r="3" spans="1:18">
      <c r="A3" s="1">
        <v>195478</v>
      </c>
      <c r="B3" s="1" t="s">
        <v>281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275</v>
      </c>
      <c r="L3" s="1" t="s">
        <v>276</v>
      </c>
      <c r="M3" s="1" t="s">
        <v>277</v>
      </c>
      <c r="N3" s="1" t="s">
        <v>278</v>
      </c>
      <c r="O3" s="1" t="s">
        <v>279</v>
      </c>
      <c r="P3" s="1" t="s">
        <v>282</v>
      </c>
      <c r="R3" s="1" t="str">
        <f t="shared" ref="R3:R66" si="0">MID(B3,1,9)</f>
        <v>NGWT08M30</v>
      </c>
    </row>
    <row r="4" spans="1:18">
      <c r="A4" s="1">
        <v>195479</v>
      </c>
      <c r="B4" s="1" t="s">
        <v>283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275</v>
      </c>
      <c r="L4" s="1" t="s">
        <v>276</v>
      </c>
      <c r="M4" s="1" t="s">
        <v>277</v>
      </c>
      <c r="N4" s="1" t="s">
        <v>278</v>
      </c>
      <c r="O4" s="1" t="s">
        <v>279</v>
      </c>
      <c r="P4" s="1" t="s">
        <v>284</v>
      </c>
      <c r="R4" s="1" t="str">
        <f t="shared" si="0"/>
        <v>NGWB08M30</v>
      </c>
    </row>
    <row r="5" spans="1:18">
      <c r="A5" s="1">
        <v>195480</v>
      </c>
      <c r="B5" s="1" t="s">
        <v>285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286</v>
      </c>
      <c r="L5" s="1" t="s">
        <v>276</v>
      </c>
      <c r="M5" s="1" t="s">
        <v>277</v>
      </c>
      <c r="N5" s="1" t="s">
        <v>278</v>
      </c>
      <c r="O5" s="1" t="s">
        <v>279</v>
      </c>
      <c r="P5" s="1" t="s">
        <v>280</v>
      </c>
      <c r="R5" s="1" t="str">
        <f t="shared" si="0"/>
        <v>NGWR08N30</v>
      </c>
    </row>
    <row r="6" spans="1:18">
      <c r="A6" s="1">
        <v>195481</v>
      </c>
      <c r="B6" s="1" t="s">
        <v>287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286</v>
      </c>
      <c r="L6" s="1" t="s">
        <v>276</v>
      </c>
      <c r="M6" s="1" t="s">
        <v>277</v>
      </c>
      <c r="N6" s="1" t="s">
        <v>278</v>
      </c>
      <c r="O6" s="1" t="s">
        <v>279</v>
      </c>
      <c r="P6" s="1" t="s">
        <v>282</v>
      </c>
      <c r="R6" s="1" t="str">
        <f t="shared" si="0"/>
        <v>NGWT08N30</v>
      </c>
    </row>
    <row r="7" spans="1:18">
      <c r="A7" s="1">
        <v>195482</v>
      </c>
      <c r="B7" s="1" t="s">
        <v>288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286</v>
      </c>
      <c r="L7" s="1" t="s">
        <v>276</v>
      </c>
      <c r="M7" s="1" t="s">
        <v>277</v>
      </c>
      <c r="N7" s="1" t="s">
        <v>278</v>
      </c>
      <c r="O7" s="1" t="s">
        <v>279</v>
      </c>
      <c r="P7" s="1" t="s">
        <v>284</v>
      </c>
      <c r="R7" s="1" t="str">
        <f t="shared" si="0"/>
        <v>NGWB08N30</v>
      </c>
    </row>
    <row r="8" spans="1:18">
      <c r="A8" s="1">
        <v>195483</v>
      </c>
      <c r="B8" s="1" t="s">
        <v>289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 t="s">
        <v>275</v>
      </c>
      <c r="L8" s="1" t="s">
        <v>290</v>
      </c>
      <c r="M8" s="1" t="s">
        <v>277</v>
      </c>
      <c r="N8" s="1" t="s">
        <v>278</v>
      </c>
      <c r="O8" s="1" t="s">
        <v>279</v>
      </c>
      <c r="P8" s="1" t="s">
        <v>280</v>
      </c>
      <c r="R8" s="1" t="str">
        <f t="shared" si="0"/>
        <v>NGWR08M40</v>
      </c>
    </row>
    <row r="9" spans="1:18">
      <c r="A9" s="1">
        <v>195484</v>
      </c>
      <c r="B9" s="1" t="s">
        <v>291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275</v>
      </c>
      <c r="L9" s="1" t="s">
        <v>290</v>
      </c>
      <c r="M9" s="1" t="s">
        <v>277</v>
      </c>
      <c r="N9" s="1" t="s">
        <v>278</v>
      </c>
      <c r="O9" s="1" t="s">
        <v>279</v>
      </c>
      <c r="P9" s="1" t="s">
        <v>282</v>
      </c>
      <c r="R9" s="1" t="str">
        <f t="shared" si="0"/>
        <v>NGWT08M40</v>
      </c>
    </row>
    <row r="10" spans="1:18">
      <c r="A10" s="1">
        <v>195485</v>
      </c>
      <c r="B10" s="1" t="s">
        <v>292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 t="s">
        <v>275</v>
      </c>
      <c r="L10" s="1" t="s">
        <v>290</v>
      </c>
      <c r="M10" s="1" t="s">
        <v>277</v>
      </c>
      <c r="N10" s="1" t="s">
        <v>278</v>
      </c>
      <c r="O10" s="1" t="s">
        <v>279</v>
      </c>
      <c r="P10" s="1" t="s">
        <v>284</v>
      </c>
      <c r="R10" s="1" t="str">
        <f t="shared" si="0"/>
        <v>NGWB08M40</v>
      </c>
    </row>
    <row r="11" spans="1:18">
      <c r="A11" s="1">
        <v>195486</v>
      </c>
      <c r="B11" s="1" t="s">
        <v>293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 t="s">
        <v>286</v>
      </c>
      <c r="L11" s="1" t="s">
        <v>290</v>
      </c>
      <c r="M11" s="1" t="s">
        <v>277</v>
      </c>
      <c r="N11" s="1" t="s">
        <v>278</v>
      </c>
      <c r="O11" s="1" t="s">
        <v>279</v>
      </c>
      <c r="P11" s="1" t="s">
        <v>280</v>
      </c>
      <c r="R11" s="1" t="str">
        <f t="shared" si="0"/>
        <v>NGWR08N40</v>
      </c>
    </row>
    <row r="12" spans="1:18">
      <c r="A12" s="1">
        <v>195487</v>
      </c>
      <c r="B12" s="1" t="s">
        <v>294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286</v>
      </c>
      <c r="L12" s="1" t="s">
        <v>290</v>
      </c>
      <c r="M12" s="1" t="s">
        <v>277</v>
      </c>
      <c r="N12" s="1" t="s">
        <v>278</v>
      </c>
      <c r="O12" s="1" t="s">
        <v>279</v>
      </c>
      <c r="P12" s="1" t="s">
        <v>282</v>
      </c>
      <c r="R12" s="1" t="str">
        <f t="shared" si="0"/>
        <v>NGWT08N40</v>
      </c>
    </row>
    <row r="13" spans="1:18">
      <c r="A13" s="1">
        <v>195488</v>
      </c>
      <c r="B13" s="1" t="s">
        <v>295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 t="s">
        <v>286</v>
      </c>
      <c r="L13" s="1" t="s">
        <v>290</v>
      </c>
      <c r="M13" s="1" t="s">
        <v>277</v>
      </c>
      <c r="N13" s="1" t="s">
        <v>278</v>
      </c>
      <c r="O13" s="1" t="s">
        <v>279</v>
      </c>
      <c r="P13" s="1" t="s">
        <v>284</v>
      </c>
      <c r="R13" s="1" t="str">
        <f t="shared" si="0"/>
        <v>NGWB08N40</v>
      </c>
    </row>
    <row r="14" spans="1:18">
      <c r="A14" s="1">
        <v>195489</v>
      </c>
      <c r="B14" s="1" t="s">
        <v>296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275</v>
      </c>
      <c r="L14" s="1" t="s">
        <v>297</v>
      </c>
      <c r="M14" s="1" t="s">
        <v>277</v>
      </c>
      <c r="N14" s="1" t="s">
        <v>278</v>
      </c>
      <c r="O14" s="1" t="s">
        <v>279</v>
      </c>
      <c r="P14" s="1" t="s">
        <v>280</v>
      </c>
      <c r="R14" s="1" t="str">
        <f t="shared" si="0"/>
        <v>NGWR08M60</v>
      </c>
    </row>
    <row r="15" spans="1:18">
      <c r="A15" s="1">
        <v>195490</v>
      </c>
      <c r="B15" s="1" t="s">
        <v>298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 t="s">
        <v>275</v>
      </c>
      <c r="L15" s="1" t="s">
        <v>297</v>
      </c>
      <c r="M15" s="1" t="s">
        <v>277</v>
      </c>
      <c r="N15" s="1" t="s">
        <v>278</v>
      </c>
      <c r="O15" s="1" t="s">
        <v>279</v>
      </c>
      <c r="P15" s="1" t="s">
        <v>282</v>
      </c>
      <c r="R15" s="1" t="str">
        <f t="shared" si="0"/>
        <v>NGWT08M60</v>
      </c>
    </row>
    <row r="16" spans="1:18">
      <c r="A16" s="1">
        <v>195491</v>
      </c>
      <c r="B16" s="1" t="s">
        <v>299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 t="s">
        <v>275</v>
      </c>
      <c r="L16" s="1" t="s">
        <v>297</v>
      </c>
      <c r="M16" s="1" t="s">
        <v>277</v>
      </c>
      <c r="N16" s="1" t="s">
        <v>278</v>
      </c>
      <c r="O16" s="1" t="s">
        <v>279</v>
      </c>
      <c r="P16" s="1" t="s">
        <v>284</v>
      </c>
      <c r="R16" s="1" t="str">
        <f t="shared" si="0"/>
        <v>NGWB08M60</v>
      </c>
    </row>
    <row r="17" spans="1:18">
      <c r="A17" s="1">
        <v>195492</v>
      </c>
      <c r="B17" s="1" t="s">
        <v>300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286</v>
      </c>
      <c r="L17" s="1" t="s">
        <v>297</v>
      </c>
      <c r="M17" s="1" t="s">
        <v>277</v>
      </c>
      <c r="N17" s="1" t="s">
        <v>278</v>
      </c>
      <c r="O17" s="1" t="s">
        <v>279</v>
      </c>
      <c r="P17" s="1" t="s">
        <v>280</v>
      </c>
      <c r="R17" s="1" t="str">
        <f t="shared" si="0"/>
        <v>NGWR08N60</v>
      </c>
    </row>
    <row r="18" spans="1:18">
      <c r="A18" s="1">
        <v>195493</v>
      </c>
      <c r="B18" s="1" t="s">
        <v>301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 t="s">
        <v>286</v>
      </c>
      <c r="L18" s="1" t="s">
        <v>297</v>
      </c>
      <c r="M18" s="1" t="s">
        <v>277</v>
      </c>
      <c r="N18" s="1" t="s">
        <v>278</v>
      </c>
      <c r="O18" s="1" t="s">
        <v>279</v>
      </c>
      <c r="P18" s="1" t="s">
        <v>282</v>
      </c>
      <c r="R18" s="1" t="str">
        <f t="shared" si="0"/>
        <v>NGWT08N60</v>
      </c>
    </row>
    <row r="19" spans="1:18" ht="17.25" customHeight="1">
      <c r="A19" s="1">
        <v>195494</v>
      </c>
      <c r="B19" s="1" t="s">
        <v>302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 t="s">
        <v>286</v>
      </c>
      <c r="L19" s="1" t="s">
        <v>297</v>
      </c>
      <c r="M19" s="1" t="s">
        <v>277</v>
      </c>
      <c r="N19" s="1" t="s">
        <v>278</v>
      </c>
      <c r="O19" s="1" t="s">
        <v>279</v>
      </c>
      <c r="P19" s="1" t="s">
        <v>284</v>
      </c>
      <c r="R19" s="1" t="str">
        <f t="shared" si="0"/>
        <v>NGWB08N60</v>
      </c>
    </row>
    <row r="20" spans="1:18">
      <c r="A20" s="1">
        <v>195501</v>
      </c>
      <c r="B20" s="1" t="s">
        <v>303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 t="s">
        <v>275</v>
      </c>
      <c r="L20" s="1" t="s">
        <v>276</v>
      </c>
      <c r="M20" s="1" t="s">
        <v>277</v>
      </c>
      <c r="N20" s="1" t="s">
        <v>278</v>
      </c>
      <c r="O20" s="1" t="s">
        <v>304</v>
      </c>
      <c r="P20" s="1" t="s">
        <v>280</v>
      </c>
      <c r="R20" s="1" t="str">
        <f t="shared" si="0"/>
        <v>NGBR08M30</v>
      </c>
    </row>
    <row r="21" spans="1:18">
      <c r="A21" s="1">
        <v>195502</v>
      </c>
      <c r="B21" s="1" t="s">
        <v>305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 t="s">
        <v>275</v>
      </c>
      <c r="L21" s="1" t="s">
        <v>276</v>
      </c>
      <c r="M21" s="1" t="s">
        <v>277</v>
      </c>
      <c r="N21" s="1" t="s">
        <v>278</v>
      </c>
      <c r="O21" s="1" t="s">
        <v>304</v>
      </c>
      <c r="P21" s="1" t="s">
        <v>282</v>
      </c>
      <c r="R21" s="1" t="str">
        <f t="shared" si="0"/>
        <v>NGBT08M30</v>
      </c>
    </row>
    <row r="22" spans="1:18">
      <c r="A22" s="1">
        <v>195503</v>
      </c>
      <c r="B22" s="1" t="s">
        <v>306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 t="s">
        <v>275</v>
      </c>
      <c r="L22" s="1" t="s">
        <v>276</v>
      </c>
      <c r="M22" s="1" t="s">
        <v>277</v>
      </c>
      <c r="N22" s="1" t="s">
        <v>278</v>
      </c>
      <c r="O22" s="1" t="s">
        <v>304</v>
      </c>
      <c r="P22" s="1" t="s">
        <v>284</v>
      </c>
      <c r="R22" s="1" t="str">
        <f t="shared" si="0"/>
        <v>NGBB08M30</v>
      </c>
    </row>
    <row r="23" spans="1:18">
      <c r="A23" s="1">
        <v>195504</v>
      </c>
      <c r="B23" s="1" t="s">
        <v>307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 t="s">
        <v>286</v>
      </c>
      <c r="L23" s="1" t="s">
        <v>276</v>
      </c>
      <c r="M23" s="1" t="s">
        <v>277</v>
      </c>
      <c r="N23" s="1" t="s">
        <v>278</v>
      </c>
      <c r="O23" s="1" t="s">
        <v>304</v>
      </c>
      <c r="P23" s="1" t="s">
        <v>280</v>
      </c>
      <c r="R23" s="1" t="str">
        <f t="shared" si="0"/>
        <v>NGBR08N30</v>
      </c>
    </row>
    <row r="24" spans="1:18">
      <c r="A24" s="1">
        <v>195505</v>
      </c>
      <c r="B24" s="1" t="s">
        <v>308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 t="s">
        <v>286</v>
      </c>
      <c r="L24" s="1" t="s">
        <v>276</v>
      </c>
      <c r="M24" s="1" t="s">
        <v>277</v>
      </c>
      <c r="N24" s="1" t="s">
        <v>278</v>
      </c>
      <c r="O24" s="1" t="s">
        <v>304</v>
      </c>
      <c r="P24" s="1" t="s">
        <v>282</v>
      </c>
      <c r="R24" s="1" t="str">
        <f t="shared" si="0"/>
        <v>NGBT08N30</v>
      </c>
    </row>
    <row r="25" spans="1:18">
      <c r="A25" s="1">
        <v>195506</v>
      </c>
      <c r="B25" s="1" t="s">
        <v>309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 t="s">
        <v>286</v>
      </c>
      <c r="L25" s="1" t="s">
        <v>276</v>
      </c>
      <c r="M25" s="1" t="s">
        <v>277</v>
      </c>
      <c r="N25" s="1" t="s">
        <v>278</v>
      </c>
      <c r="O25" s="1" t="s">
        <v>304</v>
      </c>
      <c r="P25" s="1" t="s">
        <v>284</v>
      </c>
      <c r="R25" s="1" t="str">
        <f t="shared" si="0"/>
        <v>NGBB08N30</v>
      </c>
    </row>
    <row r="26" spans="1:18">
      <c r="A26" s="1">
        <v>195507</v>
      </c>
      <c r="B26" s="1" t="s">
        <v>310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 t="s">
        <v>275</v>
      </c>
      <c r="L26" s="1" t="s">
        <v>290</v>
      </c>
      <c r="M26" s="1" t="s">
        <v>277</v>
      </c>
      <c r="N26" s="1" t="s">
        <v>278</v>
      </c>
      <c r="O26" s="1" t="s">
        <v>304</v>
      </c>
      <c r="P26" s="1" t="s">
        <v>280</v>
      </c>
      <c r="R26" s="1" t="str">
        <f t="shared" si="0"/>
        <v>NGBR08M40</v>
      </c>
    </row>
    <row r="27" spans="1:18">
      <c r="A27" s="1">
        <v>195508</v>
      </c>
      <c r="B27" s="1" t="s">
        <v>311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 t="s">
        <v>275</v>
      </c>
      <c r="L27" s="1" t="s">
        <v>290</v>
      </c>
      <c r="M27" s="1" t="s">
        <v>277</v>
      </c>
      <c r="N27" s="1" t="s">
        <v>278</v>
      </c>
      <c r="O27" s="1" t="s">
        <v>304</v>
      </c>
      <c r="P27" s="1" t="s">
        <v>282</v>
      </c>
      <c r="R27" s="1" t="str">
        <f t="shared" si="0"/>
        <v>NGBT08M40</v>
      </c>
    </row>
    <row r="28" spans="1:18">
      <c r="A28" s="1">
        <v>195509</v>
      </c>
      <c r="B28" s="1" t="s">
        <v>312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 t="s">
        <v>275</v>
      </c>
      <c r="L28" s="1" t="s">
        <v>290</v>
      </c>
      <c r="M28" s="1" t="s">
        <v>277</v>
      </c>
      <c r="N28" s="1" t="s">
        <v>278</v>
      </c>
      <c r="O28" s="1" t="s">
        <v>304</v>
      </c>
      <c r="P28" s="1" t="s">
        <v>284</v>
      </c>
      <c r="R28" s="1" t="str">
        <f t="shared" si="0"/>
        <v>NGBB08M40</v>
      </c>
    </row>
    <row r="29" spans="1:18">
      <c r="A29" s="1">
        <v>195510</v>
      </c>
      <c r="B29" s="1" t="s">
        <v>313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 t="s">
        <v>286</v>
      </c>
      <c r="L29" s="1" t="s">
        <v>290</v>
      </c>
      <c r="M29" s="1" t="s">
        <v>277</v>
      </c>
      <c r="N29" s="1" t="s">
        <v>278</v>
      </c>
      <c r="O29" s="1" t="s">
        <v>304</v>
      </c>
      <c r="P29" s="1" t="s">
        <v>280</v>
      </c>
      <c r="R29" s="1" t="str">
        <f t="shared" si="0"/>
        <v>NGBR08N40</v>
      </c>
    </row>
    <row r="30" spans="1:18">
      <c r="A30" s="1">
        <v>195511</v>
      </c>
      <c r="B30" s="1" t="s">
        <v>314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 t="s">
        <v>286</v>
      </c>
      <c r="L30" s="1" t="s">
        <v>290</v>
      </c>
      <c r="M30" s="1" t="s">
        <v>277</v>
      </c>
      <c r="N30" s="1" t="s">
        <v>278</v>
      </c>
      <c r="O30" s="1" t="s">
        <v>304</v>
      </c>
      <c r="P30" s="1" t="s">
        <v>282</v>
      </c>
      <c r="R30" s="1" t="str">
        <f t="shared" si="0"/>
        <v>NGBT08N40</v>
      </c>
    </row>
    <row r="31" spans="1:18">
      <c r="A31" s="1">
        <v>195512</v>
      </c>
      <c r="B31" s="1" t="s">
        <v>315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286</v>
      </c>
      <c r="L31" s="1" t="s">
        <v>290</v>
      </c>
      <c r="M31" s="1" t="s">
        <v>277</v>
      </c>
      <c r="N31" s="1" t="s">
        <v>278</v>
      </c>
      <c r="O31" s="1" t="s">
        <v>304</v>
      </c>
      <c r="P31" s="1" t="s">
        <v>284</v>
      </c>
      <c r="R31" s="1" t="str">
        <f t="shared" si="0"/>
        <v>NGBB08N40</v>
      </c>
    </row>
    <row r="32" spans="1:18">
      <c r="A32" s="1">
        <v>195513</v>
      </c>
      <c r="B32" s="1" t="s">
        <v>316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 t="s">
        <v>275</v>
      </c>
      <c r="L32" s="1" t="s">
        <v>297</v>
      </c>
      <c r="M32" s="1" t="s">
        <v>277</v>
      </c>
      <c r="N32" s="1" t="s">
        <v>278</v>
      </c>
      <c r="O32" s="1" t="s">
        <v>304</v>
      </c>
      <c r="P32" s="1" t="s">
        <v>280</v>
      </c>
      <c r="R32" s="1" t="str">
        <f t="shared" si="0"/>
        <v>NGBR08M60</v>
      </c>
    </row>
    <row r="33" spans="1:18">
      <c r="A33" s="1">
        <v>195514</v>
      </c>
      <c r="B33" s="1" t="s">
        <v>317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 t="s">
        <v>275</v>
      </c>
      <c r="L33" s="1" t="s">
        <v>297</v>
      </c>
      <c r="M33" s="1" t="s">
        <v>277</v>
      </c>
      <c r="N33" s="1" t="s">
        <v>278</v>
      </c>
      <c r="O33" s="1" t="s">
        <v>304</v>
      </c>
      <c r="P33" s="1" t="s">
        <v>282</v>
      </c>
      <c r="R33" s="1" t="str">
        <f t="shared" si="0"/>
        <v>NGBT08M60</v>
      </c>
    </row>
    <row r="34" spans="1:18">
      <c r="A34" s="1">
        <v>195515</v>
      </c>
      <c r="B34" s="1" t="s">
        <v>318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 t="s">
        <v>275</v>
      </c>
      <c r="L34" s="1" t="s">
        <v>297</v>
      </c>
      <c r="M34" s="1" t="s">
        <v>277</v>
      </c>
      <c r="N34" s="1" t="s">
        <v>278</v>
      </c>
      <c r="O34" s="1" t="s">
        <v>304</v>
      </c>
      <c r="P34" s="1" t="s">
        <v>284</v>
      </c>
      <c r="R34" s="1" t="str">
        <f t="shared" si="0"/>
        <v>NGBB08M60</v>
      </c>
    </row>
    <row r="35" spans="1:18">
      <c r="A35" s="1">
        <v>195516</v>
      </c>
      <c r="B35" s="1" t="s">
        <v>319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 t="s">
        <v>286</v>
      </c>
      <c r="L35" s="1" t="s">
        <v>297</v>
      </c>
      <c r="M35" s="1" t="s">
        <v>277</v>
      </c>
      <c r="N35" s="1" t="s">
        <v>278</v>
      </c>
      <c r="O35" s="1" t="s">
        <v>304</v>
      </c>
      <c r="P35" s="1" t="s">
        <v>280</v>
      </c>
      <c r="R35" s="1" t="str">
        <f t="shared" si="0"/>
        <v>NGBR08N60</v>
      </c>
    </row>
    <row r="36" spans="1:18">
      <c r="A36" s="1">
        <v>195517</v>
      </c>
      <c r="B36" s="1" t="s">
        <v>320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 t="s">
        <v>286</v>
      </c>
      <c r="L36" s="1" t="s">
        <v>297</v>
      </c>
      <c r="M36" s="1" t="s">
        <v>277</v>
      </c>
      <c r="N36" s="1" t="s">
        <v>278</v>
      </c>
      <c r="O36" s="1" t="s">
        <v>304</v>
      </c>
      <c r="P36" s="1" t="s">
        <v>282</v>
      </c>
      <c r="R36" s="1" t="str">
        <f t="shared" si="0"/>
        <v>NGBT08N60</v>
      </c>
    </row>
    <row r="37" spans="1:18">
      <c r="A37" s="1">
        <v>195518</v>
      </c>
      <c r="B37" s="1" t="s">
        <v>321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 t="s">
        <v>286</v>
      </c>
      <c r="L37" s="1" t="s">
        <v>297</v>
      </c>
      <c r="M37" s="1" t="s">
        <v>277</v>
      </c>
      <c r="N37" s="1" t="s">
        <v>278</v>
      </c>
      <c r="O37" s="1" t="s">
        <v>304</v>
      </c>
      <c r="P37" s="1" t="s">
        <v>284</v>
      </c>
      <c r="R37" s="1" t="str">
        <f t="shared" si="0"/>
        <v>NGBB08N60</v>
      </c>
    </row>
    <row r="38" spans="1:18">
      <c r="A38" s="1">
        <v>195525</v>
      </c>
      <c r="B38" s="1" t="s">
        <v>322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 t="s">
        <v>275</v>
      </c>
      <c r="L38" s="1" t="s">
        <v>276</v>
      </c>
      <c r="M38" s="1" t="s">
        <v>277</v>
      </c>
      <c r="N38" s="1" t="s">
        <v>278</v>
      </c>
      <c r="O38" s="1" t="s">
        <v>323</v>
      </c>
      <c r="P38" s="1" t="s">
        <v>280</v>
      </c>
      <c r="R38" s="1" t="str">
        <f t="shared" si="0"/>
        <v>NGAR08M30</v>
      </c>
    </row>
    <row r="39" spans="1:18">
      <c r="A39" s="1">
        <v>195526</v>
      </c>
      <c r="B39" s="1" t="s">
        <v>324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 t="s">
        <v>275</v>
      </c>
      <c r="L39" s="1" t="s">
        <v>276</v>
      </c>
      <c r="M39" s="1" t="s">
        <v>277</v>
      </c>
      <c r="N39" s="1" t="s">
        <v>278</v>
      </c>
      <c r="O39" s="1" t="s">
        <v>323</v>
      </c>
      <c r="P39" s="1" t="s">
        <v>282</v>
      </c>
      <c r="R39" s="1" t="str">
        <f t="shared" si="0"/>
        <v>NGAT08M30</v>
      </c>
    </row>
    <row r="40" spans="1:18">
      <c r="A40" s="1">
        <v>195527</v>
      </c>
      <c r="B40" s="1" t="s">
        <v>325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 t="s">
        <v>275</v>
      </c>
      <c r="L40" s="1" t="s">
        <v>276</v>
      </c>
      <c r="M40" s="1" t="s">
        <v>277</v>
      </c>
      <c r="N40" s="1" t="s">
        <v>278</v>
      </c>
      <c r="O40" s="1" t="s">
        <v>323</v>
      </c>
      <c r="P40" s="1" t="s">
        <v>284</v>
      </c>
      <c r="R40" s="1" t="str">
        <f t="shared" si="0"/>
        <v>NGAB08M30</v>
      </c>
    </row>
    <row r="41" spans="1:18">
      <c r="A41" s="1">
        <v>195528</v>
      </c>
      <c r="B41" s="1" t="s">
        <v>326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 t="s">
        <v>286</v>
      </c>
      <c r="L41" s="1" t="s">
        <v>276</v>
      </c>
      <c r="M41" s="1" t="s">
        <v>277</v>
      </c>
      <c r="N41" s="1" t="s">
        <v>278</v>
      </c>
      <c r="O41" s="1" t="s">
        <v>323</v>
      </c>
      <c r="P41" s="1" t="s">
        <v>280</v>
      </c>
      <c r="R41" s="1" t="str">
        <f t="shared" si="0"/>
        <v>NGAR08N30</v>
      </c>
    </row>
    <row r="42" spans="1:18">
      <c r="A42" s="1">
        <v>195529</v>
      </c>
      <c r="B42" s="1" t="s">
        <v>327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 t="s">
        <v>286</v>
      </c>
      <c r="L42" s="1" t="s">
        <v>276</v>
      </c>
      <c r="M42" s="1" t="s">
        <v>277</v>
      </c>
      <c r="N42" s="1" t="s">
        <v>278</v>
      </c>
      <c r="O42" s="1" t="s">
        <v>323</v>
      </c>
      <c r="P42" s="1" t="s">
        <v>282</v>
      </c>
      <c r="R42" s="1" t="str">
        <f t="shared" si="0"/>
        <v>NGAT08N30</v>
      </c>
    </row>
    <row r="43" spans="1:18">
      <c r="A43" s="1">
        <v>195530</v>
      </c>
      <c r="B43" s="1" t="s">
        <v>328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 t="s">
        <v>286</v>
      </c>
      <c r="L43" s="1" t="s">
        <v>276</v>
      </c>
      <c r="M43" s="1" t="s">
        <v>277</v>
      </c>
      <c r="N43" s="1" t="s">
        <v>278</v>
      </c>
      <c r="O43" s="1" t="s">
        <v>323</v>
      </c>
      <c r="P43" s="1" t="s">
        <v>284</v>
      </c>
      <c r="R43" s="1" t="str">
        <f t="shared" si="0"/>
        <v>NGAB08N30</v>
      </c>
    </row>
    <row r="44" spans="1:18">
      <c r="A44" s="1">
        <v>195531</v>
      </c>
      <c r="B44" s="1" t="s">
        <v>329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 t="s">
        <v>275</v>
      </c>
      <c r="L44" s="1" t="s">
        <v>290</v>
      </c>
      <c r="M44" s="1" t="s">
        <v>277</v>
      </c>
      <c r="N44" s="1" t="s">
        <v>278</v>
      </c>
      <c r="O44" s="1" t="s">
        <v>323</v>
      </c>
      <c r="P44" s="1" t="s">
        <v>280</v>
      </c>
      <c r="R44" s="1" t="str">
        <f t="shared" si="0"/>
        <v>NGAR08M40</v>
      </c>
    </row>
    <row r="45" spans="1:18">
      <c r="A45" s="1">
        <v>195532</v>
      </c>
      <c r="B45" s="1" t="s">
        <v>330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 t="s">
        <v>275</v>
      </c>
      <c r="L45" s="1" t="s">
        <v>290</v>
      </c>
      <c r="M45" s="1" t="s">
        <v>277</v>
      </c>
      <c r="N45" s="1" t="s">
        <v>278</v>
      </c>
      <c r="O45" s="1" t="s">
        <v>323</v>
      </c>
      <c r="P45" s="1" t="s">
        <v>282</v>
      </c>
      <c r="R45" s="1" t="str">
        <f t="shared" si="0"/>
        <v>NGAT08M40</v>
      </c>
    </row>
    <row r="46" spans="1:18">
      <c r="A46" s="1">
        <v>195533</v>
      </c>
      <c r="B46" s="1" t="s">
        <v>331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275</v>
      </c>
      <c r="L46" s="1" t="s">
        <v>290</v>
      </c>
      <c r="M46" s="1" t="s">
        <v>277</v>
      </c>
      <c r="N46" s="1" t="s">
        <v>278</v>
      </c>
      <c r="O46" s="1" t="s">
        <v>323</v>
      </c>
      <c r="P46" s="1" t="s">
        <v>284</v>
      </c>
      <c r="R46" s="1" t="str">
        <f t="shared" si="0"/>
        <v>NGAB08M40</v>
      </c>
    </row>
    <row r="47" spans="1:18">
      <c r="A47" s="1">
        <v>195534</v>
      </c>
      <c r="B47" s="1" t="s">
        <v>332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 t="s">
        <v>286</v>
      </c>
      <c r="L47" s="1" t="s">
        <v>290</v>
      </c>
      <c r="M47" s="1" t="s">
        <v>277</v>
      </c>
      <c r="N47" s="1" t="s">
        <v>278</v>
      </c>
      <c r="O47" s="1" t="s">
        <v>323</v>
      </c>
      <c r="P47" s="1" t="s">
        <v>280</v>
      </c>
      <c r="R47" s="1" t="str">
        <f t="shared" si="0"/>
        <v>NGAR08N40</v>
      </c>
    </row>
    <row r="48" spans="1:18">
      <c r="A48" s="1">
        <v>195535</v>
      </c>
      <c r="B48" s="1" t="s">
        <v>333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 t="s">
        <v>286</v>
      </c>
      <c r="L48" s="1" t="s">
        <v>290</v>
      </c>
      <c r="M48" s="1" t="s">
        <v>277</v>
      </c>
      <c r="N48" s="1" t="s">
        <v>278</v>
      </c>
      <c r="O48" s="1" t="s">
        <v>323</v>
      </c>
      <c r="P48" s="1" t="s">
        <v>282</v>
      </c>
      <c r="R48" s="1" t="str">
        <f t="shared" si="0"/>
        <v>NGAT08N40</v>
      </c>
    </row>
    <row r="49" spans="1:18">
      <c r="A49" s="1">
        <v>195536</v>
      </c>
      <c r="B49" s="1" t="s">
        <v>334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 t="s">
        <v>286</v>
      </c>
      <c r="L49" s="1" t="s">
        <v>290</v>
      </c>
      <c r="M49" s="1" t="s">
        <v>277</v>
      </c>
      <c r="N49" s="1" t="s">
        <v>278</v>
      </c>
      <c r="O49" s="1" t="s">
        <v>323</v>
      </c>
      <c r="P49" s="1" t="s">
        <v>284</v>
      </c>
      <c r="R49" s="1" t="str">
        <f t="shared" si="0"/>
        <v>NGAB08N40</v>
      </c>
    </row>
    <row r="50" spans="1:18">
      <c r="A50" s="1">
        <v>195537</v>
      </c>
      <c r="B50" s="1" t="s">
        <v>335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 t="s">
        <v>275</v>
      </c>
      <c r="L50" s="1" t="s">
        <v>297</v>
      </c>
      <c r="M50" s="1" t="s">
        <v>277</v>
      </c>
      <c r="N50" s="1" t="s">
        <v>278</v>
      </c>
      <c r="O50" s="1" t="s">
        <v>323</v>
      </c>
      <c r="P50" s="1" t="s">
        <v>280</v>
      </c>
      <c r="R50" s="1" t="str">
        <f t="shared" si="0"/>
        <v>NGAR08M60</v>
      </c>
    </row>
    <row r="51" spans="1:18">
      <c r="A51" s="1">
        <v>195538</v>
      </c>
      <c r="B51" s="1" t="s">
        <v>336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275</v>
      </c>
      <c r="L51" s="1" t="s">
        <v>297</v>
      </c>
      <c r="M51" s="1" t="s">
        <v>277</v>
      </c>
      <c r="N51" s="1" t="s">
        <v>278</v>
      </c>
      <c r="O51" s="1" t="s">
        <v>323</v>
      </c>
      <c r="P51" s="1" t="s">
        <v>282</v>
      </c>
      <c r="R51" s="1" t="str">
        <f t="shared" si="0"/>
        <v>NGAT08M60</v>
      </c>
    </row>
    <row r="52" spans="1:18">
      <c r="A52" s="1">
        <v>195539</v>
      </c>
      <c r="B52" s="1" t="s">
        <v>337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 t="s">
        <v>275</v>
      </c>
      <c r="L52" s="1" t="s">
        <v>297</v>
      </c>
      <c r="M52" s="1" t="s">
        <v>277</v>
      </c>
      <c r="N52" s="1" t="s">
        <v>278</v>
      </c>
      <c r="O52" s="1" t="s">
        <v>323</v>
      </c>
      <c r="P52" s="1" t="s">
        <v>284</v>
      </c>
      <c r="R52" s="1" t="str">
        <f t="shared" si="0"/>
        <v>NGAB08M60</v>
      </c>
    </row>
    <row r="53" spans="1:18">
      <c r="A53" s="1">
        <v>195540</v>
      </c>
      <c r="B53" s="1" t="s">
        <v>338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 t="s">
        <v>286</v>
      </c>
      <c r="L53" s="1" t="s">
        <v>297</v>
      </c>
      <c r="M53" s="1" t="s">
        <v>277</v>
      </c>
      <c r="N53" s="1" t="s">
        <v>278</v>
      </c>
      <c r="O53" s="1" t="s">
        <v>323</v>
      </c>
      <c r="P53" s="1" t="s">
        <v>280</v>
      </c>
      <c r="R53" s="1" t="str">
        <f t="shared" si="0"/>
        <v>NGAR08N60</v>
      </c>
    </row>
    <row r="54" spans="1:18">
      <c r="A54" s="1">
        <v>195541</v>
      </c>
      <c r="B54" s="1" t="s">
        <v>339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 t="s">
        <v>286</v>
      </c>
      <c r="L54" s="1" t="s">
        <v>297</v>
      </c>
      <c r="M54" s="1" t="s">
        <v>277</v>
      </c>
      <c r="N54" s="1" t="s">
        <v>278</v>
      </c>
      <c r="O54" s="1" t="s">
        <v>323</v>
      </c>
      <c r="P54" s="1" t="s">
        <v>282</v>
      </c>
      <c r="R54" s="1" t="str">
        <f t="shared" si="0"/>
        <v>NGAT08N60</v>
      </c>
    </row>
    <row r="55" spans="1:18">
      <c r="A55" s="1">
        <v>195542</v>
      </c>
      <c r="B55" s="1" t="s">
        <v>340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 t="s">
        <v>286</v>
      </c>
      <c r="L55" s="1" t="s">
        <v>297</v>
      </c>
      <c r="M55" s="1" t="s">
        <v>277</v>
      </c>
      <c r="N55" s="1" t="s">
        <v>278</v>
      </c>
      <c r="O55" s="1" t="s">
        <v>323</v>
      </c>
      <c r="P55" s="1" t="s">
        <v>284</v>
      </c>
      <c r="R55" s="1" t="str">
        <f t="shared" si="0"/>
        <v>NGAB08N60</v>
      </c>
    </row>
    <row r="56" spans="1:18">
      <c r="A56" s="1">
        <v>195549</v>
      </c>
      <c r="B56" s="1" t="s">
        <v>341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 t="s">
        <v>275</v>
      </c>
      <c r="L56" s="1" t="s">
        <v>276</v>
      </c>
      <c r="M56" s="1" t="s">
        <v>277</v>
      </c>
      <c r="N56" s="1" t="s">
        <v>278</v>
      </c>
      <c r="O56" s="1" t="s">
        <v>342</v>
      </c>
      <c r="P56" s="1" t="s">
        <v>280</v>
      </c>
      <c r="R56" s="1" t="str">
        <f t="shared" si="0"/>
        <v>NGCR08M30</v>
      </c>
    </row>
    <row r="57" spans="1:18">
      <c r="A57" s="1">
        <v>195550</v>
      </c>
      <c r="B57" s="1" t="s">
        <v>343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 t="s">
        <v>275</v>
      </c>
      <c r="L57" s="1" t="s">
        <v>276</v>
      </c>
      <c r="M57" s="1" t="s">
        <v>277</v>
      </c>
      <c r="N57" s="1" t="s">
        <v>278</v>
      </c>
      <c r="O57" s="1" t="s">
        <v>342</v>
      </c>
      <c r="P57" s="1" t="s">
        <v>282</v>
      </c>
      <c r="R57" s="1" t="str">
        <f t="shared" si="0"/>
        <v>NGCT08M30</v>
      </c>
    </row>
    <row r="58" spans="1:18">
      <c r="A58" s="1">
        <v>195551</v>
      </c>
      <c r="B58" s="1" t="s">
        <v>344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 t="s">
        <v>275</v>
      </c>
      <c r="L58" s="1" t="s">
        <v>276</v>
      </c>
      <c r="M58" s="1" t="s">
        <v>277</v>
      </c>
      <c r="N58" s="1" t="s">
        <v>278</v>
      </c>
      <c r="O58" s="1" t="s">
        <v>342</v>
      </c>
      <c r="P58" s="1" t="s">
        <v>284</v>
      </c>
      <c r="R58" s="1" t="str">
        <f t="shared" si="0"/>
        <v>NGCB08M30</v>
      </c>
    </row>
    <row r="59" spans="1:18">
      <c r="A59" s="1">
        <v>195552</v>
      </c>
      <c r="B59" s="1" t="s">
        <v>345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 t="s">
        <v>286</v>
      </c>
      <c r="L59" s="1" t="s">
        <v>276</v>
      </c>
      <c r="M59" s="1" t="s">
        <v>277</v>
      </c>
      <c r="N59" s="1" t="s">
        <v>278</v>
      </c>
      <c r="O59" s="1" t="s">
        <v>342</v>
      </c>
      <c r="P59" s="1" t="s">
        <v>280</v>
      </c>
      <c r="R59" s="1" t="str">
        <f t="shared" si="0"/>
        <v>NGCR08N30</v>
      </c>
    </row>
    <row r="60" spans="1:18">
      <c r="A60" s="1">
        <v>195553</v>
      </c>
      <c r="B60" s="1" t="s">
        <v>346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 t="s">
        <v>286</v>
      </c>
      <c r="L60" s="1" t="s">
        <v>276</v>
      </c>
      <c r="M60" s="1" t="s">
        <v>277</v>
      </c>
      <c r="N60" s="1" t="s">
        <v>278</v>
      </c>
      <c r="O60" s="1" t="s">
        <v>342</v>
      </c>
      <c r="P60" s="1" t="s">
        <v>282</v>
      </c>
      <c r="R60" s="1" t="str">
        <f t="shared" si="0"/>
        <v>NGCT08N30</v>
      </c>
    </row>
    <row r="61" spans="1:18">
      <c r="A61" s="1">
        <v>195554</v>
      </c>
      <c r="B61" s="1" t="s">
        <v>347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 t="s">
        <v>286</v>
      </c>
      <c r="L61" s="1" t="s">
        <v>276</v>
      </c>
      <c r="M61" s="1" t="s">
        <v>277</v>
      </c>
      <c r="N61" s="1" t="s">
        <v>278</v>
      </c>
      <c r="O61" s="1" t="s">
        <v>342</v>
      </c>
      <c r="P61" s="1" t="s">
        <v>284</v>
      </c>
      <c r="R61" s="1" t="str">
        <f t="shared" si="0"/>
        <v>NGCB08N30</v>
      </c>
    </row>
    <row r="62" spans="1:18">
      <c r="A62" s="1">
        <v>195555</v>
      </c>
      <c r="B62" s="1" t="s">
        <v>348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 t="s">
        <v>275</v>
      </c>
      <c r="L62" s="1" t="s">
        <v>290</v>
      </c>
      <c r="M62" s="1" t="s">
        <v>277</v>
      </c>
      <c r="N62" s="1" t="s">
        <v>278</v>
      </c>
      <c r="O62" s="1" t="s">
        <v>342</v>
      </c>
      <c r="P62" s="1" t="s">
        <v>280</v>
      </c>
      <c r="R62" s="1" t="str">
        <f t="shared" si="0"/>
        <v>NGCR08M40</v>
      </c>
    </row>
    <row r="63" spans="1:18">
      <c r="A63" s="1">
        <v>195556</v>
      </c>
      <c r="B63" s="1" t="s">
        <v>349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 t="s">
        <v>275</v>
      </c>
      <c r="L63" s="1" t="s">
        <v>290</v>
      </c>
      <c r="M63" s="1" t="s">
        <v>277</v>
      </c>
      <c r="N63" s="1" t="s">
        <v>278</v>
      </c>
      <c r="O63" s="1" t="s">
        <v>342</v>
      </c>
      <c r="P63" s="1" t="s">
        <v>282</v>
      </c>
      <c r="R63" s="1" t="str">
        <f t="shared" si="0"/>
        <v>NGCT08M40</v>
      </c>
    </row>
    <row r="64" spans="1:18">
      <c r="A64" s="1">
        <v>195557</v>
      </c>
      <c r="B64" s="1" t="s">
        <v>350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 t="s">
        <v>275</v>
      </c>
      <c r="L64" s="1" t="s">
        <v>290</v>
      </c>
      <c r="M64" s="1" t="s">
        <v>277</v>
      </c>
      <c r="N64" s="1" t="s">
        <v>278</v>
      </c>
      <c r="O64" s="1" t="s">
        <v>342</v>
      </c>
      <c r="P64" s="1" t="s">
        <v>284</v>
      </c>
      <c r="R64" s="1" t="str">
        <f t="shared" si="0"/>
        <v>NGCB08M40</v>
      </c>
    </row>
    <row r="65" spans="1:18">
      <c r="A65" s="1">
        <v>195558</v>
      </c>
      <c r="B65" s="1" t="s">
        <v>351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 t="s">
        <v>286</v>
      </c>
      <c r="L65" s="1" t="s">
        <v>290</v>
      </c>
      <c r="M65" s="1" t="s">
        <v>277</v>
      </c>
      <c r="N65" s="1" t="s">
        <v>278</v>
      </c>
      <c r="O65" s="1" t="s">
        <v>342</v>
      </c>
      <c r="P65" s="1" t="s">
        <v>280</v>
      </c>
      <c r="R65" s="1" t="str">
        <f t="shared" si="0"/>
        <v>NGCR08N40</v>
      </c>
    </row>
    <row r="66" spans="1:18">
      <c r="A66" s="1">
        <v>195559</v>
      </c>
      <c r="B66" s="1" t="s">
        <v>352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 t="s">
        <v>286</v>
      </c>
      <c r="L66" s="1" t="s">
        <v>290</v>
      </c>
      <c r="M66" s="1" t="s">
        <v>277</v>
      </c>
      <c r="N66" s="1" t="s">
        <v>278</v>
      </c>
      <c r="O66" s="1" t="s">
        <v>342</v>
      </c>
      <c r="P66" s="1" t="s">
        <v>282</v>
      </c>
      <c r="R66" s="1" t="str">
        <f t="shared" si="0"/>
        <v>NGCT08N40</v>
      </c>
    </row>
    <row r="67" spans="1:18">
      <c r="A67" s="1">
        <v>195560</v>
      </c>
      <c r="B67" s="1" t="s">
        <v>353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 t="s">
        <v>286</v>
      </c>
      <c r="L67" s="1" t="s">
        <v>290</v>
      </c>
      <c r="M67" s="1" t="s">
        <v>277</v>
      </c>
      <c r="N67" s="1" t="s">
        <v>278</v>
      </c>
      <c r="O67" s="1" t="s">
        <v>342</v>
      </c>
      <c r="P67" s="1" t="s">
        <v>284</v>
      </c>
      <c r="R67" s="1" t="str">
        <f t="shared" ref="R67:R73" si="1">MID(B67,1,9)</f>
        <v>NGCB08N40</v>
      </c>
    </row>
    <row r="68" spans="1:18">
      <c r="A68" s="1">
        <v>195561</v>
      </c>
      <c r="B68" s="1" t="s">
        <v>354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 t="s">
        <v>275</v>
      </c>
      <c r="L68" s="1" t="s">
        <v>297</v>
      </c>
      <c r="M68" s="1" t="s">
        <v>277</v>
      </c>
      <c r="N68" s="1" t="s">
        <v>278</v>
      </c>
      <c r="O68" s="1" t="s">
        <v>342</v>
      </c>
      <c r="P68" s="1" t="s">
        <v>280</v>
      </c>
      <c r="R68" s="1" t="str">
        <f t="shared" si="1"/>
        <v>NGCR08M60</v>
      </c>
    </row>
    <row r="69" spans="1:18">
      <c r="A69" s="1">
        <v>195562</v>
      </c>
      <c r="B69" s="1" t="s">
        <v>355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 t="s">
        <v>275</v>
      </c>
      <c r="L69" s="1" t="s">
        <v>297</v>
      </c>
      <c r="M69" s="1" t="s">
        <v>277</v>
      </c>
      <c r="N69" s="1" t="s">
        <v>278</v>
      </c>
      <c r="O69" s="1" t="s">
        <v>342</v>
      </c>
      <c r="P69" s="1" t="s">
        <v>282</v>
      </c>
      <c r="R69" s="1" t="str">
        <f t="shared" si="1"/>
        <v>NGCT08M60</v>
      </c>
    </row>
    <row r="70" spans="1:18">
      <c r="A70" s="1">
        <v>195563</v>
      </c>
      <c r="B70" s="1" t="s">
        <v>356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 t="s">
        <v>275</v>
      </c>
      <c r="L70" s="1" t="s">
        <v>297</v>
      </c>
      <c r="M70" s="1" t="s">
        <v>277</v>
      </c>
      <c r="N70" s="1" t="s">
        <v>278</v>
      </c>
      <c r="O70" s="1" t="s">
        <v>342</v>
      </c>
      <c r="P70" s="1" t="s">
        <v>284</v>
      </c>
      <c r="R70" s="1" t="str">
        <f t="shared" si="1"/>
        <v>NGCB08M60</v>
      </c>
    </row>
    <row r="71" spans="1:18">
      <c r="A71" s="1">
        <v>195564</v>
      </c>
      <c r="B71" s="1" t="s">
        <v>357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 t="s">
        <v>286</v>
      </c>
      <c r="L71" s="1" t="s">
        <v>297</v>
      </c>
      <c r="M71" s="1" t="s">
        <v>277</v>
      </c>
      <c r="N71" s="1" t="s">
        <v>278</v>
      </c>
      <c r="O71" s="1" t="s">
        <v>342</v>
      </c>
      <c r="P71" s="1" t="s">
        <v>280</v>
      </c>
      <c r="R71" s="1" t="str">
        <f t="shared" si="1"/>
        <v>NGCR08N60</v>
      </c>
    </row>
    <row r="72" spans="1:18">
      <c r="A72" s="1">
        <v>195565</v>
      </c>
      <c r="B72" s="1" t="s">
        <v>358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 t="s">
        <v>286</v>
      </c>
      <c r="L72" s="1" t="s">
        <v>297</v>
      </c>
      <c r="M72" s="1" t="s">
        <v>277</v>
      </c>
      <c r="N72" s="1" t="s">
        <v>278</v>
      </c>
      <c r="O72" s="1" t="s">
        <v>342</v>
      </c>
      <c r="P72" s="1" t="s">
        <v>282</v>
      </c>
      <c r="R72" s="1" t="str">
        <f t="shared" si="1"/>
        <v>NGCT08N60</v>
      </c>
    </row>
    <row r="73" spans="1:18">
      <c r="A73" s="1">
        <v>195566</v>
      </c>
      <c r="B73" s="1" t="s">
        <v>359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 t="s">
        <v>286</v>
      </c>
      <c r="L73" s="1" t="s">
        <v>297</v>
      </c>
      <c r="M73" s="1" t="s">
        <v>277</v>
      </c>
      <c r="N73" s="1" t="s">
        <v>278</v>
      </c>
      <c r="O73" s="1" t="s">
        <v>342</v>
      </c>
      <c r="P73" s="1" t="s">
        <v>284</v>
      </c>
      <c r="R73" s="1" t="str">
        <f t="shared" si="1"/>
        <v>NGCB08N60</v>
      </c>
    </row>
    <row r="74" spans="1:18">
      <c r="A74" s="1">
        <v>195573</v>
      </c>
      <c r="B74" s="1" t="s">
        <v>360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 t="s">
        <v>275</v>
      </c>
      <c r="L74" s="1" t="s">
        <v>276</v>
      </c>
      <c r="M74" s="1" t="s">
        <v>361</v>
      </c>
      <c r="N74" s="1" t="s">
        <v>278</v>
      </c>
      <c r="O74" s="1" t="s">
        <v>279</v>
      </c>
      <c r="P74" s="1" t="s">
        <v>280</v>
      </c>
      <c r="R74" s="1" t="str">
        <f>MID(B74,1,10)</f>
        <v>NGWR08M30T</v>
      </c>
    </row>
    <row r="75" spans="1:18">
      <c r="A75" s="1">
        <v>195574</v>
      </c>
      <c r="B75" s="1" t="s">
        <v>362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 t="s">
        <v>275</v>
      </c>
      <c r="L75" s="1" t="s">
        <v>276</v>
      </c>
      <c r="M75" s="1" t="s">
        <v>361</v>
      </c>
      <c r="N75" s="1" t="s">
        <v>278</v>
      </c>
      <c r="O75" s="1" t="s">
        <v>279</v>
      </c>
      <c r="P75" s="1" t="s">
        <v>282</v>
      </c>
      <c r="R75" s="1" t="str">
        <f t="shared" ref="R75:R138" si="2">MID(B75,1,10)</f>
        <v>NGWT08M30T</v>
      </c>
    </row>
    <row r="76" spans="1:18">
      <c r="A76" s="1">
        <v>195575</v>
      </c>
      <c r="B76" s="1" t="s">
        <v>363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 t="s">
        <v>275</v>
      </c>
      <c r="L76" s="1" t="s">
        <v>276</v>
      </c>
      <c r="M76" s="1" t="s">
        <v>361</v>
      </c>
      <c r="N76" s="1" t="s">
        <v>278</v>
      </c>
      <c r="O76" s="1" t="s">
        <v>279</v>
      </c>
      <c r="P76" s="1" t="s">
        <v>284</v>
      </c>
      <c r="R76" s="1" t="str">
        <f t="shared" si="2"/>
        <v>NGWB08M30T</v>
      </c>
    </row>
    <row r="77" spans="1:18">
      <c r="A77" s="1">
        <v>195576</v>
      </c>
      <c r="B77" s="1" t="s">
        <v>364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 t="s">
        <v>286</v>
      </c>
      <c r="L77" s="1" t="s">
        <v>276</v>
      </c>
      <c r="M77" s="1" t="s">
        <v>361</v>
      </c>
      <c r="N77" s="1" t="s">
        <v>278</v>
      </c>
      <c r="O77" s="1" t="s">
        <v>279</v>
      </c>
      <c r="P77" s="1" t="s">
        <v>280</v>
      </c>
      <c r="R77" s="1" t="str">
        <f t="shared" si="2"/>
        <v>NGWR08N30T</v>
      </c>
    </row>
    <row r="78" spans="1:18">
      <c r="A78" s="1">
        <v>195577</v>
      </c>
      <c r="B78" s="1" t="s">
        <v>365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 t="s">
        <v>286</v>
      </c>
      <c r="L78" s="1" t="s">
        <v>276</v>
      </c>
      <c r="M78" s="1" t="s">
        <v>361</v>
      </c>
      <c r="N78" s="1" t="s">
        <v>278</v>
      </c>
      <c r="O78" s="1" t="s">
        <v>279</v>
      </c>
      <c r="P78" s="1" t="s">
        <v>282</v>
      </c>
      <c r="R78" s="1" t="str">
        <f t="shared" si="2"/>
        <v>NGWT08N30T</v>
      </c>
    </row>
    <row r="79" spans="1:18">
      <c r="A79" s="1">
        <v>195578</v>
      </c>
      <c r="B79" s="1" t="s">
        <v>366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 t="s">
        <v>286</v>
      </c>
      <c r="L79" s="1" t="s">
        <v>276</v>
      </c>
      <c r="M79" s="1" t="s">
        <v>361</v>
      </c>
      <c r="N79" s="1" t="s">
        <v>278</v>
      </c>
      <c r="O79" s="1" t="s">
        <v>279</v>
      </c>
      <c r="P79" s="1" t="s">
        <v>284</v>
      </c>
      <c r="R79" s="1" t="str">
        <f t="shared" si="2"/>
        <v>NGWB08N30T</v>
      </c>
    </row>
    <row r="80" spans="1:18">
      <c r="A80" s="1">
        <v>195579</v>
      </c>
      <c r="B80" s="1" t="s">
        <v>367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 t="s">
        <v>275</v>
      </c>
      <c r="L80" s="1" t="s">
        <v>290</v>
      </c>
      <c r="M80" s="1" t="s">
        <v>361</v>
      </c>
      <c r="N80" s="1" t="s">
        <v>278</v>
      </c>
      <c r="O80" s="1" t="s">
        <v>279</v>
      </c>
      <c r="P80" s="1" t="s">
        <v>280</v>
      </c>
      <c r="R80" s="1" t="str">
        <f t="shared" si="2"/>
        <v>NGWR08M40T</v>
      </c>
    </row>
    <row r="81" spans="1:18">
      <c r="A81" s="1">
        <v>195580</v>
      </c>
      <c r="B81" s="1" t="s">
        <v>368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 t="s">
        <v>275</v>
      </c>
      <c r="L81" s="1" t="s">
        <v>290</v>
      </c>
      <c r="M81" s="1" t="s">
        <v>361</v>
      </c>
      <c r="N81" s="1" t="s">
        <v>278</v>
      </c>
      <c r="O81" s="1" t="s">
        <v>279</v>
      </c>
      <c r="P81" s="1" t="s">
        <v>282</v>
      </c>
      <c r="R81" s="1" t="str">
        <f t="shared" si="2"/>
        <v>NGWT08M40T</v>
      </c>
    </row>
    <row r="82" spans="1:18">
      <c r="A82" s="1">
        <v>195581</v>
      </c>
      <c r="B82" s="1" t="s">
        <v>369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 t="s">
        <v>275</v>
      </c>
      <c r="L82" s="1" t="s">
        <v>290</v>
      </c>
      <c r="M82" s="1" t="s">
        <v>361</v>
      </c>
      <c r="N82" s="1" t="s">
        <v>278</v>
      </c>
      <c r="O82" s="1" t="s">
        <v>279</v>
      </c>
      <c r="P82" s="1" t="s">
        <v>284</v>
      </c>
      <c r="R82" s="1" t="str">
        <f t="shared" si="2"/>
        <v>NGWB08M40T</v>
      </c>
    </row>
    <row r="83" spans="1:18">
      <c r="A83" s="1">
        <v>195582</v>
      </c>
      <c r="B83" s="1" t="s">
        <v>370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 t="s">
        <v>286</v>
      </c>
      <c r="L83" s="1" t="s">
        <v>290</v>
      </c>
      <c r="M83" s="1" t="s">
        <v>361</v>
      </c>
      <c r="N83" s="1" t="s">
        <v>278</v>
      </c>
      <c r="O83" s="1" t="s">
        <v>279</v>
      </c>
      <c r="P83" s="1" t="s">
        <v>280</v>
      </c>
      <c r="R83" s="1" t="str">
        <f t="shared" si="2"/>
        <v>NGWR08N40T</v>
      </c>
    </row>
    <row r="84" spans="1:18">
      <c r="A84" s="1">
        <v>195583</v>
      </c>
      <c r="B84" s="1" t="s">
        <v>371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 t="s">
        <v>286</v>
      </c>
      <c r="L84" s="1" t="s">
        <v>290</v>
      </c>
      <c r="M84" s="1" t="s">
        <v>361</v>
      </c>
      <c r="N84" s="1" t="s">
        <v>278</v>
      </c>
      <c r="O84" s="1" t="s">
        <v>279</v>
      </c>
      <c r="P84" s="1" t="s">
        <v>282</v>
      </c>
      <c r="R84" s="1" t="str">
        <f t="shared" si="2"/>
        <v>NGWT08N40T</v>
      </c>
    </row>
    <row r="85" spans="1:18">
      <c r="A85" s="1">
        <v>195584</v>
      </c>
      <c r="B85" s="1" t="s">
        <v>372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 t="s">
        <v>286</v>
      </c>
      <c r="L85" s="1" t="s">
        <v>290</v>
      </c>
      <c r="M85" s="1" t="s">
        <v>361</v>
      </c>
      <c r="N85" s="1" t="s">
        <v>278</v>
      </c>
      <c r="O85" s="1" t="s">
        <v>279</v>
      </c>
      <c r="P85" s="1" t="s">
        <v>284</v>
      </c>
      <c r="R85" s="1" t="str">
        <f t="shared" si="2"/>
        <v>NGWB08N40T</v>
      </c>
    </row>
    <row r="86" spans="1:18">
      <c r="A86" s="1">
        <v>195585</v>
      </c>
      <c r="B86" s="1" t="s">
        <v>373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 t="s">
        <v>275</v>
      </c>
      <c r="L86" s="1" t="s">
        <v>297</v>
      </c>
      <c r="M86" s="1" t="s">
        <v>361</v>
      </c>
      <c r="N86" s="1" t="s">
        <v>278</v>
      </c>
      <c r="O86" s="1" t="s">
        <v>279</v>
      </c>
      <c r="P86" s="1" t="s">
        <v>280</v>
      </c>
      <c r="R86" s="1" t="str">
        <f t="shared" si="2"/>
        <v>NGWR08M60T</v>
      </c>
    </row>
    <row r="87" spans="1:18">
      <c r="A87" s="1">
        <v>195586</v>
      </c>
      <c r="B87" s="1" t="s">
        <v>374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 t="s">
        <v>275</v>
      </c>
      <c r="L87" s="1" t="s">
        <v>297</v>
      </c>
      <c r="M87" s="1" t="s">
        <v>361</v>
      </c>
      <c r="N87" s="1" t="s">
        <v>278</v>
      </c>
      <c r="O87" s="1" t="s">
        <v>279</v>
      </c>
      <c r="P87" s="1" t="s">
        <v>282</v>
      </c>
      <c r="R87" s="1" t="str">
        <f t="shared" si="2"/>
        <v>NGWT08M60T</v>
      </c>
    </row>
    <row r="88" spans="1:18">
      <c r="A88" s="1">
        <v>195587</v>
      </c>
      <c r="B88" s="1" t="s">
        <v>375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 t="s">
        <v>275</v>
      </c>
      <c r="L88" s="1" t="s">
        <v>297</v>
      </c>
      <c r="M88" s="1" t="s">
        <v>361</v>
      </c>
      <c r="N88" s="1" t="s">
        <v>278</v>
      </c>
      <c r="O88" s="1" t="s">
        <v>279</v>
      </c>
      <c r="P88" s="1" t="s">
        <v>284</v>
      </c>
      <c r="R88" s="1" t="str">
        <f t="shared" si="2"/>
        <v>NGWB08M60T</v>
      </c>
    </row>
    <row r="89" spans="1:18">
      <c r="A89" s="1">
        <v>195588</v>
      </c>
      <c r="B89" s="1" t="s">
        <v>376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 t="s">
        <v>286</v>
      </c>
      <c r="L89" s="1" t="s">
        <v>297</v>
      </c>
      <c r="M89" s="1" t="s">
        <v>361</v>
      </c>
      <c r="N89" s="1" t="s">
        <v>278</v>
      </c>
      <c r="O89" s="1" t="s">
        <v>279</v>
      </c>
      <c r="P89" s="1" t="s">
        <v>280</v>
      </c>
      <c r="R89" s="1" t="str">
        <f t="shared" si="2"/>
        <v>NGWR08N60T</v>
      </c>
    </row>
    <row r="90" spans="1:18">
      <c r="A90" s="1">
        <v>195589</v>
      </c>
      <c r="B90" s="1" t="s">
        <v>377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 t="s">
        <v>286</v>
      </c>
      <c r="L90" s="1" t="s">
        <v>297</v>
      </c>
      <c r="M90" s="1" t="s">
        <v>361</v>
      </c>
      <c r="N90" s="1" t="s">
        <v>278</v>
      </c>
      <c r="O90" s="1" t="s">
        <v>279</v>
      </c>
      <c r="P90" s="1" t="s">
        <v>282</v>
      </c>
      <c r="R90" s="1" t="str">
        <f t="shared" si="2"/>
        <v>NGWT08N60T</v>
      </c>
    </row>
    <row r="91" spans="1:18">
      <c r="A91" s="1">
        <v>195590</v>
      </c>
      <c r="B91" s="1" t="s">
        <v>378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 t="s">
        <v>286</v>
      </c>
      <c r="L91" s="1" t="s">
        <v>297</v>
      </c>
      <c r="M91" s="1" t="s">
        <v>361</v>
      </c>
      <c r="N91" s="1" t="s">
        <v>278</v>
      </c>
      <c r="O91" s="1" t="s">
        <v>279</v>
      </c>
      <c r="P91" s="1" t="s">
        <v>284</v>
      </c>
      <c r="R91" s="1" t="str">
        <f t="shared" si="2"/>
        <v>NGWB08N60T</v>
      </c>
    </row>
    <row r="92" spans="1:18">
      <c r="A92" s="1">
        <v>195597</v>
      </c>
      <c r="B92" s="1" t="s">
        <v>379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 t="s">
        <v>275</v>
      </c>
      <c r="L92" s="1" t="s">
        <v>276</v>
      </c>
      <c r="M92" s="1" t="s">
        <v>361</v>
      </c>
      <c r="N92" s="1" t="s">
        <v>278</v>
      </c>
      <c r="O92" s="1" t="s">
        <v>304</v>
      </c>
      <c r="P92" s="1" t="s">
        <v>280</v>
      </c>
      <c r="R92" s="1" t="str">
        <f t="shared" si="2"/>
        <v>NGBR08M30T</v>
      </c>
    </row>
    <row r="93" spans="1:18">
      <c r="A93" s="1">
        <v>195598</v>
      </c>
      <c r="B93" s="1" t="s">
        <v>380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 t="s">
        <v>275</v>
      </c>
      <c r="L93" s="1" t="s">
        <v>276</v>
      </c>
      <c r="M93" s="1" t="s">
        <v>361</v>
      </c>
      <c r="N93" s="1" t="s">
        <v>278</v>
      </c>
      <c r="O93" s="1" t="s">
        <v>304</v>
      </c>
      <c r="P93" s="1" t="s">
        <v>282</v>
      </c>
      <c r="R93" s="1" t="str">
        <f t="shared" si="2"/>
        <v>NGBT08M30T</v>
      </c>
    </row>
    <row r="94" spans="1:18">
      <c r="A94" s="1">
        <v>195599</v>
      </c>
      <c r="B94" s="1" t="s">
        <v>381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 t="s">
        <v>275</v>
      </c>
      <c r="L94" s="1" t="s">
        <v>276</v>
      </c>
      <c r="M94" s="1" t="s">
        <v>361</v>
      </c>
      <c r="N94" s="1" t="s">
        <v>278</v>
      </c>
      <c r="O94" s="1" t="s">
        <v>304</v>
      </c>
      <c r="P94" s="1" t="s">
        <v>284</v>
      </c>
      <c r="R94" s="1" t="str">
        <f t="shared" si="2"/>
        <v>NGBB08M30T</v>
      </c>
    </row>
    <row r="95" spans="1:18">
      <c r="A95" s="1">
        <v>195600</v>
      </c>
      <c r="B95" s="1" t="s">
        <v>382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 t="s">
        <v>286</v>
      </c>
      <c r="L95" s="1" t="s">
        <v>276</v>
      </c>
      <c r="M95" s="1" t="s">
        <v>361</v>
      </c>
      <c r="N95" s="1" t="s">
        <v>278</v>
      </c>
      <c r="O95" s="1" t="s">
        <v>304</v>
      </c>
      <c r="P95" s="1" t="s">
        <v>280</v>
      </c>
      <c r="R95" s="1" t="str">
        <f t="shared" si="2"/>
        <v>NGBR08N30T</v>
      </c>
    </row>
    <row r="96" spans="1:18">
      <c r="A96" s="1">
        <v>195601</v>
      </c>
      <c r="B96" s="1" t="s">
        <v>383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 t="s">
        <v>286</v>
      </c>
      <c r="L96" s="1" t="s">
        <v>276</v>
      </c>
      <c r="M96" s="1" t="s">
        <v>361</v>
      </c>
      <c r="N96" s="1" t="s">
        <v>278</v>
      </c>
      <c r="O96" s="1" t="s">
        <v>304</v>
      </c>
      <c r="P96" s="1" t="s">
        <v>282</v>
      </c>
      <c r="R96" s="1" t="str">
        <f t="shared" si="2"/>
        <v>NGBT08N30T</v>
      </c>
    </row>
    <row r="97" spans="1:18">
      <c r="A97" s="1">
        <v>195602</v>
      </c>
      <c r="B97" s="1" t="s">
        <v>384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 t="s">
        <v>286</v>
      </c>
      <c r="L97" s="1" t="s">
        <v>276</v>
      </c>
      <c r="M97" s="1" t="s">
        <v>361</v>
      </c>
      <c r="N97" s="1" t="s">
        <v>278</v>
      </c>
      <c r="O97" s="1" t="s">
        <v>304</v>
      </c>
      <c r="P97" s="1" t="s">
        <v>284</v>
      </c>
      <c r="R97" s="1" t="str">
        <f t="shared" si="2"/>
        <v>NGBB08N30T</v>
      </c>
    </row>
    <row r="98" spans="1:18">
      <c r="A98" s="1">
        <v>195603</v>
      </c>
      <c r="B98" s="1" t="s">
        <v>385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 t="s">
        <v>275</v>
      </c>
      <c r="L98" s="1" t="s">
        <v>290</v>
      </c>
      <c r="M98" s="1" t="s">
        <v>361</v>
      </c>
      <c r="N98" s="1" t="s">
        <v>278</v>
      </c>
      <c r="O98" s="1" t="s">
        <v>304</v>
      </c>
      <c r="P98" s="1" t="s">
        <v>280</v>
      </c>
      <c r="R98" s="1" t="str">
        <f t="shared" si="2"/>
        <v>NGBR08M40T</v>
      </c>
    </row>
    <row r="99" spans="1:18">
      <c r="A99" s="1">
        <v>195604</v>
      </c>
      <c r="B99" s="1" t="s">
        <v>386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 t="s">
        <v>275</v>
      </c>
      <c r="L99" s="1" t="s">
        <v>290</v>
      </c>
      <c r="M99" s="1" t="s">
        <v>361</v>
      </c>
      <c r="N99" s="1" t="s">
        <v>278</v>
      </c>
      <c r="O99" s="1" t="s">
        <v>304</v>
      </c>
      <c r="P99" s="1" t="s">
        <v>282</v>
      </c>
      <c r="R99" s="1" t="str">
        <f t="shared" si="2"/>
        <v>NGBT08M40T</v>
      </c>
    </row>
    <row r="100" spans="1:18">
      <c r="A100" s="1">
        <v>195605</v>
      </c>
      <c r="B100" s="1" t="s">
        <v>387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 t="s">
        <v>275</v>
      </c>
      <c r="L100" s="1" t="s">
        <v>290</v>
      </c>
      <c r="M100" s="1" t="s">
        <v>361</v>
      </c>
      <c r="N100" s="1" t="s">
        <v>278</v>
      </c>
      <c r="O100" s="1" t="s">
        <v>304</v>
      </c>
      <c r="P100" s="1" t="s">
        <v>284</v>
      </c>
      <c r="R100" s="1" t="str">
        <f t="shared" si="2"/>
        <v>NGBB08M40T</v>
      </c>
    </row>
    <row r="101" spans="1:18">
      <c r="A101" s="1">
        <v>195606</v>
      </c>
      <c r="B101" s="1" t="s">
        <v>388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286</v>
      </c>
      <c r="L101" s="1" t="s">
        <v>290</v>
      </c>
      <c r="M101" s="1" t="s">
        <v>361</v>
      </c>
      <c r="N101" s="1" t="s">
        <v>278</v>
      </c>
      <c r="O101" s="1" t="s">
        <v>304</v>
      </c>
      <c r="P101" s="1" t="s">
        <v>280</v>
      </c>
      <c r="R101" s="1" t="str">
        <f t="shared" si="2"/>
        <v>NGBR08N40T</v>
      </c>
    </row>
    <row r="102" spans="1:18">
      <c r="A102" s="1">
        <v>195607</v>
      </c>
      <c r="B102" s="1" t="s">
        <v>389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 t="s">
        <v>286</v>
      </c>
      <c r="L102" s="1" t="s">
        <v>290</v>
      </c>
      <c r="M102" s="1" t="s">
        <v>361</v>
      </c>
      <c r="N102" s="1" t="s">
        <v>278</v>
      </c>
      <c r="O102" s="1" t="s">
        <v>304</v>
      </c>
      <c r="P102" s="1" t="s">
        <v>282</v>
      </c>
      <c r="R102" s="1" t="str">
        <f t="shared" si="2"/>
        <v>NGBT08N40T</v>
      </c>
    </row>
    <row r="103" spans="1:18">
      <c r="A103" s="1">
        <v>195608</v>
      </c>
      <c r="B103" s="1" t="s">
        <v>390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 t="s">
        <v>286</v>
      </c>
      <c r="L103" s="1" t="s">
        <v>290</v>
      </c>
      <c r="M103" s="1" t="s">
        <v>361</v>
      </c>
      <c r="N103" s="1" t="s">
        <v>278</v>
      </c>
      <c r="O103" s="1" t="s">
        <v>304</v>
      </c>
      <c r="P103" s="1" t="s">
        <v>284</v>
      </c>
      <c r="R103" s="1" t="str">
        <f t="shared" si="2"/>
        <v>NGBB08N40T</v>
      </c>
    </row>
    <row r="104" spans="1:18">
      <c r="A104" s="1">
        <v>195609</v>
      </c>
      <c r="B104" s="1" t="s">
        <v>391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 t="s">
        <v>275</v>
      </c>
      <c r="L104" s="1" t="s">
        <v>297</v>
      </c>
      <c r="M104" s="1" t="s">
        <v>361</v>
      </c>
      <c r="N104" s="1" t="s">
        <v>278</v>
      </c>
      <c r="O104" s="1" t="s">
        <v>304</v>
      </c>
      <c r="P104" s="1" t="s">
        <v>280</v>
      </c>
      <c r="R104" s="1" t="str">
        <f t="shared" si="2"/>
        <v>NGBR08M60T</v>
      </c>
    </row>
    <row r="105" spans="1:18">
      <c r="A105" s="1">
        <v>195610</v>
      </c>
      <c r="B105" s="1" t="s">
        <v>392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 t="s">
        <v>275</v>
      </c>
      <c r="L105" s="1" t="s">
        <v>297</v>
      </c>
      <c r="M105" s="1" t="s">
        <v>361</v>
      </c>
      <c r="N105" s="1" t="s">
        <v>278</v>
      </c>
      <c r="O105" s="1" t="s">
        <v>304</v>
      </c>
      <c r="P105" s="1" t="s">
        <v>282</v>
      </c>
      <c r="R105" s="1" t="str">
        <f t="shared" si="2"/>
        <v>NGBT08M60T</v>
      </c>
    </row>
    <row r="106" spans="1:18">
      <c r="A106" s="1">
        <v>195611</v>
      </c>
      <c r="B106" s="1" t="s">
        <v>393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 t="s">
        <v>275</v>
      </c>
      <c r="L106" s="1" t="s">
        <v>297</v>
      </c>
      <c r="M106" s="1" t="s">
        <v>361</v>
      </c>
      <c r="N106" s="1" t="s">
        <v>278</v>
      </c>
      <c r="O106" s="1" t="s">
        <v>304</v>
      </c>
      <c r="P106" s="1" t="s">
        <v>284</v>
      </c>
      <c r="R106" s="1" t="str">
        <f t="shared" si="2"/>
        <v>NGBB08M60T</v>
      </c>
    </row>
    <row r="107" spans="1:18">
      <c r="A107" s="1">
        <v>195612</v>
      </c>
      <c r="B107" s="1" t="s">
        <v>394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 t="s">
        <v>286</v>
      </c>
      <c r="L107" s="1" t="s">
        <v>297</v>
      </c>
      <c r="M107" s="1" t="s">
        <v>361</v>
      </c>
      <c r="N107" s="1" t="s">
        <v>278</v>
      </c>
      <c r="O107" s="1" t="s">
        <v>304</v>
      </c>
      <c r="P107" s="1" t="s">
        <v>280</v>
      </c>
      <c r="R107" s="1" t="str">
        <f t="shared" si="2"/>
        <v>NGBR08N60T</v>
      </c>
    </row>
    <row r="108" spans="1:18">
      <c r="A108" s="1">
        <v>195613</v>
      </c>
      <c r="B108" s="1" t="s">
        <v>395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 t="s">
        <v>286</v>
      </c>
      <c r="L108" s="1" t="s">
        <v>297</v>
      </c>
      <c r="M108" s="1" t="s">
        <v>361</v>
      </c>
      <c r="N108" s="1" t="s">
        <v>278</v>
      </c>
      <c r="O108" s="1" t="s">
        <v>304</v>
      </c>
      <c r="P108" s="1" t="s">
        <v>282</v>
      </c>
      <c r="R108" s="1" t="str">
        <f t="shared" si="2"/>
        <v>NGBT08N60T</v>
      </c>
    </row>
    <row r="109" spans="1:18">
      <c r="A109" s="1">
        <v>195614</v>
      </c>
      <c r="B109" s="1" t="s">
        <v>396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 t="s">
        <v>286</v>
      </c>
      <c r="L109" s="1" t="s">
        <v>297</v>
      </c>
      <c r="M109" s="1" t="s">
        <v>361</v>
      </c>
      <c r="N109" s="1" t="s">
        <v>278</v>
      </c>
      <c r="O109" s="1" t="s">
        <v>304</v>
      </c>
      <c r="P109" s="1" t="s">
        <v>284</v>
      </c>
      <c r="R109" s="1" t="str">
        <f t="shared" si="2"/>
        <v>NGBB08N60T</v>
      </c>
    </row>
    <row r="110" spans="1:18">
      <c r="A110" s="1">
        <v>195621</v>
      </c>
      <c r="B110" s="1" t="s">
        <v>397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 t="s">
        <v>275</v>
      </c>
      <c r="L110" s="1" t="s">
        <v>276</v>
      </c>
      <c r="M110" s="1" t="s">
        <v>361</v>
      </c>
      <c r="N110" s="1" t="s">
        <v>278</v>
      </c>
      <c r="O110" s="1" t="s">
        <v>323</v>
      </c>
      <c r="P110" s="1" t="s">
        <v>280</v>
      </c>
      <c r="R110" s="1" t="str">
        <f t="shared" si="2"/>
        <v>NGAR08M30T</v>
      </c>
    </row>
    <row r="111" spans="1:18">
      <c r="A111" s="1">
        <v>195622</v>
      </c>
      <c r="B111" s="1" t="s">
        <v>398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 t="s">
        <v>275</v>
      </c>
      <c r="L111" s="1" t="s">
        <v>276</v>
      </c>
      <c r="M111" s="1" t="s">
        <v>361</v>
      </c>
      <c r="N111" s="1" t="s">
        <v>278</v>
      </c>
      <c r="O111" s="1" t="s">
        <v>323</v>
      </c>
      <c r="P111" s="1" t="s">
        <v>282</v>
      </c>
      <c r="R111" s="1" t="str">
        <f t="shared" si="2"/>
        <v>NGAT08M30T</v>
      </c>
    </row>
    <row r="112" spans="1:18">
      <c r="A112" s="1">
        <v>195623</v>
      </c>
      <c r="B112" s="1" t="s">
        <v>399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 t="s">
        <v>275</v>
      </c>
      <c r="L112" s="1" t="s">
        <v>276</v>
      </c>
      <c r="M112" s="1" t="s">
        <v>361</v>
      </c>
      <c r="N112" s="1" t="s">
        <v>278</v>
      </c>
      <c r="O112" s="1" t="s">
        <v>323</v>
      </c>
      <c r="P112" s="1" t="s">
        <v>284</v>
      </c>
      <c r="R112" s="1" t="str">
        <f t="shared" si="2"/>
        <v>NGAB08M30T</v>
      </c>
    </row>
    <row r="113" spans="1:18">
      <c r="A113" s="1">
        <v>195624</v>
      </c>
      <c r="B113" s="1" t="s">
        <v>400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 t="s">
        <v>286</v>
      </c>
      <c r="L113" s="1" t="s">
        <v>276</v>
      </c>
      <c r="M113" s="1" t="s">
        <v>361</v>
      </c>
      <c r="N113" s="1" t="s">
        <v>278</v>
      </c>
      <c r="O113" s="1" t="s">
        <v>323</v>
      </c>
      <c r="P113" s="1" t="s">
        <v>280</v>
      </c>
      <c r="R113" s="1" t="str">
        <f t="shared" si="2"/>
        <v>NGAR08N30T</v>
      </c>
    </row>
    <row r="114" spans="1:18">
      <c r="A114" s="1">
        <v>195625</v>
      </c>
      <c r="B114" s="1" t="s">
        <v>401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 t="s">
        <v>286</v>
      </c>
      <c r="L114" s="1" t="s">
        <v>276</v>
      </c>
      <c r="M114" s="1" t="s">
        <v>361</v>
      </c>
      <c r="N114" s="1" t="s">
        <v>278</v>
      </c>
      <c r="O114" s="1" t="s">
        <v>323</v>
      </c>
      <c r="P114" s="1" t="s">
        <v>282</v>
      </c>
      <c r="R114" s="1" t="str">
        <f t="shared" si="2"/>
        <v>NGAT08N30T</v>
      </c>
    </row>
    <row r="115" spans="1:18">
      <c r="A115" s="1">
        <v>195626</v>
      </c>
      <c r="B115" s="1" t="s">
        <v>402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 t="s">
        <v>286</v>
      </c>
      <c r="L115" s="1" t="s">
        <v>276</v>
      </c>
      <c r="M115" s="1" t="s">
        <v>361</v>
      </c>
      <c r="N115" s="1" t="s">
        <v>278</v>
      </c>
      <c r="O115" s="1" t="s">
        <v>323</v>
      </c>
      <c r="P115" s="1" t="s">
        <v>284</v>
      </c>
      <c r="R115" s="1" t="str">
        <f t="shared" si="2"/>
        <v>NGAB08N30T</v>
      </c>
    </row>
    <row r="116" spans="1:18">
      <c r="A116" s="1">
        <v>195627</v>
      </c>
      <c r="B116" s="1" t="s">
        <v>403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 t="s">
        <v>275</v>
      </c>
      <c r="L116" s="1" t="s">
        <v>290</v>
      </c>
      <c r="M116" s="1" t="s">
        <v>361</v>
      </c>
      <c r="N116" s="1" t="s">
        <v>278</v>
      </c>
      <c r="O116" s="1" t="s">
        <v>323</v>
      </c>
      <c r="P116" s="1" t="s">
        <v>280</v>
      </c>
      <c r="R116" s="1" t="str">
        <f t="shared" si="2"/>
        <v>NGAR08M40T</v>
      </c>
    </row>
    <row r="117" spans="1:18">
      <c r="A117" s="1">
        <v>195628</v>
      </c>
      <c r="B117" s="1" t="s">
        <v>404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 t="s">
        <v>275</v>
      </c>
      <c r="L117" s="1" t="s">
        <v>290</v>
      </c>
      <c r="M117" s="1" t="s">
        <v>361</v>
      </c>
      <c r="N117" s="1" t="s">
        <v>278</v>
      </c>
      <c r="O117" s="1" t="s">
        <v>323</v>
      </c>
      <c r="P117" s="1" t="s">
        <v>282</v>
      </c>
      <c r="R117" s="1" t="str">
        <f t="shared" si="2"/>
        <v>NGAT08M40T</v>
      </c>
    </row>
    <row r="118" spans="1:18">
      <c r="A118" s="1">
        <v>195629</v>
      </c>
      <c r="B118" s="1" t="s">
        <v>405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 t="s">
        <v>275</v>
      </c>
      <c r="L118" s="1" t="s">
        <v>290</v>
      </c>
      <c r="M118" s="1" t="s">
        <v>361</v>
      </c>
      <c r="N118" s="1" t="s">
        <v>278</v>
      </c>
      <c r="O118" s="1" t="s">
        <v>323</v>
      </c>
      <c r="P118" s="1" t="s">
        <v>284</v>
      </c>
      <c r="R118" s="1" t="str">
        <f t="shared" si="2"/>
        <v>NGAB08M40T</v>
      </c>
    </row>
    <row r="119" spans="1:18">
      <c r="A119" s="1">
        <v>195630</v>
      </c>
      <c r="B119" s="1" t="s">
        <v>406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 t="s">
        <v>286</v>
      </c>
      <c r="L119" s="1" t="s">
        <v>290</v>
      </c>
      <c r="M119" s="1" t="s">
        <v>361</v>
      </c>
      <c r="N119" s="1" t="s">
        <v>278</v>
      </c>
      <c r="O119" s="1" t="s">
        <v>323</v>
      </c>
      <c r="P119" s="1" t="s">
        <v>280</v>
      </c>
      <c r="R119" s="1" t="str">
        <f t="shared" si="2"/>
        <v>NGAR08N40T</v>
      </c>
    </row>
    <row r="120" spans="1:18">
      <c r="A120" s="1">
        <v>195631</v>
      </c>
      <c r="B120" s="1" t="s">
        <v>407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286</v>
      </c>
      <c r="L120" s="1" t="s">
        <v>290</v>
      </c>
      <c r="M120" s="1" t="s">
        <v>361</v>
      </c>
      <c r="N120" s="1" t="s">
        <v>278</v>
      </c>
      <c r="O120" s="1" t="s">
        <v>323</v>
      </c>
      <c r="P120" s="1" t="s">
        <v>282</v>
      </c>
      <c r="R120" s="1" t="str">
        <f t="shared" si="2"/>
        <v>NGAT08N40T</v>
      </c>
    </row>
    <row r="121" spans="1:18">
      <c r="A121" s="1">
        <v>195632</v>
      </c>
      <c r="B121" s="1" t="s">
        <v>408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 t="s">
        <v>286</v>
      </c>
      <c r="L121" s="1" t="s">
        <v>290</v>
      </c>
      <c r="M121" s="1" t="s">
        <v>361</v>
      </c>
      <c r="N121" s="1" t="s">
        <v>278</v>
      </c>
      <c r="O121" s="1" t="s">
        <v>323</v>
      </c>
      <c r="P121" s="1" t="s">
        <v>284</v>
      </c>
      <c r="R121" s="1" t="str">
        <f t="shared" si="2"/>
        <v>NGAB08N40T</v>
      </c>
    </row>
    <row r="122" spans="1:18">
      <c r="A122" s="1">
        <v>195633</v>
      </c>
      <c r="B122" s="1" t="s">
        <v>409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 t="s">
        <v>275</v>
      </c>
      <c r="L122" s="1" t="s">
        <v>297</v>
      </c>
      <c r="M122" s="1" t="s">
        <v>361</v>
      </c>
      <c r="N122" s="1" t="s">
        <v>278</v>
      </c>
      <c r="O122" s="1" t="s">
        <v>323</v>
      </c>
      <c r="P122" s="1" t="s">
        <v>280</v>
      </c>
      <c r="R122" s="1" t="str">
        <f t="shared" si="2"/>
        <v>NGAR08M60T</v>
      </c>
    </row>
    <row r="123" spans="1:18">
      <c r="A123" s="1">
        <v>195634</v>
      </c>
      <c r="B123" s="1" t="s">
        <v>410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 t="s">
        <v>275</v>
      </c>
      <c r="L123" s="1" t="s">
        <v>297</v>
      </c>
      <c r="M123" s="1" t="s">
        <v>361</v>
      </c>
      <c r="N123" s="1" t="s">
        <v>278</v>
      </c>
      <c r="O123" s="1" t="s">
        <v>323</v>
      </c>
      <c r="P123" s="1" t="s">
        <v>282</v>
      </c>
      <c r="R123" s="1" t="str">
        <f t="shared" si="2"/>
        <v>NGAT08M60T</v>
      </c>
    </row>
    <row r="124" spans="1:18">
      <c r="A124" s="1">
        <v>195635</v>
      </c>
      <c r="B124" s="1" t="s">
        <v>411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275</v>
      </c>
      <c r="L124" s="1" t="s">
        <v>297</v>
      </c>
      <c r="M124" s="1" t="s">
        <v>361</v>
      </c>
      <c r="N124" s="1" t="s">
        <v>278</v>
      </c>
      <c r="O124" s="1" t="s">
        <v>323</v>
      </c>
      <c r="P124" s="1" t="s">
        <v>284</v>
      </c>
      <c r="R124" s="1" t="str">
        <f t="shared" si="2"/>
        <v>NGAB08M60T</v>
      </c>
    </row>
    <row r="125" spans="1:18">
      <c r="A125" s="1">
        <v>195636</v>
      </c>
      <c r="B125" s="1" t="s">
        <v>412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 t="s">
        <v>286</v>
      </c>
      <c r="L125" s="1" t="s">
        <v>297</v>
      </c>
      <c r="M125" s="1" t="s">
        <v>361</v>
      </c>
      <c r="N125" s="1" t="s">
        <v>278</v>
      </c>
      <c r="O125" s="1" t="s">
        <v>323</v>
      </c>
      <c r="P125" s="1" t="s">
        <v>280</v>
      </c>
      <c r="R125" s="1" t="str">
        <f t="shared" si="2"/>
        <v>NGAR08N60T</v>
      </c>
    </row>
    <row r="126" spans="1:18">
      <c r="A126" s="1">
        <v>195637</v>
      </c>
      <c r="B126" s="1" t="s">
        <v>413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 t="s">
        <v>286</v>
      </c>
      <c r="L126" s="1" t="s">
        <v>297</v>
      </c>
      <c r="M126" s="1" t="s">
        <v>361</v>
      </c>
      <c r="N126" s="1" t="s">
        <v>278</v>
      </c>
      <c r="O126" s="1" t="s">
        <v>323</v>
      </c>
      <c r="P126" s="1" t="s">
        <v>282</v>
      </c>
      <c r="R126" s="1" t="str">
        <f t="shared" si="2"/>
        <v>NGAT08N60T</v>
      </c>
    </row>
    <row r="127" spans="1:18">
      <c r="A127" s="1">
        <v>195638</v>
      </c>
      <c r="B127" s="1" t="s">
        <v>414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286</v>
      </c>
      <c r="L127" s="1" t="s">
        <v>297</v>
      </c>
      <c r="M127" s="1" t="s">
        <v>361</v>
      </c>
      <c r="N127" s="1" t="s">
        <v>278</v>
      </c>
      <c r="O127" s="1" t="s">
        <v>323</v>
      </c>
      <c r="P127" s="1" t="s">
        <v>284</v>
      </c>
      <c r="R127" s="1" t="str">
        <f t="shared" si="2"/>
        <v>NGAB08N60T</v>
      </c>
    </row>
    <row r="128" spans="1:18">
      <c r="A128" s="1">
        <v>195645</v>
      </c>
      <c r="B128" s="1" t="s">
        <v>415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275</v>
      </c>
      <c r="L128" s="1" t="s">
        <v>276</v>
      </c>
      <c r="M128" s="1" t="s">
        <v>361</v>
      </c>
      <c r="N128" s="1" t="s">
        <v>278</v>
      </c>
      <c r="O128" s="1" t="s">
        <v>342</v>
      </c>
      <c r="P128" s="1" t="s">
        <v>280</v>
      </c>
      <c r="R128" s="1" t="str">
        <f t="shared" si="2"/>
        <v>NGCR08M30T</v>
      </c>
    </row>
    <row r="129" spans="1:18">
      <c r="A129" s="1">
        <v>195646</v>
      </c>
      <c r="B129" s="1" t="s">
        <v>416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275</v>
      </c>
      <c r="L129" s="1" t="s">
        <v>276</v>
      </c>
      <c r="M129" s="1" t="s">
        <v>361</v>
      </c>
      <c r="N129" s="1" t="s">
        <v>278</v>
      </c>
      <c r="O129" s="1" t="s">
        <v>342</v>
      </c>
      <c r="P129" s="1" t="s">
        <v>282</v>
      </c>
      <c r="R129" s="1" t="str">
        <f t="shared" si="2"/>
        <v>NGCT08M30T</v>
      </c>
    </row>
    <row r="130" spans="1:18">
      <c r="A130" s="1">
        <v>195647</v>
      </c>
      <c r="B130" s="1" t="s">
        <v>417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 t="s">
        <v>275</v>
      </c>
      <c r="L130" s="1" t="s">
        <v>276</v>
      </c>
      <c r="M130" s="1" t="s">
        <v>361</v>
      </c>
      <c r="N130" s="1" t="s">
        <v>278</v>
      </c>
      <c r="O130" s="1" t="s">
        <v>342</v>
      </c>
      <c r="P130" s="1" t="s">
        <v>284</v>
      </c>
      <c r="R130" s="1" t="str">
        <f t="shared" si="2"/>
        <v>NGCB08M30T</v>
      </c>
    </row>
    <row r="131" spans="1:18">
      <c r="A131" s="1">
        <v>195648</v>
      </c>
      <c r="B131" s="1" t="s">
        <v>418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 t="s">
        <v>286</v>
      </c>
      <c r="L131" s="1" t="s">
        <v>276</v>
      </c>
      <c r="M131" s="1" t="s">
        <v>361</v>
      </c>
      <c r="N131" s="1" t="s">
        <v>278</v>
      </c>
      <c r="O131" s="1" t="s">
        <v>342</v>
      </c>
      <c r="P131" s="1" t="s">
        <v>280</v>
      </c>
      <c r="R131" s="1" t="str">
        <f t="shared" si="2"/>
        <v>NGCR08N30T</v>
      </c>
    </row>
    <row r="132" spans="1:18">
      <c r="A132" s="1">
        <v>195649</v>
      </c>
      <c r="B132" s="1" t="s">
        <v>419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 t="s">
        <v>286</v>
      </c>
      <c r="L132" s="1" t="s">
        <v>276</v>
      </c>
      <c r="M132" s="1" t="s">
        <v>361</v>
      </c>
      <c r="N132" s="1" t="s">
        <v>278</v>
      </c>
      <c r="O132" s="1" t="s">
        <v>342</v>
      </c>
      <c r="P132" s="1" t="s">
        <v>282</v>
      </c>
      <c r="R132" s="1" t="str">
        <f t="shared" si="2"/>
        <v>NGCT08N30T</v>
      </c>
    </row>
    <row r="133" spans="1:18">
      <c r="A133" s="1">
        <v>195650</v>
      </c>
      <c r="B133" s="1" t="s">
        <v>420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 t="s">
        <v>286</v>
      </c>
      <c r="L133" s="1" t="s">
        <v>276</v>
      </c>
      <c r="M133" s="1" t="s">
        <v>361</v>
      </c>
      <c r="N133" s="1" t="s">
        <v>278</v>
      </c>
      <c r="O133" s="1" t="s">
        <v>342</v>
      </c>
      <c r="P133" s="1" t="s">
        <v>284</v>
      </c>
      <c r="R133" s="1" t="str">
        <f t="shared" si="2"/>
        <v>NGCB08N30T</v>
      </c>
    </row>
    <row r="134" spans="1:18">
      <c r="A134" s="1">
        <v>195651</v>
      </c>
      <c r="B134" s="1" t="s">
        <v>421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 t="s">
        <v>275</v>
      </c>
      <c r="L134" s="1" t="s">
        <v>290</v>
      </c>
      <c r="M134" s="1" t="s">
        <v>361</v>
      </c>
      <c r="N134" s="1" t="s">
        <v>278</v>
      </c>
      <c r="O134" s="1" t="s">
        <v>342</v>
      </c>
      <c r="P134" s="1" t="s">
        <v>280</v>
      </c>
      <c r="R134" s="1" t="str">
        <f t="shared" si="2"/>
        <v>NGCR08M40T</v>
      </c>
    </row>
    <row r="135" spans="1:18">
      <c r="A135" s="1">
        <v>195652</v>
      </c>
      <c r="B135" s="1" t="s">
        <v>422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 t="s">
        <v>275</v>
      </c>
      <c r="L135" s="1" t="s">
        <v>290</v>
      </c>
      <c r="M135" s="1" t="s">
        <v>361</v>
      </c>
      <c r="N135" s="1" t="s">
        <v>278</v>
      </c>
      <c r="O135" s="1" t="s">
        <v>342</v>
      </c>
      <c r="P135" s="1" t="s">
        <v>282</v>
      </c>
      <c r="R135" s="1" t="str">
        <f t="shared" si="2"/>
        <v>NGCT08M40T</v>
      </c>
    </row>
    <row r="136" spans="1:18">
      <c r="A136" s="1">
        <v>195653</v>
      </c>
      <c r="B136" s="1" t="s">
        <v>423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 t="s">
        <v>275</v>
      </c>
      <c r="L136" s="1" t="s">
        <v>290</v>
      </c>
      <c r="M136" s="1" t="s">
        <v>361</v>
      </c>
      <c r="N136" s="1" t="s">
        <v>278</v>
      </c>
      <c r="O136" s="1" t="s">
        <v>342</v>
      </c>
      <c r="P136" s="1" t="s">
        <v>284</v>
      </c>
      <c r="R136" s="1" t="str">
        <f t="shared" si="2"/>
        <v>NGCB08M40T</v>
      </c>
    </row>
    <row r="137" spans="1:18">
      <c r="A137" s="1">
        <v>195654</v>
      </c>
      <c r="B137" s="1" t="s">
        <v>424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 t="s">
        <v>286</v>
      </c>
      <c r="L137" s="1" t="s">
        <v>290</v>
      </c>
      <c r="M137" s="1" t="s">
        <v>361</v>
      </c>
      <c r="N137" s="1" t="s">
        <v>278</v>
      </c>
      <c r="O137" s="1" t="s">
        <v>342</v>
      </c>
      <c r="P137" s="1" t="s">
        <v>280</v>
      </c>
      <c r="R137" s="1" t="str">
        <f t="shared" si="2"/>
        <v>NGCR08N40T</v>
      </c>
    </row>
    <row r="138" spans="1:18">
      <c r="A138" s="1">
        <v>195655</v>
      </c>
      <c r="B138" s="1" t="s">
        <v>425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 t="s">
        <v>286</v>
      </c>
      <c r="L138" s="1" t="s">
        <v>290</v>
      </c>
      <c r="M138" s="1" t="s">
        <v>361</v>
      </c>
      <c r="N138" s="1" t="s">
        <v>278</v>
      </c>
      <c r="O138" s="1" t="s">
        <v>342</v>
      </c>
      <c r="P138" s="1" t="s">
        <v>282</v>
      </c>
      <c r="R138" s="1" t="str">
        <f t="shared" si="2"/>
        <v>NGCT08N40T</v>
      </c>
    </row>
    <row r="139" spans="1:18">
      <c r="A139" s="1">
        <v>195656</v>
      </c>
      <c r="B139" s="1" t="s">
        <v>426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 t="s">
        <v>286</v>
      </c>
      <c r="L139" s="1" t="s">
        <v>290</v>
      </c>
      <c r="M139" s="1" t="s">
        <v>361</v>
      </c>
      <c r="N139" s="1" t="s">
        <v>278</v>
      </c>
      <c r="O139" s="1" t="s">
        <v>342</v>
      </c>
      <c r="P139" s="1" t="s">
        <v>284</v>
      </c>
      <c r="R139" s="1" t="str">
        <f t="shared" ref="R139:R146" si="3">MID(B139,1,10)</f>
        <v>NGCB08N40T</v>
      </c>
    </row>
    <row r="140" spans="1:18">
      <c r="A140" s="1">
        <v>195657</v>
      </c>
      <c r="B140" s="1" t="s">
        <v>427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 t="s">
        <v>275</v>
      </c>
      <c r="L140" s="1" t="s">
        <v>297</v>
      </c>
      <c r="M140" s="1" t="s">
        <v>361</v>
      </c>
      <c r="N140" s="1" t="s">
        <v>278</v>
      </c>
      <c r="O140" s="1" t="s">
        <v>342</v>
      </c>
      <c r="P140" s="1" t="s">
        <v>280</v>
      </c>
      <c r="R140" s="1" t="str">
        <f t="shared" si="3"/>
        <v>NGCR08M60T</v>
      </c>
    </row>
    <row r="141" spans="1:18">
      <c r="A141" s="1">
        <v>195658</v>
      </c>
      <c r="B141" s="1" t="s">
        <v>428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 t="s">
        <v>275</v>
      </c>
      <c r="L141" s="1" t="s">
        <v>297</v>
      </c>
      <c r="M141" s="1" t="s">
        <v>361</v>
      </c>
      <c r="N141" s="1" t="s">
        <v>278</v>
      </c>
      <c r="O141" s="1" t="s">
        <v>342</v>
      </c>
      <c r="P141" s="1" t="s">
        <v>282</v>
      </c>
      <c r="R141" s="1" t="str">
        <f t="shared" si="3"/>
        <v>NGCT08M60T</v>
      </c>
    </row>
    <row r="142" spans="1:18">
      <c r="A142" s="1">
        <v>195659</v>
      </c>
      <c r="B142" s="1" t="s">
        <v>429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 t="s">
        <v>275</v>
      </c>
      <c r="L142" s="1" t="s">
        <v>297</v>
      </c>
      <c r="M142" s="1" t="s">
        <v>361</v>
      </c>
      <c r="N142" s="1" t="s">
        <v>278</v>
      </c>
      <c r="O142" s="1" t="s">
        <v>342</v>
      </c>
      <c r="P142" s="1" t="s">
        <v>284</v>
      </c>
      <c r="R142" s="1" t="str">
        <f t="shared" si="3"/>
        <v>NGCB08M60T</v>
      </c>
    </row>
    <row r="143" spans="1:18">
      <c r="A143" s="1">
        <v>195660</v>
      </c>
      <c r="B143" s="1" t="s">
        <v>430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 t="s">
        <v>286</v>
      </c>
      <c r="L143" s="1" t="s">
        <v>297</v>
      </c>
      <c r="M143" s="1" t="s">
        <v>361</v>
      </c>
      <c r="N143" s="1" t="s">
        <v>278</v>
      </c>
      <c r="O143" s="1" t="s">
        <v>342</v>
      </c>
      <c r="P143" s="1" t="s">
        <v>280</v>
      </c>
      <c r="R143" s="1" t="str">
        <f t="shared" si="3"/>
        <v>NGCR08N60T</v>
      </c>
    </row>
    <row r="144" spans="1:18">
      <c r="A144" s="1">
        <v>195661</v>
      </c>
      <c r="B144" s="1" t="s">
        <v>431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 t="s">
        <v>286</v>
      </c>
      <c r="L144" s="1" t="s">
        <v>297</v>
      </c>
      <c r="M144" s="1" t="s">
        <v>361</v>
      </c>
      <c r="N144" s="1" t="s">
        <v>278</v>
      </c>
      <c r="O144" s="1" t="s">
        <v>342</v>
      </c>
      <c r="P144" s="1" t="s">
        <v>282</v>
      </c>
      <c r="R144" s="1" t="str">
        <f t="shared" si="3"/>
        <v>NGCT08N60T</v>
      </c>
    </row>
    <row r="145" spans="1:18">
      <c r="A145" s="1">
        <v>195662</v>
      </c>
      <c r="B145" s="1" t="s">
        <v>432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 t="s">
        <v>286</v>
      </c>
      <c r="L145" s="1" t="s">
        <v>297</v>
      </c>
      <c r="M145" s="1" t="s">
        <v>361</v>
      </c>
      <c r="N145" s="1" t="s">
        <v>278</v>
      </c>
      <c r="O145" s="1" t="s">
        <v>342</v>
      </c>
      <c r="P145" s="1" t="s">
        <v>284</v>
      </c>
      <c r="R145" s="1" t="str">
        <f t="shared" si="3"/>
        <v>NGCB08N60T</v>
      </c>
    </row>
    <row r="146" spans="1:18">
      <c r="A146" s="1">
        <v>195669</v>
      </c>
      <c r="B146" s="1" t="s">
        <v>433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 t="s">
        <v>275</v>
      </c>
      <c r="L146" s="1" t="s">
        <v>276</v>
      </c>
      <c r="M146" s="1" t="s">
        <v>434</v>
      </c>
      <c r="N146" s="1" t="s">
        <v>278</v>
      </c>
      <c r="O146" s="1" t="s">
        <v>279</v>
      </c>
      <c r="P146" s="1" t="s">
        <v>280</v>
      </c>
      <c r="R146" s="1" t="str">
        <f t="shared" si="3"/>
        <v>NGWR08M30I</v>
      </c>
    </row>
    <row r="147" spans="1:18">
      <c r="A147" s="1">
        <v>195670</v>
      </c>
      <c r="B147" s="1" t="s">
        <v>435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 t="s">
        <v>275</v>
      </c>
      <c r="L147" s="1" t="s">
        <v>276</v>
      </c>
      <c r="M147" s="1" t="s">
        <v>434</v>
      </c>
      <c r="N147" s="1" t="s">
        <v>278</v>
      </c>
      <c r="O147" s="1" t="s">
        <v>279</v>
      </c>
      <c r="P147" s="1" t="s">
        <v>282</v>
      </c>
      <c r="R147" s="1" t="str">
        <f t="shared" ref="R147:R210" si="4">MID(B147,1,10)</f>
        <v>NGWT08M30I</v>
      </c>
    </row>
    <row r="148" spans="1:18">
      <c r="A148" s="1">
        <v>195671</v>
      </c>
      <c r="B148" s="1" t="s">
        <v>436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 t="s">
        <v>275</v>
      </c>
      <c r="L148" s="1" t="s">
        <v>276</v>
      </c>
      <c r="M148" s="1" t="s">
        <v>434</v>
      </c>
      <c r="N148" s="1" t="s">
        <v>278</v>
      </c>
      <c r="O148" s="1" t="s">
        <v>279</v>
      </c>
      <c r="P148" s="1" t="s">
        <v>284</v>
      </c>
      <c r="R148" s="1" t="str">
        <f t="shared" si="4"/>
        <v>NGWB08M30I</v>
      </c>
    </row>
    <row r="149" spans="1:18">
      <c r="A149" s="1">
        <v>195672</v>
      </c>
      <c r="B149" s="1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 t="s">
        <v>286</v>
      </c>
      <c r="L149" s="1" t="s">
        <v>276</v>
      </c>
      <c r="M149" s="1" t="s">
        <v>434</v>
      </c>
      <c r="N149" s="1" t="s">
        <v>278</v>
      </c>
      <c r="O149" s="1" t="s">
        <v>279</v>
      </c>
      <c r="P149" s="1" t="s">
        <v>280</v>
      </c>
      <c r="R149" s="1" t="str">
        <f t="shared" si="4"/>
        <v>NGWR08N30I</v>
      </c>
    </row>
    <row r="150" spans="1:18">
      <c r="A150" s="1">
        <v>195673</v>
      </c>
      <c r="B150" s="1" t="s">
        <v>438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 t="s">
        <v>286</v>
      </c>
      <c r="L150" s="1" t="s">
        <v>276</v>
      </c>
      <c r="M150" s="1" t="s">
        <v>434</v>
      </c>
      <c r="N150" s="1" t="s">
        <v>278</v>
      </c>
      <c r="O150" s="1" t="s">
        <v>279</v>
      </c>
      <c r="P150" s="1" t="s">
        <v>282</v>
      </c>
      <c r="R150" s="1" t="str">
        <f t="shared" si="4"/>
        <v>NGWT08N30I</v>
      </c>
    </row>
    <row r="151" spans="1:18">
      <c r="A151" s="1">
        <v>195674</v>
      </c>
      <c r="B151" s="1" t="s">
        <v>439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 t="s">
        <v>286</v>
      </c>
      <c r="L151" s="1" t="s">
        <v>276</v>
      </c>
      <c r="M151" s="1" t="s">
        <v>434</v>
      </c>
      <c r="N151" s="1" t="s">
        <v>278</v>
      </c>
      <c r="O151" s="1" t="s">
        <v>279</v>
      </c>
      <c r="P151" s="1" t="s">
        <v>284</v>
      </c>
      <c r="R151" s="1" t="str">
        <f t="shared" si="4"/>
        <v>NGWB08N30I</v>
      </c>
    </row>
    <row r="152" spans="1:18">
      <c r="A152" s="1">
        <v>195675</v>
      </c>
      <c r="B152" s="1" t="s">
        <v>440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 t="s">
        <v>275</v>
      </c>
      <c r="L152" s="1" t="s">
        <v>290</v>
      </c>
      <c r="M152" s="1" t="s">
        <v>434</v>
      </c>
      <c r="N152" s="1" t="s">
        <v>278</v>
      </c>
      <c r="O152" s="1" t="s">
        <v>279</v>
      </c>
      <c r="P152" s="1" t="s">
        <v>280</v>
      </c>
      <c r="R152" s="1" t="str">
        <f t="shared" si="4"/>
        <v>NGWR08M40I</v>
      </c>
    </row>
    <row r="153" spans="1:18">
      <c r="A153" s="1">
        <v>195676</v>
      </c>
      <c r="B153" s="1" t="s">
        <v>441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 t="s">
        <v>275</v>
      </c>
      <c r="L153" s="1" t="s">
        <v>290</v>
      </c>
      <c r="M153" s="1" t="s">
        <v>434</v>
      </c>
      <c r="N153" s="1" t="s">
        <v>278</v>
      </c>
      <c r="O153" s="1" t="s">
        <v>279</v>
      </c>
      <c r="P153" s="1" t="s">
        <v>282</v>
      </c>
      <c r="R153" s="1" t="str">
        <f t="shared" si="4"/>
        <v>NGWT08M40I</v>
      </c>
    </row>
    <row r="154" spans="1:18">
      <c r="A154" s="1">
        <v>195677</v>
      </c>
      <c r="B154" s="1" t="s">
        <v>442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 t="s">
        <v>275</v>
      </c>
      <c r="L154" s="1" t="s">
        <v>290</v>
      </c>
      <c r="M154" s="1" t="s">
        <v>434</v>
      </c>
      <c r="N154" s="1" t="s">
        <v>278</v>
      </c>
      <c r="O154" s="1" t="s">
        <v>279</v>
      </c>
      <c r="P154" s="1" t="s">
        <v>284</v>
      </c>
      <c r="R154" s="1" t="str">
        <f t="shared" si="4"/>
        <v>NGWB08M40I</v>
      </c>
    </row>
    <row r="155" spans="1:18">
      <c r="A155" s="1">
        <v>195678</v>
      </c>
      <c r="B155" s="1" t="s">
        <v>443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 t="s">
        <v>286</v>
      </c>
      <c r="L155" s="1" t="s">
        <v>290</v>
      </c>
      <c r="M155" s="1" t="s">
        <v>434</v>
      </c>
      <c r="N155" s="1" t="s">
        <v>278</v>
      </c>
      <c r="O155" s="1" t="s">
        <v>279</v>
      </c>
      <c r="P155" s="1" t="s">
        <v>280</v>
      </c>
      <c r="R155" s="1" t="str">
        <f t="shared" si="4"/>
        <v>NGWR08N40I</v>
      </c>
    </row>
    <row r="156" spans="1:18">
      <c r="A156" s="1">
        <v>195679</v>
      </c>
      <c r="B156" s="1" t="s">
        <v>444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 t="s">
        <v>286</v>
      </c>
      <c r="L156" s="1" t="s">
        <v>290</v>
      </c>
      <c r="M156" s="1" t="s">
        <v>434</v>
      </c>
      <c r="N156" s="1" t="s">
        <v>278</v>
      </c>
      <c r="O156" s="1" t="s">
        <v>279</v>
      </c>
      <c r="P156" s="1" t="s">
        <v>282</v>
      </c>
      <c r="R156" s="1" t="str">
        <f t="shared" si="4"/>
        <v>NGWT08N40I</v>
      </c>
    </row>
    <row r="157" spans="1:18">
      <c r="A157" s="1">
        <v>195680</v>
      </c>
      <c r="B157" s="1" t="s">
        <v>445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 t="s">
        <v>286</v>
      </c>
      <c r="L157" s="1" t="s">
        <v>290</v>
      </c>
      <c r="M157" s="1" t="s">
        <v>434</v>
      </c>
      <c r="N157" s="1" t="s">
        <v>278</v>
      </c>
      <c r="O157" s="1" t="s">
        <v>279</v>
      </c>
      <c r="P157" s="1" t="s">
        <v>284</v>
      </c>
      <c r="R157" s="1" t="str">
        <f t="shared" si="4"/>
        <v>NGWB08N40I</v>
      </c>
    </row>
    <row r="158" spans="1:18">
      <c r="A158" s="1">
        <v>195681</v>
      </c>
      <c r="B158" s="1" t="s">
        <v>446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 t="s">
        <v>275</v>
      </c>
      <c r="L158" s="1" t="s">
        <v>297</v>
      </c>
      <c r="M158" s="1" t="s">
        <v>434</v>
      </c>
      <c r="N158" s="1" t="s">
        <v>278</v>
      </c>
      <c r="O158" s="1" t="s">
        <v>279</v>
      </c>
      <c r="P158" s="1" t="s">
        <v>280</v>
      </c>
      <c r="R158" s="1" t="str">
        <f t="shared" si="4"/>
        <v>NGWR08M60I</v>
      </c>
    </row>
    <row r="159" spans="1:18">
      <c r="A159" s="1">
        <v>195682</v>
      </c>
      <c r="B159" s="1" t="s">
        <v>447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 t="s">
        <v>275</v>
      </c>
      <c r="L159" s="1" t="s">
        <v>297</v>
      </c>
      <c r="M159" s="1" t="s">
        <v>434</v>
      </c>
      <c r="N159" s="1" t="s">
        <v>278</v>
      </c>
      <c r="O159" s="1" t="s">
        <v>279</v>
      </c>
      <c r="P159" s="1" t="s">
        <v>282</v>
      </c>
      <c r="R159" s="1" t="str">
        <f t="shared" si="4"/>
        <v>NGWT08M60I</v>
      </c>
    </row>
    <row r="160" spans="1:18">
      <c r="A160" s="1">
        <v>195683</v>
      </c>
      <c r="B160" s="1" t="s">
        <v>448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 t="s">
        <v>275</v>
      </c>
      <c r="L160" s="1" t="s">
        <v>297</v>
      </c>
      <c r="M160" s="1" t="s">
        <v>434</v>
      </c>
      <c r="N160" s="1" t="s">
        <v>278</v>
      </c>
      <c r="O160" s="1" t="s">
        <v>279</v>
      </c>
      <c r="P160" s="1" t="s">
        <v>284</v>
      </c>
      <c r="R160" s="1" t="str">
        <f t="shared" si="4"/>
        <v>NGWB08M60I</v>
      </c>
    </row>
    <row r="161" spans="1:18">
      <c r="A161" s="1">
        <v>195684</v>
      </c>
      <c r="B161" s="1" t="s">
        <v>449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 t="s">
        <v>286</v>
      </c>
      <c r="L161" s="1" t="s">
        <v>297</v>
      </c>
      <c r="M161" s="1" t="s">
        <v>434</v>
      </c>
      <c r="N161" s="1" t="s">
        <v>278</v>
      </c>
      <c r="O161" s="1" t="s">
        <v>279</v>
      </c>
      <c r="P161" s="1" t="s">
        <v>280</v>
      </c>
      <c r="R161" s="1" t="str">
        <f t="shared" si="4"/>
        <v>NGWR08N60I</v>
      </c>
    </row>
    <row r="162" spans="1:18">
      <c r="A162" s="1">
        <v>195685</v>
      </c>
      <c r="B162" s="1" t="s">
        <v>450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 t="s">
        <v>286</v>
      </c>
      <c r="L162" s="1" t="s">
        <v>297</v>
      </c>
      <c r="M162" s="1" t="s">
        <v>434</v>
      </c>
      <c r="N162" s="1" t="s">
        <v>278</v>
      </c>
      <c r="O162" s="1" t="s">
        <v>279</v>
      </c>
      <c r="P162" s="1" t="s">
        <v>282</v>
      </c>
      <c r="R162" s="1" t="str">
        <f t="shared" si="4"/>
        <v>NGWT08N60I</v>
      </c>
    </row>
    <row r="163" spans="1:18">
      <c r="A163" s="1">
        <v>195686</v>
      </c>
      <c r="B163" s="1" t="s">
        <v>451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 t="s">
        <v>286</v>
      </c>
      <c r="L163" s="1" t="s">
        <v>297</v>
      </c>
      <c r="M163" s="1" t="s">
        <v>434</v>
      </c>
      <c r="N163" s="1" t="s">
        <v>278</v>
      </c>
      <c r="O163" s="1" t="s">
        <v>279</v>
      </c>
      <c r="P163" s="1" t="s">
        <v>284</v>
      </c>
      <c r="R163" s="1" t="str">
        <f t="shared" si="4"/>
        <v>NGWB08N60I</v>
      </c>
    </row>
    <row r="164" spans="1:18">
      <c r="A164" s="1">
        <v>195693</v>
      </c>
      <c r="B164" s="1" t="s">
        <v>452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 t="s">
        <v>275</v>
      </c>
      <c r="L164" s="1" t="s">
        <v>276</v>
      </c>
      <c r="M164" s="1" t="s">
        <v>434</v>
      </c>
      <c r="N164" s="1" t="s">
        <v>278</v>
      </c>
      <c r="O164" s="1" t="s">
        <v>304</v>
      </c>
      <c r="P164" s="1" t="s">
        <v>280</v>
      </c>
      <c r="R164" s="1" t="str">
        <f t="shared" si="4"/>
        <v>NGBR08M30I</v>
      </c>
    </row>
    <row r="165" spans="1:18">
      <c r="A165" s="1">
        <v>195694</v>
      </c>
      <c r="B165" s="1" t="s">
        <v>453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 t="s">
        <v>275</v>
      </c>
      <c r="L165" s="1" t="s">
        <v>276</v>
      </c>
      <c r="M165" s="1" t="s">
        <v>434</v>
      </c>
      <c r="N165" s="1" t="s">
        <v>278</v>
      </c>
      <c r="O165" s="1" t="s">
        <v>304</v>
      </c>
      <c r="P165" s="1" t="s">
        <v>282</v>
      </c>
      <c r="R165" s="1" t="str">
        <f t="shared" si="4"/>
        <v>NGBT08M30I</v>
      </c>
    </row>
    <row r="166" spans="1:18">
      <c r="A166" s="1">
        <v>195695</v>
      </c>
      <c r="B166" s="1" t="s">
        <v>454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 t="s">
        <v>275</v>
      </c>
      <c r="L166" s="1" t="s">
        <v>276</v>
      </c>
      <c r="M166" s="1" t="s">
        <v>434</v>
      </c>
      <c r="N166" s="1" t="s">
        <v>278</v>
      </c>
      <c r="O166" s="1" t="s">
        <v>304</v>
      </c>
      <c r="P166" s="1" t="s">
        <v>284</v>
      </c>
      <c r="R166" s="1" t="str">
        <f t="shared" si="4"/>
        <v>NGBB08M30I</v>
      </c>
    </row>
    <row r="167" spans="1:18">
      <c r="A167" s="1">
        <v>195696</v>
      </c>
      <c r="B167" s="1" t="s">
        <v>455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 t="s">
        <v>286</v>
      </c>
      <c r="L167" s="1" t="s">
        <v>276</v>
      </c>
      <c r="M167" s="1" t="s">
        <v>434</v>
      </c>
      <c r="N167" s="1" t="s">
        <v>278</v>
      </c>
      <c r="O167" s="1" t="s">
        <v>304</v>
      </c>
      <c r="P167" s="1" t="s">
        <v>280</v>
      </c>
      <c r="R167" s="1" t="str">
        <f t="shared" si="4"/>
        <v>NGBR08N30I</v>
      </c>
    </row>
    <row r="168" spans="1:18">
      <c r="A168" s="1">
        <v>195697</v>
      </c>
      <c r="B168" s="1" t="s">
        <v>456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 t="s">
        <v>286</v>
      </c>
      <c r="L168" s="1" t="s">
        <v>276</v>
      </c>
      <c r="M168" s="1" t="s">
        <v>434</v>
      </c>
      <c r="N168" s="1" t="s">
        <v>278</v>
      </c>
      <c r="O168" s="1" t="s">
        <v>304</v>
      </c>
      <c r="P168" s="1" t="s">
        <v>282</v>
      </c>
      <c r="R168" s="1" t="str">
        <f t="shared" si="4"/>
        <v>NGBT08N30I</v>
      </c>
    </row>
    <row r="169" spans="1:18">
      <c r="A169" s="1">
        <v>195698</v>
      </c>
      <c r="B169" s="1" t="s">
        <v>457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 t="s">
        <v>286</v>
      </c>
      <c r="L169" s="1" t="s">
        <v>276</v>
      </c>
      <c r="M169" s="1" t="s">
        <v>434</v>
      </c>
      <c r="N169" s="1" t="s">
        <v>278</v>
      </c>
      <c r="O169" s="1" t="s">
        <v>304</v>
      </c>
      <c r="P169" s="1" t="s">
        <v>284</v>
      </c>
      <c r="R169" s="1" t="str">
        <f t="shared" si="4"/>
        <v>NGBB08N30I</v>
      </c>
    </row>
    <row r="170" spans="1:18">
      <c r="A170" s="1">
        <v>195699</v>
      </c>
      <c r="B170" s="1" t="s">
        <v>458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 t="s">
        <v>275</v>
      </c>
      <c r="L170" s="1" t="s">
        <v>290</v>
      </c>
      <c r="M170" s="1" t="s">
        <v>434</v>
      </c>
      <c r="N170" s="1" t="s">
        <v>278</v>
      </c>
      <c r="O170" s="1" t="s">
        <v>304</v>
      </c>
      <c r="P170" s="1" t="s">
        <v>280</v>
      </c>
      <c r="R170" s="1" t="str">
        <f t="shared" si="4"/>
        <v>NGBR08M40I</v>
      </c>
    </row>
    <row r="171" spans="1:18">
      <c r="A171" s="1">
        <v>195700</v>
      </c>
      <c r="B171" s="1" t="s">
        <v>459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 t="s">
        <v>275</v>
      </c>
      <c r="L171" s="1" t="s">
        <v>290</v>
      </c>
      <c r="M171" s="1" t="s">
        <v>434</v>
      </c>
      <c r="N171" s="1" t="s">
        <v>278</v>
      </c>
      <c r="O171" s="1" t="s">
        <v>304</v>
      </c>
      <c r="P171" s="1" t="s">
        <v>282</v>
      </c>
      <c r="R171" s="1" t="str">
        <f t="shared" si="4"/>
        <v>NGBT08M40I</v>
      </c>
    </row>
    <row r="172" spans="1:18">
      <c r="A172" s="1">
        <v>195701</v>
      </c>
      <c r="B172" s="1" t="s">
        <v>460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 t="s">
        <v>275</v>
      </c>
      <c r="L172" s="1" t="s">
        <v>290</v>
      </c>
      <c r="M172" s="1" t="s">
        <v>434</v>
      </c>
      <c r="N172" s="1" t="s">
        <v>278</v>
      </c>
      <c r="O172" s="1" t="s">
        <v>304</v>
      </c>
      <c r="P172" s="1" t="s">
        <v>284</v>
      </c>
      <c r="R172" s="1" t="str">
        <f t="shared" si="4"/>
        <v>NGBB08M40I</v>
      </c>
    </row>
    <row r="173" spans="1:18">
      <c r="A173" s="1">
        <v>195702</v>
      </c>
      <c r="B173" s="1" t="s">
        <v>461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 t="s">
        <v>286</v>
      </c>
      <c r="L173" s="1" t="s">
        <v>290</v>
      </c>
      <c r="M173" s="1" t="s">
        <v>434</v>
      </c>
      <c r="N173" s="1" t="s">
        <v>278</v>
      </c>
      <c r="O173" s="1" t="s">
        <v>304</v>
      </c>
      <c r="P173" s="1" t="s">
        <v>280</v>
      </c>
      <c r="R173" s="1" t="str">
        <f t="shared" si="4"/>
        <v>NGBR08N40I</v>
      </c>
    </row>
    <row r="174" spans="1:18">
      <c r="A174" s="1">
        <v>195703</v>
      </c>
      <c r="B174" s="1" t="s">
        <v>462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 t="s">
        <v>286</v>
      </c>
      <c r="L174" s="1" t="s">
        <v>290</v>
      </c>
      <c r="M174" s="1" t="s">
        <v>434</v>
      </c>
      <c r="N174" s="1" t="s">
        <v>278</v>
      </c>
      <c r="O174" s="1" t="s">
        <v>304</v>
      </c>
      <c r="P174" s="1" t="s">
        <v>282</v>
      </c>
      <c r="R174" s="1" t="str">
        <f t="shared" si="4"/>
        <v>NGBT08N40I</v>
      </c>
    </row>
    <row r="175" spans="1:18">
      <c r="A175" s="1">
        <v>195704</v>
      </c>
      <c r="B175" s="1" t="s">
        <v>463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 t="s">
        <v>286</v>
      </c>
      <c r="L175" s="1" t="s">
        <v>290</v>
      </c>
      <c r="M175" s="1" t="s">
        <v>434</v>
      </c>
      <c r="N175" s="1" t="s">
        <v>278</v>
      </c>
      <c r="O175" s="1" t="s">
        <v>304</v>
      </c>
      <c r="P175" s="1" t="s">
        <v>284</v>
      </c>
      <c r="R175" s="1" t="str">
        <f t="shared" si="4"/>
        <v>NGBB08N40I</v>
      </c>
    </row>
    <row r="176" spans="1:18">
      <c r="A176" s="1">
        <v>195705</v>
      </c>
      <c r="B176" s="1" t="s">
        <v>464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 t="s">
        <v>275</v>
      </c>
      <c r="L176" s="1" t="s">
        <v>297</v>
      </c>
      <c r="M176" s="1" t="s">
        <v>434</v>
      </c>
      <c r="N176" s="1" t="s">
        <v>278</v>
      </c>
      <c r="O176" s="1" t="s">
        <v>304</v>
      </c>
      <c r="P176" s="1" t="s">
        <v>280</v>
      </c>
      <c r="R176" s="1" t="str">
        <f t="shared" si="4"/>
        <v>NGBR08M60I</v>
      </c>
    </row>
    <row r="177" spans="1:18">
      <c r="A177" s="1">
        <v>195706</v>
      </c>
      <c r="B177" s="1" t="s">
        <v>465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 t="s">
        <v>275</v>
      </c>
      <c r="L177" s="1" t="s">
        <v>297</v>
      </c>
      <c r="M177" s="1" t="s">
        <v>434</v>
      </c>
      <c r="N177" s="1" t="s">
        <v>278</v>
      </c>
      <c r="O177" s="1" t="s">
        <v>304</v>
      </c>
      <c r="P177" s="1" t="s">
        <v>282</v>
      </c>
      <c r="R177" s="1" t="str">
        <f t="shared" si="4"/>
        <v>NGBT08M60I</v>
      </c>
    </row>
    <row r="178" spans="1:18">
      <c r="A178" s="1">
        <v>195707</v>
      </c>
      <c r="B178" s="1" t="s">
        <v>466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 t="s">
        <v>275</v>
      </c>
      <c r="L178" s="1" t="s">
        <v>297</v>
      </c>
      <c r="M178" s="1" t="s">
        <v>434</v>
      </c>
      <c r="N178" s="1" t="s">
        <v>278</v>
      </c>
      <c r="O178" s="1" t="s">
        <v>304</v>
      </c>
      <c r="P178" s="1" t="s">
        <v>284</v>
      </c>
      <c r="R178" s="1" t="str">
        <f t="shared" si="4"/>
        <v>NGBB08M60I</v>
      </c>
    </row>
    <row r="179" spans="1:18">
      <c r="A179" s="1">
        <v>195708</v>
      </c>
      <c r="B179" s="1" t="s">
        <v>467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 t="s">
        <v>286</v>
      </c>
      <c r="L179" s="1" t="s">
        <v>297</v>
      </c>
      <c r="M179" s="1" t="s">
        <v>434</v>
      </c>
      <c r="N179" s="1" t="s">
        <v>278</v>
      </c>
      <c r="O179" s="1" t="s">
        <v>304</v>
      </c>
      <c r="P179" s="1" t="s">
        <v>280</v>
      </c>
      <c r="R179" s="1" t="str">
        <f t="shared" si="4"/>
        <v>NGBR08N60I</v>
      </c>
    </row>
    <row r="180" spans="1:18">
      <c r="A180" s="1">
        <v>195709</v>
      </c>
      <c r="B180" s="1" t="s">
        <v>468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 t="s">
        <v>286</v>
      </c>
      <c r="L180" s="1" t="s">
        <v>297</v>
      </c>
      <c r="M180" s="1" t="s">
        <v>434</v>
      </c>
      <c r="N180" s="1" t="s">
        <v>278</v>
      </c>
      <c r="O180" s="1" t="s">
        <v>304</v>
      </c>
      <c r="P180" s="1" t="s">
        <v>282</v>
      </c>
      <c r="R180" s="1" t="str">
        <f t="shared" si="4"/>
        <v>NGBT08N60I</v>
      </c>
    </row>
    <row r="181" spans="1:18">
      <c r="A181" s="1">
        <v>195710</v>
      </c>
      <c r="B181" s="1" t="s">
        <v>469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 t="s">
        <v>286</v>
      </c>
      <c r="L181" s="1" t="s">
        <v>297</v>
      </c>
      <c r="M181" s="1" t="s">
        <v>434</v>
      </c>
      <c r="N181" s="1" t="s">
        <v>278</v>
      </c>
      <c r="O181" s="1" t="s">
        <v>304</v>
      </c>
      <c r="P181" s="1" t="s">
        <v>284</v>
      </c>
      <c r="R181" s="1" t="str">
        <f t="shared" si="4"/>
        <v>NGBB08N60I</v>
      </c>
    </row>
    <row r="182" spans="1:18">
      <c r="A182" s="1">
        <v>195717</v>
      </c>
      <c r="B182" s="1" t="s">
        <v>470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 t="s">
        <v>275</v>
      </c>
      <c r="L182" s="1" t="s">
        <v>276</v>
      </c>
      <c r="M182" s="1" t="s">
        <v>434</v>
      </c>
      <c r="N182" s="1" t="s">
        <v>278</v>
      </c>
      <c r="O182" s="1" t="s">
        <v>323</v>
      </c>
      <c r="P182" s="1" t="s">
        <v>280</v>
      </c>
      <c r="R182" s="1" t="str">
        <f t="shared" si="4"/>
        <v>NGAR08M30I</v>
      </c>
    </row>
    <row r="183" spans="1:18">
      <c r="A183" s="1">
        <v>195718</v>
      </c>
      <c r="B183" s="1" t="s">
        <v>471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 t="s">
        <v>275</v>
      </c>
      <c r="L183" s="1" t="s">
        <v>276</v>
      </c>
      <c r="M183" s="1" t="s">
        <v>434</v>
      </c>
      <c r="N183" s="1" t="s">
        <v>278</v>
      </c>
      <c r="O183" s="1" t="s">
        <v>323</v>
      </c>
      <c r="P183" s="1" t="s">
        <v>282</v>
      </c>
      <c r="R183" s="1" t="str">
        <f t="shared" si="4"/>
        <v>NGAT08M30I</v>
      </c>
    </row>
    <row r="184" spans="1:18">
      <c r="A184" s="1">
        <v>195719</v>
      </c>
      <c r="B184" s="1" t="s">
        <v>472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 t="s">
        <v>275</v>
      </c>
      <c r="L184" s="1" t="s">
        <v>276</v>
      </c>
      <c r="M184" s="1" t="s">
        <v>434</v>
      </c>
      <c r="N184" s="1" t="s">
        <v>278</v>
      </c>
      <c r="O184" s="1" t="s">
        <v>323</v>
      </c>
      <c r="P184" s="1" t="s">
        <v>284</v>
      </c>
      <c r="R184" s="1" t="str">
        <f t="shared" si="4"/>
        <v>NGAB08M30I</v>
      </c>
    </row>
    <row r="185" spans="1:18">
      <c r="A185" s="1">
        <v>195720</v>
      </c>
      <c r="B185" s="1" t="s">
        <v>473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 t="s">
        <v>286</v>
      </c>
      <c r="L185" s="1" t="s">
        <v>276</v>
      </c>
      <c r="M185" s="1" t="s">
        <v>434</v>
      </c>
      <c r="N185" s="1" t="s">
        <v>278</v>
      </c>
      <c r="O185" s="1" t="s">
        <v>323</v>
      </c>
      <c r="P185" s="1" t="s">
        <v>280</v>
      </c>
      <c r="R185" s="1" t="str">
        <f t="shared" si="4"/>
        <v>NGAR08N30I</v>
      </c>
    </row>
    <row r="186" spans="1:18">
      <c r="A186" s="1">
        <v>195721</v>
      </c>
      <c r="B186" s="1" t="s">
        <v>474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 t="s">
        <v>286</v>
      </c>
      <c r="L186" s="1" t="s">
        <v>276</v>
      </c>
      <c r="M186" s="1" t="s">
        <v>434</v>
      </c>
      <c r="N186" s="1" t="s">
        <v>278</v>
      </c>
      <c r="O186" s="1" t="s">
        <v>323</v>
      </c>
      <c r="P186" s="1" t="s">
        <v>282</v>
      </c>
      <c r="R186" s="1" t="str">
        <f t="shared" si="4"/>
        <v>NGAT08N30I</v>
      </c>
    </row>
    <row r="187" spans="1:18">
      <c r="A187" s="1">
        <v>195722</v>
      </c>
      <c r="B187" s="1" t="s">
        <v>475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 t="s">
        <v>286</v>
      </c>
      <c r="L187" s="1" t="s">
        <v>276</v>
      </c>
      <c r="M187" s="1" t="s">
        <v>434</v>
      </c>
      <c r="N187" s="1" t="s">
        <v>278</v>
      </c>
      <c r="O187" s="1" t="s">
        <v>323</v>
      </c>
      <c r="P187" s="1" t="s">
        <v>284</v>
      </c>
      <c r="R187" s="1" t="str">
        <f t="shared" si="4"/>
        <v>NGAB08N30I</v>
      </c>
    </row>
    <row r="188" spans="1:18">
      <c r="A188" s="1">
        <v>195723</v>
      </c>
      <c r="B188" s="1" t="s">
        <v>476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 t="s">
        <v>275</v>
      </c>
      <c r="L188" s="1" t="s">
        <v>290</v>
      </c>
      <c r="M188" s="1" t="s">
        <v>434</v>
      </c>
      <c r="N188" s="1" t="s">
        <v>278</v>
      </c>
      <c r="O188" s="1" t="s">
        <v>323</v>
      </c>
      <c r="P188" s="1" t="s">
        <v>280</v>
      </c>
      <c r="R188" s="1" t="str">
        <f t="shared" si="4"/>
        <v>NGAR08M40I</v>
      </c>
    </row>
    <row r="189" spans="1:18">
      <c r="A189" s="1">
        <v>195724</v>
      </c>
      <c r="B189" s="1" t="s">
        <v>477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 t="s">
        <v>275</v>
      </c>
      <c r="L189" s="1" t="s">
        <v>290</v>
      </c>
      <c r="M189" s="1" t="s">
        <v>434</v>
      </c>
      <c r="N189" s="1" t="s">
        <v>278</v>
      </c>
      <c r="O189" s="1" t="s">
        <v>323</v>
      </c>
      <c r="P189" s="1" t="s">
        <v>282</v>
      </c>
      <c r="R189" s="1" t="str">
        <f t="shared" si="4"/>
        <v>NGAT08M40I</v>
      </c>
    </row>
    <row r="190" spans="1:18">
      <c r="A190" s="1">
        <v>195725</v>
      </c>
      <c r="B190" s="1" t="s">
        <v>478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 t="s">
        <v>275</v>
      </c>
      <c r="L190" s="1" t="s">
        <v>290</v>
      </c>
      <c r="M190" s="1" t="s">
        <v>434</v>
      </c>
      <c r="N190" s="1" t="s">
        <v>278</v>
      </c>
      <c r="O190" s="1" t="s">
        <v>323</v>
      </c>
      <c r="P190" s="1" t="s">
        <v>284</v>
      </c>
      <c r="R190" s="1" t="str">
        <f t="shared" si="4"/>
        <v>NGAB08M40I</v>
      </c>
    </row>
    <row r="191" spans="1:18">
      <c r="A191" s="1">
        <v>195726</v>
      </c>
      <c r="B191" s="1" t="s">
        <v>479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 t="s">
        <v>286</v>
      </c>
      <c r="L191" s="1" t="s">
        <v>290</v>
      </c>
      <c r="M191" s="1" t="s">
        <v>434</v>
      </c>
      <c r="N191" s="1" t="s">
        <v>278</v>
      </c>
      <c r="O191" s="1" t="s">
        <v>323</v>
      </c>
      <c r="P191" s="1" t="s">
        <v>280</v>
      </c>
      <c r="R191" s="1" t="str">
        <f t="shared" si="4"/>
        <v>NGAR08N40I</v>
      </c>
    </row>
    <row r="192" spans="1:18">
      <c r="A192" s="1">
        <v>195727</v>
      </c>
      <c r="B192" s="1" t="s">
        <v>480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 t="s">
        <v>286</v>
      </c>
      <c r="L192" s="1" t="s">
        <v>290</v>
      </c>
      <c r="M192" s="1" t="s">
        <v>434</v>
      </c>
      <c r="N192" s="1" t="s">
        <v>278</v>
      </c>
      <c r="O192" s="1" t="s">
        <v>323</v>
      </c>
      <c r="P192" s="1" t="s">
        <v>282</v>
      </c>
      <c r="R192" s="1" t="str">
        <f t="shared" si="4"/>
        <v>NGAT08N40I</v>
      </c>
    </row>
    <row r="193" spans="1:18">
      <c r="A193" s="1">
        <v>195728</v>
      </c>
      <c r="B193" s="1" t="s">
        <v>481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 t="s">
        <v>286</v>
      </c>
      <c r="L193" s="1" t="s">
        <v>290</v>
      </c>
      <c r="M193" s="1" t="s">
        <v>434</v>
      </c>
      <c r="N193" s="1" t="s">
        <v>278</v>
      </c>
      <c r="O193" s="1" t="s">
        <v>323</v>
      </c>
      <c r="P193" s="1" t="s">
        <v>284</v>
      </c>
      <c r="R193" s="1" t="str">
        <f t="shared" si="4"/>
        <v>NGAB08N40I</v>
      </c>
    </row>
    <row r="194" spans="1:18">
      <c r="A194" s="1">
        <v>195729</v>
      </c>
      <c r="B194" s="1" t="s">
        <v>482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 t="s">
        <v>275</v>
      </c>
      <c r="L194" s="1" t="s">
        <v>297</v>
      </c>
      <c r="M194" s="1" t="s">
        <v>434</v>
      </c>
      <c r="N194" s="1" t="s">
        <v>278</v>
      </c>
      <c r="O194" s="1" t="s">
        <v>323</v>
      </c>
      <c r="P194" s="1" t="s">
        <v>280</v>
      </c>
      <c r="R194" s="1" t="str">
        <f t="shared" si="4"/>
        <v>NGAR08M60I</v>
      </c>
    </row>
    <row r="195" spans="1:18">
      <c r="A195" s="1">
        <v>195730</v>
      </c>
      <c r="B195" s="1" t="s">
        <v>483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 t="s">
        <v>275</v>
      </c>
      <c r="L195" s="1" t="s">
        <v>297</v>
      </c>
      <c r="M195" s="1" t="s">
        <v>434</v>
      </c>
      <c r="N195" s="1" t="s">
        <v>278</v>
      </c>
      <c r="O195" s="1" t="s">
        <v>323</v>
      </c>
      <c r="P195" s="1" t="s">
        <v>282</v>
      </c>
      <c r="R195" s="1" t="str">
        <f t="shared" si="4"/>
        <v>NGAT08M60I</v>
      </c>
    </row>
    <row r="196" spans="1:18">
      <c r="A196" s="1">
        <v>195731</v>
      </c>
      <c r="B196" s="1" t="s">
        <v>484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 t="s">
        <v>275</v>
      </c>
      <c r="L196" s="1" t="s">
        <v>297</v>
      </c>
      <c r="M196" s="1" t="s">
        <v>434</v>
      </c>
      <c r="N196" s="1" t="s">
        <v>278</v>
      </c>
      <c r="O196" s="1" t="s">
        <v>323</v>
      </c>
      <c r="P196" s="1" t="s">
        <v>284</v>
      </c>
      <c r="R196" s="1" t="str">
        <f t="shared" si="4"/>
        <v>NGAB08M60I</v>
      </c>
    </row>
    <row r="197" spans="1:18">
      <c r="A197" s="1">
        <v>195732</v>
      </c>
      <c r="B197" s="1" t="s">
        <v>485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 t="s">
        <v>286</v>
      </c>
      <c r="L197" s="1" t="s">
        <v>297</v>
      </c>
      <c r="M197" s="1" t="s">
        <v>434</v>
      </c>
      <c r="N197" s="1" t="s">
        <v>278</v>
      </c>
      <c r="O197" s="1" t="s">
        <v>323</v>
      </c>
      <c r="P197" s="1" t="s">
        <v>280</v>
      </c>
      <c r="R197" s="1" t="str">
        <f t="shared" si="4"/>
        <v>NGAR08N60I</v>
      </c>
    </row>
    <row r="198" spans="1:18">
      <c r="A198" s="1">
        <v>195733</v>
      </c>
      <c r="B198" s="1" t="s">
        <v>486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 t="s">
        <v>286</v>
      </c>
      <c r="L198" s="1" t="s">
        <v>297</v>
      </c>
      <c r="M198" s="1" t="s">
        <v>434</v>
      </c>
      <c r="N198" s="1" t="s">
        <v>278</v>
      </c>
      <c r="O198" s="1" t="s">
        <v>323</v>
      </c>
      <c r="P198" s="1" t="s">
        <v>282</v>
      </c>
      <c r="R198" s="1" t="str">
        <f t="shared" si="4"/>
        <v>NGAT08N60I</v>
      </c>
    </row>
    <row r="199" spans="1:18">
      <c r="A199" s="1">
        <v>195734</v>
      </c>
      <c r="B199" s="1" t="s">
        <v>487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 t="s">
        <v>286</v>
      </c>
      <c r="L199" s="1" t="s">
        <v>297</v>
      </c>
      <c r="M199" s="1" t="s">
        <v>434</v>
      </c>
      <c r="N199" s="1" t="s">
        <v>278</v>
      </c>
      <c r="O199" s="1" t="s">
        <v>323</v>
      </c>
      <c r="P199" s="1" t="s">
        <v>284</v>
      </c>
      <c r="R199" s="1" t="str">
        <f t="shared" si="4"/>
        <v>NGAB08N60I</v>
      </c>
    </row>
    <row r="200" spans="1:18">
      <c r="A200" s="1">
        <v>195741</v>
      </c>
      <c r="B200" s="1" t="s">
        <v>488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 t="s">
        <v>275</v>
      </c>
      <c r="L200" s="1" t="s">
        <v>276</v>
      </c>
      <c r="M200" s="1" t="s">
        <v>434</v>
      </c>
      <c r="N200" s="1" t="s">
        <v>278</v>
      </c>
      <c r="O200" s="1" t="s">
        <v>342</v>
      </c>
      <c r="P200" s="1" t="s">
        <v>280</v>
      </c>
      <c r="R200" s="1" t="str">
        <f t="shared" si="4"/>
        <v>NGCR08M30I</v>
      </c>
    </row>
    <row r="201" spans="1:18">
      <c r="A201" s="1">
        <v>195742</v>
      </c>
      <c r="B201" s="1" t="s">
        <v>489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 t="s">
        <v>275</v>
      </c>
      <c r="L201" s="1" t="s">
        <v>276</v>
      </c>
      <c r="M201" s="1" t="s">
        <v>434</v>
      </c>
      <c r="N201" s="1" t="s">
        <v>278</v>
      </c>
      <c r="O201" s="1" t="s">
        <v>342</v>
      </c>
      <c r="P201" s="1" t="s">
        <v>282</v>
      </c>
      <c r="R201" s="1" t="str">
        <f t="shared" si="4"/>
        <v>NGCT08M30I</v>
      </c>
    </row>
    <row r="202" spans="1:18">
      <c r="A202" s="1">
        <v>195743</v>
      </c>
      <c r="B202" s="1" t="s">
        <v>490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 t="s">
        <v>275</v>
      </c>
      <c r="L202" s="1" t="s">
        <v>276</v>
      </c>
      <c r="M202" s="1" t="s">
        <v>434</v>
      </c>
      <c r="N202" s="1" t="s">
        <v>278</v>
      </c>
      <c r="O202" s="1" t="s">
        <v>342</v>
      </c>
      <c r="P202" s="1" t="s">
        <v>284</v>
      </c>
      <c r="R202" s="1" t="str">
        <f t="shared" si="4"/>
        <v>NGCB08M30I</v>
      </c>
    </row>
    <row r="203" spans="1:18">
      <c r="A203" s="1">
        <v>195744</v>
      </c>
      <c r="B203" s="1" t="s">
        <v>491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 t="s">
        <v>286</v>
      </c>
      <c r="L203" s="1" t="s">
        <v>276</v>
      </c>
      <c r="M203" s="1" t="s">
        <v>434</v>
      </c>
      <c r="N203" s="1" t="s">
        <v>278</v>
      </c>
      <c r="O203" s="1" t="s">
        <v>342</v>
      </c>
      <c r="P203" s="1" t="s">
        <v>280</v>
      </c>
      <c r="R203" s="1" t="str">
        <f t="shared" si="4"/>
        <v>NGCR08N30I</v>
      </c>
    </row>
    <row r="204" spans="1:18">
      <c r="A204" s="1">
        <v>195745</v>
      </c>
      <c r="B204" s="1" t="s">
        <v>492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 t="s">
        <v>286</v>
      </c>
      <c r="L204" s="1" t="s">
        <v>276</v>
      </c>
      <c r="M204" s="1" t="s">
        <v>434</v>
      </c>
      <c r="N204" s="1" t="s">
        <v>278</v>
      </c>
      <c r="O204" s="1" t="s">
        <v>342</v>
      </c>
      <c r="P204" s="1" t="s">
        <v>282</v>
      </c>
      <c r="R204" s="1" t="str">
        <f t="shared" si="4"/>
        <v>NGCT08N30I</v>
      </c>
    </row>
    <row r="205" spans="1:18">
      <c r="A205" s="1">
        <v>195746</v>
      </c>
      <c r="B205" s="1" t="s">
        <v>493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 t="s">
        <v>286</v>
      </c>
      <c r="L205" s="1" t="s">
        <v>276</v>
      </c>
      <c r="M205" s="1" t="s">
        <v>434</v>
      </c>
      <c r="N205" s="1" t="s">
        <v>278</v>
      </c>
      <c r="O205" s="1" t="s">
        <v>342</v>
      </c>
      <c r="P205" s="1" t="s">
        <v>284</v>
      </c>
      <c r="R205" s="1" t="str">
        <f t="shared" si="4"/>
        <v>NGCB08N30I</v>
      </c>
    </row>
    <row r="206" spans="1:18">
      <c r="A206" s="1">
        <v>195747</v>
      </c>
      <c r="B206" s="1" t="s">
        <v>494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 t="s">
        <v>275</v>
      </c>
      <c r="L206" s="1" t="s">
        <v>290</v>
      </c>
      <c r="M206" s="1" t="s">
        <v>434</v>
      </c>
      <c r="N206" s="1" t="s">
        <v>278</v>
      </c>
      <c r="O206" s="1" t="s">
        <v>342</v>
      </c>
      <c r="P206" s="1" t="s">
        <v>280</v>
      </c>
      <c r="R206" s="1" t="str">
        <f t="shared" si="4"/>
        <v>NGCR08M40I</v>
      </c>
    </row>
    <row r="207" spans="1:18">
      <c r="A207" s="1">
        <v>195748</v>
      </c>
      <c r="B207" s="1" t="s">
        <v>495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 t="s">
        <v>275</v>
      </c>
      <c r="L207" s="1" t="s">
        <v>290</v>
      </c>
      <c r="M207" s="1" t="s">
        <v>434</v>
      </c>
      <c r="N207" s="1" t="s">
        <v>278</v>
      </c>
      <c r="O207" s="1" t="s">
        <v>342</v>
      </c>
      <c r="P207" s="1" t="s">
        <v>282</v>
      </c>
      <c r="R207" s="1" t="str">
        <f t="shared" si="4"/>
        <v>NGCT08M40I</v>
      </c>
    </row>
    <row r="208" spans="1:18">
      <c r="A208" s="1">
        <v>195749</v>
      </c>
      <c r="B208" s="1" t="s">
        <v>496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 t="s">
        <v>275</v>
      </c>
      <c r="L208" s="1" t="s">
        <v>290</v>
      </c>
      <c r="M208" s="1" t="s">
        <v>434</v>
      </c>
      <c r="N208" s="1" t="s">
        <v>278</v>
      </c>
      <c r="O208" s="1" t="s">
        <v>342</v>
      </c>
      <c r="P208" s="1" t="s">
        <v>284</v>
      </c>
      <c r="R208" s="1" t="str">
        <f t="shared" si="4"/>
        <v>NGCB08M40I</v>
      </c>
    </row>
    <row r="209" spans="1:18">
      <c r="A209" s="1">
        <v>195750</v>
      </c>
      <c r="B209" s="1" t="s">
        <v>497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 t="s">
        <v>286</v>
      </c>
      <c r="L209" s="1" t="s">
        <v>290</v>
      </c>
      <c r="M209" s="1" t="s">
        <v>434</v>
      </c>
      <c r="N209" s="1" t="s">
        <v>278</v>
      </c>
      <c r="O209" s="1" t="s">
        <v>342</v>
      </c>
      <c r="P209" s="1" t="s">
        <v>280</v>
      </c>
      <c r="R209" s="1" t="str">
        <f t="shared" si="4"/>
        <v>NGCR08N40I</v>
      </c>
    </row>
    <row r="210" spans="1:18">
      <c r="A210" s="1">
        <v>195751</v>
      </c>
      <c r="B210" s="1" t="s">
        <v>498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 t="s">
        <v>286</v>
      </c>
      <c r="L210" s="1" t="s">
        <v>290</v>
      </c>
      <c r="M210" s="1" t="s">
        <v>434</v>
      </c>
      <c r="N210" s="1" t="s">
        <v>278</v>
      </c>
      <c r="O210" s="1" t="s">
        <v>342</v>
      </c>
      <c r="P210" s="1" t="s">
        <v>282</v>
      </c>
      <c r="R210" s="1" t="str">
        <f t="shared" si="4"/>
        <v>NGCT08N40I</v>
      </c>
    </row>
    <row r="211" spans="1:18">
      <c r="A211" s="1">
        <v>195752</v>
      </c>
      <c r="B211" s="1" t="s">
        <v>499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 t="s">
        <v>286</v>
      </c>
      <c r="L211" s="1" t="s">
        <v>290</v>
      </c>
      <c r="M211" s="1" t="s">
        <v>434</v>
      </c>
      <c r="N211" s="1" t="s">
        <v>278</v>
      </c>
      <c r="O211" s="1" t="s">
        <v>342</v>
      </c>
      <c r="P211" s="1" t="s">
        <v>284</v>
      </c>
      <c r="R211" s="1" t="str">
        <f t="shared" ref="R211:R217" si="5">MID(B211,1,10)</f>
        <v>NGCB08N40I</v>
      </c>
    </row>
    <row r="212" spans="1:18">
      <c r="A212" s="1">
        <v>195753</v>
      </c>
      <c r="B212" s="1" t="s">
        <v>500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 t="s">
        <v>275</v>
      </c>
      <c r="L212" s="1" t="s">
        <v>297</v>
      </c>
      <c r="M212" s="1" t="s">
        <v>434</v>
      </c>
      <c r="N212" s="1" t="s">
        <v>278</v>
      </c>
      <c r="O212" s="1" t="s">
        <v>342</v>
      </c>
      <c r="P212" s="1" t="s">
        <v>280</v>
      </c>
      <c r="R212" s="1" t="str">
        <f t="shared" si="5"/>
        <v>NGCR08M60I</v>
      </c>
    </row>
    <row r="213" spans="1:18">
      <c r="A213" s="1">
        <v>195754</v>
      </c>
      <c r="B213" s="1" t="s">
        <v>501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 t="s">
        <v>275</v>
      </c>
      <c r="L213" s="1" t="s">
        <v>297</v>
      </c>
      <c r="M213" s="1" t="s">
        <v>434</v>
      </c>
      <c r="N213" s="1" t="s">
        <v>278</v>
      </c>
      <c r="O213" s="1" t="s">
        <v>342</v>
      </c>
      <c r="P213" s="1" t="s">
        <v>282</v>
      </c>
      <c r="R213" s="1" t="str">
        <f t="shared" si="5"/>
        <v>NGCT08M60I</v>
      </c>
    </row>
    <row r="214" spans="1:18">
      <c r="A214" s="1">
        <v>195755</v>
      </c>
      <c r="B214" s="1" t="s">
        <v>502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 t="s">
        <v>275</v>
      </c>
      <c r="L214" s="1" t="s">
        <v>297</v>
      </c>
      <c r="M214" s="1" t="s">
        <v>434</v>
      </c>
      <c r="N214" s="1" t="s">
        <v>278</v>
      </c>
      <c r="O214" s="1" t="s">
        <v>342</v>
      </c>
      <c r="P214" s="1" t="s">
        <v>284</v>
      </c>
      <c r="R214" s="1" t="str">
        <f t="shared" si="5"/>
        <v>NGCB08M60I</v>
      </c>
    </row>
    <row r="215" spans="1:18">
      <c r="A215" s="1">
        <v>195756</v>
      </c>
      <c r="B215" s="1" t="s">
        <v>503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 t="s">
        <v>286</v>
      </c>
      <c r="L215" s="1" t="s">
        <v>297</v>
      </c>
      <c r="M215" s="1" t="s">
        <v>434</v>
      </c>
      <c r="N215" s="1" t="s">
        <v>278</v>
      </c>
      <c r="O215" s="1" t="s">
        <v>342</v>
      </c>
      <c r="P215" s="1" t="s">
        <v>280</v>
      </c>
      <c r="R215" s="1" t="str">
        <f t="shared" si="5"/>
        <v>NGCR08N60I</v>
      </c>
    </row>
    <row r="216" spans="1:18">
      <c r="A216" s="1">
        <v>195757</v>
      </c>
      <c r="B216" s="1" t="s">
        <v>504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 t="s">
        <v>286</v>
      </c>
      <c r="L216" s="1" t="s">
        <v>297</v>
      </c>
      <c r="M216" s="1" t="s">
        <v>434</v>
      </c>
      <c r="N216" s="1" t="s">
        <v>278</v>
      </c>
      <c r="O216" s="1" t="s">
        <v>342</v>
      </c>
      <c r="P216" s="1" t="s">
        <v>282</v>
      </c>
      <c r="R216" s="1" t="str">
        <f t="shared" si="5"/>
        <v>NGCT08N60I</v>
      </c>
    </row>
    <row r="217" spans="1:18">
      <c r="A217" s="1">
        <v>195758</v>
      </c>
      <c r="B217" s="1" t="s">
        <v>505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 t="s">
        <v>286</v>
      </c>
      <c r="L217" s="1" t="s">
        <v>297</v>
      </c>
      <c r="M217" s="1" t="s">
        <v>434</v>
      </c>
      <c r="N217" s="1" t="s">
        <v>278</v>
      </c>
      <c r="O217" s="1" t="s">
        <v>342</v>
      </c>
      <c r="P217" s="1" t="s">
        <v>284</v>
      </c>
      <c r="R217" s="1" t="str">
        <f t="shared" si="5"/>
        <v>NGCB08N60I</v>
      </c>
    </row>
    <row r="218" spans="1:18">
      <c r="A218" s="1">
        <v>195765</v>
      </c>
      <c r="B218" s="1" t="s">
        <v>506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 t="s">
        <v>275</v>
      </c>
      <c r="L218" s="1" t="s">
        <v>276</v>
      </c>
      <c r="M218" s="1" t="s">
        <v>507</v>
      </c>
      <c r="N218" s="1" t="s">
        <v>278</v>
      </c>
      <c r="O218" s="1" t="s">
        <v>279</v>
      </c>
      <c r="P218" s="1" t="s">
        <v>280</v>
      </c>
      <c r="R218" s="1" t="str">
        <f>MID(B218,1,11)</f>
        <v>NGWR08M30BT</v>
      </c>
    </row>
    <row r="219" spans="1:18">
      <c r="A219" s="1">
        <v>195766</v>
      </c>
      <c r="B219" s="1" t="s">
        <v>508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 t="s">
        <v>275</v>
      </c>
      <c r="L219" s="1" t="s">
        <v>276</v>
      </c>
      <c r="M219" s="1" t="s">
        <v>507</v>
      </c>
      <c r="N219" s="1" t="s">
        <v>278</v>
      </c>
      <c r="O219" s="1" t="s">
        <v>279</v>
      </c>
      <c r="P219" s="1" t="s">
        <v>282</v>
      </c>
      <c r="R219" s="1" t="str">
        <f t="shared" ref="R219:R282" si="6">MID(B219,1,11)</f>
        <v>NGWT08M30BT</v>
      </c>
    </row>
    <row r="220" spans="1:18">
      <c r="A220" s="1">
        <v>195767</v>
      </c>
      <c r="B220" s="1" t="s">
        <v>509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 t="s">
        <v>275</v>
      </c>
      <c r="L220" s="1" t="s">
        <v>276</v>
      </c>
      <c r="M220" s="1" t="s">
        <v>507</v>
      </c>
      <c r="N220" s="1" t="s">
        <v>278</v>
      </c>
      <c r="O220" s="1" t="s">
        <v>279</v>
      </c>
      <c r="P220" s="1" t="s">
        <v>284</v>
      </c>
      <c r="R220" s="1" t="str">
        <f t="shared" si="6"/>
        <v>NGWB08M30BT</v>
      </c>
    </row>
    <row r="221" spans="1:18">
      <c r="A221" s="1">
        <v>195768</v>
      </c>
      <c r="B221" s="1" t="s">
        <v>510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 t="s">
        <v>286</v>
      </c>
      <c r="L221" s="1" t="s">
        <v>276</v>
      </c>
      <c r="M221" s="1" t="s">
        <v>507</v>
      </c>
      <c r="N221" s="1" t="s">
        <v>278</v>
      </c>
      <c r="O221" s="1" t="s">
        <v>279</v>
      </c>
      <c r="P221" s="1" t="s">
        <v>280</v>
      </c>
      <c r="R221" s="1" t="str">
        <f t="shared" si="6"/>
        <v>NGWR08N30BT</v>
      </c>
    </row>
    <row r="222" spans="1:18">
      <c r="A222" s="1">
        <v>195769</v>
      </c>
      <c r="B222" s="1" t="s">
        <v>511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 t="s">
        <v>286</v>
      </c>
      <c r="L222" s="1" t="s">
        <v>276</v>
      </c>
      <c r="M222" s="1" t="s">
        <v>507</v>
      </c>
      <c r="N222" s="1" t="s">
        <v>278</v>
      </c>
      <c r="O222" s="1" t="s">
        <v>279</v>
      </c>
      <c r="P222" s="1" t="s">
        <v>282</v>
      </c>
      <c r="R222" s="1" t="str">
        <f t="shared" si="6"/>
        <v>NGWT08N30BT</v>
      </c>
    </row>
    <row r="223" spans="1:18">
      <c r="A223" s="1">
        <v>195770</v>
      </c>
      <c r="B223" s="1" t="s">
        <v>512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 t="s">
        <v>286</v>
      </c>
      <c r="L223" s="1" t="s">
        <v>276</v>
      </c>
      <c r="M223" s="1" t="s">
        <v>507</v>
      </c>
      <c r="N223" s="1" t="s">
        <v>278</v>
      </c>
      <c r="O223" s="1" t="s">
        <v>279</v>
      </c>
      <c r="P223" s="1" t="s">
        <v>284</v>
      </c>
      <c r="R223" s="1" t="str">
        <f t="shared" si="6"/>
        <v>NGWB08N30BT</v>
      </c>
    </row>
    <row r="224" spans="1:18">
      <c r="A224" s="1">
        <v>195771</v>
      </c>
      <c r="B224" s="1" t="s">
        <v>513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 t="s">
        <v>275</v>
      </c>
      <c r="L224" s="1" t="s">
        <v>290</v>
      </c>
      <c r="M224" s="1" t="s">
        <v>507</v>
      </c>
      <c r="N224" s="1" t="s">
        <v>278</v>
      </c>
      <c r="O224" s="1" t="s">
        <v>279</v>
      </c>
      <c r="P224" s="1" t="s">
        <v>280</v>
      </c>
      <c r="R224" s="1" t="str">
        <f t="shared" si="6"/>
        <v>NGWR08M40BT</v>
      </c>
    </row>
    <row r="225" spans="1:18">
      <c r="A225" s="1">
        <v>195772</v>
      </c>
      <c r="B225" s="1" t="s">
        <v>514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 t="s">
        <v>275</v>
      </c>
      <c r="L225" s="1" t="s">
        <v>290</v>
      </c>
      <c r="M225" s="1" t="s">
        <v>507</v>
      </c>
      <c r="N225" s="1" t="s">
        <v>278</v>
      </c>
      <c r="O225" s="1" t="s">
        <v>279</v>
      </c>
      <c r="P225" s="1" t="s">
        <v>282</v>
      </c>
      <c r="R225" s="1" t="str">
        <f t="shared" si="6"/>
        <v>NGWT08M40BT</v>
      </c>
    </row>
    <row r="226" spans="1:18">
      <c r="A226" s="1">
        <v>195773</v>
      </c>
      <c r="B226" s="1" t="s">
        <v>515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 t="s">
        <v>275</v>
      </c>
      <c r="L226" s="1" t="s">
        <v>290</v>
      </c>
      <c r="M226" s="1" t="s">
        <v>507</v>
      </c>
      <c r="N226" s="1" t="s">
        <v>278</v>
      </c>
      <c r="O226" s="1" t="s">
        <v>279</v>
      </c>
      <c r="P226" s="1" t="s">
        <v>284</v>
      </c>
      <c r="R226" s="1" t="str">
        <f t="shared" si="6"/>
        <v>NGWB08M40BT</v>
      </c>
    </row>
    <row r="227" spans="1:18">
      <c r="A227" s="1">
        <v>195774</v>
      </c>
      <c r="B227" s="1" t="s">
        <v>516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 t="s">
        <v>286</v>
      </c>
      <c r="L227" s="1" t="s">
        <v>290</v>
      </c>
      <c r="M227" s="1" t="s">
        <v>507</v>
      </c>
      <c r="N227" s="1" t="s">
        <v>278</v>
      </c>
      <c r="O227" s="1" t="s">
        <v>279</v>
      </c>
      <c r="P227" s="1" t="s">
        <v>280</v>
      </c>
      <c r="R227" s="1" t="str">
        <f t="shared" si="6"/>
        <v>NGWR08N40BT</v>
      </c>
    </row>
    <row r="228" spans="1:18">
      <c r="A228" s="1">
        <v>195775</v>
      </c>
      <c r="B228" s="1" t="s">
        <v>517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 t="s">
        <v>286</v>
      </c>
      <c r="L228" s="1" t="s">
        <v>290</v>
      </c>
      <c r="M228" s="1" t="s">
        <v>507</v>
      </c>
      <c r="N228" s="1" t="s">
        <v>278</v>
      </c>
      <c r="O228" s="1" t="s">
        <v>279</v>
      </c>
      <c r="P228" s="1" t="s">
        <v>282</v>
      </c>
      <c r="R228" s="1" t="str">
        <f t="shared" si="6"/>
        <v>NGWT08N40BT</v>
      </c>
    </row>
    <row r="229" spans="1:18">
      <c r="A229" s="1">
        <v>195776</v>
      </c>
      <c r="B229" s="1" t="s">
        <v>518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 t="s">
        <v>286</v>
      </c>
      <c r="L229" s="1" t="s">
        <v>290</v>
      </c>
      <c r="M229" s="1" t="s">
        <v>507</v>
      </c>
      <c r="N229" s="1" t="s">
        <v>278</v>
      </c>
      <c r="O229" s="1" t="s">
        <v>279</v>
      </c>
      <c r="P229" s="1" t="s">
        <v>284</v>
      </c>
      <c r="R229" s="1" t="str">
        <f t="shared" si="6"/>
        <v>NGWB08N40BT</v>
      </c>
    </row>
    <row r="230" spans="1:18">
      <c r="A230" s="1">
        <v>195777</v>
      </c>
      <c r="B230" s="1" t="s">
        <v>519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 t="s">
        <v>275</v>
      </c>
      <c r="L230" s="1" t="s">
        <v>297</v>
      </c>
      <c r="M230" s="1" t="s">
        <v>507</v>
      </c>
      <c r="N230" s="1" t="s">
        <v>278</v>
      </c>
      <c r="O230" s="1" t="s">
        <v>279</v>
      </c>
      <c r="P230" s="1" t="s">
        <v>280</v>
      </c>
      <c r="R230" s="1" t="str">
        <f t="shared" si="6"/>
        <v>NGWR08M60BT</v>
      </c>
    </row>
    <row r="231" spans="1:18">
      <c r="A231" s="1">
        <v>195778</v>
      </c>
      <c r="B231" s="1" t="s">
        <v>520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 t="s">
        <v>275</v>
      </c>
      <c r="L231" s="1" t="s">
        <v>297</v>
      </c>
      <c r="M231" s="1" t="s">
        <v>507</v>
      </c>
      <c r="N231" s="1" t="s">
        <v>278</v>
      </c>
      <c r="O231" s="1" t="s">
        <v>279</v>
      </c>
      <c r="P231" s="1" t="s">
        <v>282</v>
      </c>
      <c r="R231" s="1" t="str">
        <f t="shared" si="6"/>
        <v>NGWT08M60BT</v>
      </c>
    </row>
    <row r="232" spans="1:18">
      <c r="A232" s="1">
        <v>195779</v>
      </c>
      <c r="B232" s="1" t="s">
        <v>521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 t="s">
        <v>275</v>
      </c>
      <c r="L232" s="1" t="s">
        <v>297</v>
      </c>
      <c r="M232" s="1" t="s">
        <v>507</v>
      </c>
      <c r="N232" s="1" t="s">
        <v>278</v>
      </c>
      <c r="O232" s="1" t="s">
        <v>279</v>
      </c>
      <c r="P232" s="1" t="s">
        <v>284</v>
      </c>
      <c r="R232" s="1" t="str">
        <f t="shared" si="6"/>
        <v>NGWB08M60BT</v>
      </c>
    </row>
    <row r="233" spans="1:18">
      <c r="A233" s="1">
        <v>195780</v>
      </c>
      <c r="B233" s="1" t="s">
        <v>522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 t="s">
        <v>286</v>
      </c>
      <c r="L233" s="1" t="s">
        <v>297</v>
      </c>
      <c r="M233" s="1" t="s">
        <v>507</v>
      </c>
      <c r="N233" s="1" t="s">
        <v>278</v>
      </c>
      <c r="O233" s="1" t="s">
        <v>279</v>
      </c>
      <c r="P233" s="1" t="s">
        <v>280</v>
      </c>
      <c r="R233" s="1" t="str">
        <f t="shared" si="6"/>
        <v>NGWR08N60BT</v>
      </c>
    </row>
    <row r="234" spans="1:18">
      <c r="A234" s="1">
        <v>195781</v>
      </c>
      <c r="B234" s="1" t="s">
        <v>523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 t="s">
        <v>286</v>
      </c>
      <c r="L234" s="1" t="s">
        <v>297</v>
      </c>
      <c r="M234" s="1" t="s">
        <v>507</v>
      </c>
      <c r="N234" s="1" t="s">
        <v>278</v>
      </c>
      <c r="O234" s="1" t="s">
        <v>279</v>
      </c>
      <c r="P234" s="1" t="s">
        <v>282</v>
      </c>
      <c r="R234" s="1" t="str">
        <f t="shared" si="6"/>
        <v>NGWT08N60BT</v>
      </c>
    </row>
    <row r="235" spans="1:18">
      <c r="A235" s="1">
        <v>195782</v>
      </c>
      <c r="B235" s="1" t="s">
        <v>524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 t="s">
        <v>286</v>
      </c>
      <c r="L235" s="1" t="s">
        <v>297</v>
      </c>
      <c r="M235" s="1" t="s">
        <v>507</v>
      </c>
      <c r="N235" s="1" t="s">
        <v>278</v>
      </c>
      <c r="O235" s="1" t="s">
        <v>279</v>
      </c>
      <c r="P235" s="1" t="s">
        <v>284</v>
      </c>
      <c r="R235" s="1" t="str">
        <f t="shared" si="6"/>
        <v>NGWB08N60BT</v>
      </c>
    </row>
    <row r="236" spans="1:18">
      <c r="A236" s="1">
        <v>195789</v>
      </c>
      <c r="B236" s="1" t="s">
        <v>525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 t="s">
        <v>275</v>
      </c>
      <c r="L236" s="1" t="s">
        <v>276</v>
      </c>
      <c r="M236" s="1" t="s">
        <v>507</v>
      </c>
      <c r="N236" s="1" t="s">
        <v>278</v>
      </c>
      <c r="O236" s="1" t="s">
        <v>304</v>
      </c>
      <c r="P236" s="1" t="s">
        <v>280</v>
      </c>
      <c r="R236" s="1" t="str">
        <f t="shared" si="6"/>
        <v>NGBR08M30BT</v>
      </c>
    </row>
    <row r="237" spans="1:18">
      <c r="A237" s="1">
        <v>195790</v>
      </c>
      <c r="B237" s="1" t="s">
        <v>526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 t="s">
        <v>275</v>
      </c>
      <c r="L237" s="1" t="s">
        <v>276</v>
      </c>
      <c r="M237" s="1" t="s">
        <v>507</v>
      </c>
      <c r="N237" s="1" t="s">
        <v>278</v>
      </c>
      <c r="O237" s="1" t="s">
        <v>304</v>
      </c>
      <c r="P237" s="1" t="s">
        <v>282</v>
      </c>
      <c r="R237" s="1" t="str">
        <f t="shared" si="6"/>
        <v>NGBT08M30BT</v>
      </c>
    </row>
    <row r="238" spans="1:18">
      <c r="A238" s="1">
        <v>195791</v>
      </c>
      <c r="B238" s="1" t="s">
        <v>527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 t="s">
        <v>275</v>
      </c>
      <c r="L238" s="1" t="s">
        <v>276</v>
      </c>
      <c r="M238" s="1" t="s">
        <v>507</v>
      </c>
      <c r="N238" s="1" t="s">
        <v>278</v>
      </c>
      <c r="O238" s="1" t="s">
        <v>304</v>
      </c>
      <c r="P238" s="1" t="s">
        <v>284</v>
      </c>
      <c r="R238" s="1" t="str">
        <f t="shared" si="6"/>
        <v>NGBB08M30BT</v>
      </c>
    </row>
    <row r="239" spans="1:18">
      <c r="A239" s="1">
        <v>195792</v>
      </c>
      <c r="B239" s="1" t="s">
        <v>528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 t="s">
        <v>286</v>
      </c>
      <c r="L239" s="1" t="s">
        <v>276</v>
      </c>
      <c r="M239" s="1" t="s">
        <v>507</v>
      </c>
      <c r="N239" s="1" t="s">
        <v>278</v>
      </c>
      <c r="O239" s="1" t="s">
        <v>304</v>
      </c>
      <c r="P239" s="1" t="s">
        <v>280</v>
      </c>
      <c r="R239" s="1" t="str">
        <f t="shared" si="6"/>
        <v>NGBR08N30BT</v>
      </c>
    </row>
    <row r="240" spans="1:18">
      <c r="A240" s="1">
        <v>195793</v>
      </c>
      <c r="B240" s="1" t="s">
        <v>529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 t="s">
        <v>286</v>
      </c>
      <c r="L240" s="1" t="s">
        <v>276</v>
      </c>
      <c r="M240" s="1" t="s">
        <v>507</v>
      </c>
      <c r="N240" s="1" t="s">
        <v>278</v>
      </c>
      <c r="O240" s="1" t="s">
        <v>304</v>
      </c>
      <c r="P240" s="1" t="s">
        <v>282</v>
      </c>
      <c r="R240" s="1" t="str">
        <f t="shared" si="6"/>
        <v>NGBT08N30BT</v>
      </c>
    </row>
    <row r="241" spans="1:18">
      <c r="A241" s="1">
        <v>195794</v>
      </c>
      <c r="B241" s="1" t="s">
        <v>530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 t="s">
        <v>286</v>
      </c>
      <c r="L241" s="1" t="s">
        <v>276</v>
      </c>
      <c r="M241" s="1" t="s">
        <v>507</v>
      </c>
      <c r="N241" s="1" t="s">
        <v>278</v>
      </c>
      <c r="O241" s="1" t="s">
        <v>304</v>
      </c>
      <c r="P241" s="1" t="s">
        <v>284</v>
      </c>
      <c r="R241" s="1" t="str">
        <f t="shared" si="6"/>
        <v>NGBB08N30BT</v>
      </c>
    </row>
    <row r="242" spans="1:18">
      <c r="A242" s="1">
        <v>195795</v>
      </c>
      <c r="B242" s="1" t="s">
        <v>531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 t="s">
        <v>275</v>
      </c>
      <c r="L242" s="1" t="s">
        <v>290</v>
      </c>
      <c r="M242" s="1" t="s">
        <v>507</v>
      </c>
      <c r="N242" s="1" t="s">
        <v>278</v>
      </c>
      <c r="O242" s="1" t="s">
        <v>304</v>
      </c>
      <c r="P242" s="1" t="s">
        <v>280</v>
      </c>
      <c r="R242" s="1" t="str">
        <f t="shared" si="6"/>
        <v>NGBR08M40BT</v>
      </c>
    </row>
    <row r="243" spans="1:18">
      <c r="A243" s="1">
        <v>195796</v>
      </c>
      <c r="B243" s="1" t="s">
        <v>532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 t="s">
        <v>275</v>
      </c>
      <c r="L243" s="1" t="s">
        <v>290</v>
      </c>
      <c r="M243" s="1" t="s">
        <v>507</v>
      </c>
      <c r="N243" s="1" t="s">
        <v>278</v>
      </c>
      <c r="O243" s="1" t="s">
        <v>304</v>
      </c>
      <c r="P243" s="1" t="s">
        <v>282</v>
      </c>
      <c r="R243" s="1" t="str">
        <f t="shared" si="6"/>
        <v>NGBT08M40BT</v>
      </c>
    </row>
    <row r="244" spans="1:18">
      <c r="A244" s="1">
        <v>195797</v>
      </c>
      <c r="B244" s="1" t="s">
        <v>533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 t="s">
        <v>275</v>
      </c>
      <c r="L244" s="1" t="s">
        <v>290</v>
      </c>
      <c r="M244" s="1" t="s">
        <v>507</v>
      </c>
      <c r="N244" s="1" t="s">
        <v>278</v>
      </c>
      <c r="O244" s="1" t="s">
        <v>304</v>
      </c>
      <c r="P244" s="1" t="s">
        <v>284</v>
      </c>
      <c r="R244" s="1" t="str">
        <f t="shared" si="6"/>
        <v>NGBB08M40BT</v>
      </c>
    </row>
    <row r="245" spans="1:18">
      <c r="A245" s="1">
        <v>195798</v>
      </c>
      <c r="B245" s="1" t="s">
        <v>534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 t="s">
        <v>286</v>
      </c>
      <c r="L245" s="1" t="s">
        <v>290</v>
      </c>
      <c r="M245" s="1" t="s">
        <v>507</v>
      </c>
      <c r="N245" s="1" t="s">
        <v>278</v>
      </c>
      <c r="O245" s="1" t="s">
        <v>304</v>
      </c>
      <c r="P245" s="1" t="s">
        <v>280</v>
      </c>
      <c r="R245" s="1" t="str">
        <f t="shared" si="6"/>
        <v>NGBR08N40BT</v>
      </c>
    </row>
    <row r="246" spans="1:18">
      <c r="A246" s="1">
        <v>195799</v>
      </c>
      <c r="B246" s="1" t="s">
        <v>535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 t="s">
        <v>286</v>
      </c>
      <c r="L246" s="1" t="s">
        <v>290</v>
      </c>
      <c r="M246" s="1" t="s">
        <v>507</v>
      </c>
      <c r="N246" s="1" t="s">
        <v>278</v>
      </c>
      <c r="O246" s="1" t="s">
        <v>304</v>
      </c>
      <c r="P246" s="1" t="s">
        <v>282</v>
      </c>
      <c r="R246" s="1" t="str">
        <f t="shared" si="6"/>
        <v>NGBT08N40BT</v>
      </c>
    </row>
    <row r="247" spans="1:18">
      <c r="A247" s="1">
        <v>195800</v>
      </c>
      <c r="B247" s="1" t="s">
        <v>536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 t="s">
        <v>286</v>
      </c>
      <c r="L247" s="1" t="s">
        <v>290</v>
      </c>
      <c r="M247" s="1" t="s">
        <v>507</v>
      </c>
      <c r="N247" s="1" t="s">
        <v>278</v>
      </c>
      <c r="O247" s="1" t="s">
        <v>304</v>
      </c>
      <c r="P247" s="1" t="s">
        <v>284</v>
      </c>
      <c r="R247" s="1" t="str">
        <f t="shared" si="6"/>
        <v>NGBB08N40BT</v>
      </c>
    </row>
    <row r="248" spans="1:18">
      <c r="A248" s="1">
        <v>195801</v>
      </c>
      <c r="B248" s="1" t="s">
        <v>537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 t="s">
        <v>275</v>
      </c>
      <c r="L248" s="1" t="s">
        <v>297</v>
      </c>
      <c r="M248" s="1" t="s">
        <v>507</v>
      </c>
      <c r="N248" s="1" t="s">
        <v>278</v>
      </c>
      <c r="O248" s="1" t="s">
        <v>304</v>
      </c>
      <c r="P248" s="1" t="s">
        <v>280</v>
      </c>
      <c r="R248" s="1" t="str">
        <f t="shared" si="6"/>
        <v>NGBR08M60BT</v>
      </c>
    </row>
    <row r="249" spans="1:18">
      <c r="A249" s="1">
        <v>195802</v>
      </c>
      <c r="B249" s="1" t="s">
        <v>538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 t="s">
        <v>275</v>
      </c>
      <c r="L249" s="1" t="s">
        <v>297</v>
      </c>
      <c r="M249" s="1" t="s">
        <v>507</v>
      </c>
      <c r="N249" s="1" t="s">
        <v>278</v>
      </c>
      <c r="O249" s="1" t="s">
        <v>304</v>
      </c>
      <c r="P249" s="1" t="s">
        <v>282</v>
      </c>
      <c r="R249" s="1" t="str">
        <f t="shared" si="6"/>
        <v>NGBT08M60BT</v>
      </c>
    </row>
    <row r="250" spans="1:18">
      <c r="A250" s="1">
        <v>195803</v>
      </c>
      <c r="B250" s="1" t="s">
        <v>13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 t="s">
        <v>275</v>
      </c>
      <c r="L250" s="1" t="s">
        <v>297</v>
      </c>
      <c r="M250" s="1" t="s">
        <v>507</v>
      </c>
      <c r="N250" s="1" t="s">
        <v>278</v>
      </c>
      <c r="O250" s="1" t="s">
        <v>304</v>
      </c>
      <c r="P250" s="1" t="s">
        <v>284</v>
      </c>
      <c r="R250" s="1" t="str">
        <f t="shared" si="6"/>
        <v>NGBB08M60BT</v>
      </c>
    </row>
    <row r="251" spans="1:18">
      <c r="A251" s="1">
        <v>195804</v>
      </c>
      <c r="B251" s="1" t="s">
        <v>539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 t="s">
        <v>286</v>
      </c>
      <c r="L251" s="1" t="s">
        <v>297</v>
      </c>
      <c r="M251" s="1" t="s">
        <v>507</v>
      </c>
      <c r="N251" s="1" t="s">
        <v>278</v>
      </c>
      <c r="O251" s="1" t="s">
        <v>304</v>
      </c>
      <c r="P251" s="1" t="s">
        <v>280</v>
      </c>
      <c r="R251" s="1" t="str">
        <f t="shared" si="6"/>
        <v>NGBR08N60BT</v>
      </c>
    </row>
    <row r="252" spans="1:18">
      <c r="A252" s="1">
        <v>195805</v>
      </c>
      <c r="B252" s="1" t="s">
        <v>540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 t="s">
        <v>286</v>
      </c>
      <c r="L252" s="1" t="s">
        <v>297</v>
      </c>
      <c r="M252" s="1" t="s">
        <v>507</v>
      </c>
      <c r="N252" s="1" t="s">
        <v>278</v>
      </c>
      <c r="O252" s="1" t="s">
        <v>304</v>
      </c>
      <c r="P252" s="1" t="s">
        <v>282</v>
      </c>
      <c r="R252" s="1" t="str">
        <f t="shared" si="6"/>
        <v>NGBT08N60BT</v>
      </c>
    </row>
    <row r="253" spans="1:18">
      <c r="A253" s="1">
        <v>195806</v>
      </c>
      <c r="B253" s="1" t="s">
        <v>541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 t="s">
        <v>286</v>
      </c>
      <c r="L253" s="1" t="s">
        <v>297</v>
      </c>
      <c r="M253" s="1" t="s">
        <v>507</v>
      </c>
      <c r="N253" s="1" t="s">
        <v>278</v>
      </c>
      <c r="O253" s="1" t="s">
        <v>304</v>
      </c>
      <c r="P253" s="1" t="s">
        <v>284</v>
      </c>
      <c r="R253" s="1" t="str">
        <f t="shared" si="6"/>
        <v>NGBB08N60BT</v>
      </c>
    </row>
    <row r="254" spans="1:18">
      <c r="A254" s="1">
        <v>195813</v>
      </c>
      <c r="B254" s="1" t="s">
        <v>542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 t="s">
        <v>275</v>
      </c>
      <c r="L254" s="1" t="s">
        <v>276</v>
      </c>
      <c r="M254" s="1" t="s">
        <v>507</v>
      </c>
      <c r="N254" s="1" t="s">
        <v>278</v>
      </c>
      <c r="O254" s="1" t="s">
        <v>323</v>
      </c>
      <c r="P254" s="1" t="s">
        <v>280</v>
      </c>
      <c r="R254" s="1" t="str">
        <f t="shared" si="6"/>
        <v>NGAR08M30BT</v>
      </c>
    </row>
    <row r="255" spans="1:18">
      <c r="A255" s="1">
        <v>195814</v>
      </c>
      <c r="B255" s="1" t="s">
        <v>543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 t="s">
        <v>275</v>
      </c>
      <c r="L255" s="1" t="s">
        <v>276</v>
      </c>
      <c r="M255" s="1" t="s">
        <v>507</v>
      </c>
      <c r="N255" s="1" t="s">
        <v>278</v>
      </c>
      <c r="O255" s="1" t="s">
        <v>323</v>
      </c>
      <c r="P255" s="1" t="s">
        <v>282</v>
      </c>
      <c r="R255" s="1" t="str">
        <f t="shared" si="6"/>
        <v>NGAT08M30BT</v>
      </c>
    </row>
    <row r="256" spans="1:18">
      <c r="A256" s="1">
        <v>195815</v>
      </c>
      <c r="B256" s="1" t="s">
        <v>544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 t="s">
        <v>275</v>
      </c>
      <c r="L256" s="1" t="s">
        <v>276</v>
      </c>
      <c r="M256" s="1" t="s">
        <v>507</v>
      </c>
      <c r="N256" s="1" t="s">
        <v>278</v>
      </c>
      <c r="O256" s="1" t="s">
        <v>323</v>
      </c>
      <c r="P256" s="1" t="s">
        <v>284</v>
      </c>
      <c r="R256" s="1" t="str">
        <f t="shared" si="6"/>
        <v>NGAB08M30BT</v>
      </c>
    </row>
    <row r="257" spans="1:18">
      <c r="A257" s="1">
        <v>195816</v>
      </c>
      <c r="B257" s="1" t="s">
        <v>545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 t="s">
        <v>286</v>
      </c>
      <c r="L257" s="1" t="s">
        <v>276</v>
      </c>
      <c r="M257" s="1" t="s">
        <v>507</v>
      </c>
      <c r="N257" s="1" t="s">
        <v>278</v>
      </c>
      <c r="O257" s="1" t="s">
        <v>323</v>
      </c>
      <c r="P257" s="1" t="s">
        <v>280</v>
      </c>
      <c r="R257" s="1" t="str">
        <f t="shared" si="6"/>
        <v>NGAR08N30BT</v>
      </c>
    </row>
    <row r="258" spans="1:18">
      <c r="A258" s="1">
        <v>195817</v>
      </c>
      <c r="B258" s="1" t="s">
        <v>546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 t="s">
        <v>286</v>
      </c>
      <c r="L258" s="1" t="s">
        <v>276</v>
      </c>
      <c r="M258" s="1" t="s">
        <v>507</v>
      </c>
      <c r="N258" s="1" t="s">
        <v>278</v>
      </c>
      <c r="O258" s="1" t="s">
        <v>323</v>
      </c>
      <c r="P258" s="1" t="s">
        <v>282</v>
      </c>
      <c r="R258" s="1" t="str">
        <f t="shared" si="6"/>
        <v>NGAT08N30BT</v>
      </c>
    </row>
    <row r="259" spans="1:18">
      <c r="A259" s="1">
        <v>195818</v>
      </c>
      <c r="B259" s="1" t="s">
        <v>547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 t="s">
        <v>286</v>
      </c>
      <c r="L259" s="1" t="s">
        <v>276</v>
      </c>
      <c r="M259" s="1" t="s">
        <v>507</v>
      </c>
      <c r="N259" s="1" t="s">
        <v>278</v>
      </c>
      <c r="O259" s="1" t="s">
        <v>323</v>
      </c>
      <c r="P259" s="1" t="s">
        <v>284</v>
      </c>
      <c r="R259" s="1" t="str">
        <f t="shared" si="6"/>
        <v>NGAB08N30BT</v>
      </c>
    </row>
    <row r="260" spans="1:18">
      <c r="A260" s="1">
        <v>195819</v>
      </c>
      <c r="B260" s="1" t="s">
        <v>548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 t="s">
        <v>275</v>
      </c>
      <c r="L260" s="1" t="s">
        <v>290</v>
      </c>
      <c r="M260" s="1" t="s">
        <v>507</v>
      </c>
      <c r="N260" s="1" t="s">
        <v>278</v>
      </c>
      <c r="O260" s="1" t="s">
        <v>323</v>
      </c>
      <c r="P260" s="1" t="s">
        <v>280</v>
      </c>
      <c r="R260" s="1" t="str">
        <f t="shared" si="6"/>
        <v>NGAR08M40BT</v>
      </c>
    </row>
    <row r="261" spans="1:18">
      <c r="A261" s="1">
        <v>195820</v>
      </c>
      <c r="B261" s="1" t="s">
        <v>549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 t="s">
        <v>275</v>
      </c>
      <c r="L261" s="1" t="s">
        <v>290</v>
      </c>
      <c r="M261" s="1" t="s">
        <v>507</v>
      </c>
      <c r="N261" s="1" t="s">
        <v>278</v>
      </c>
      <c r="O261" s="1" t="s">
        <v>323</v>
      </c>
      <c r="P261" s="1" t="s">
        <v>282</v>
      </c>
      <c r="R261" s="1" t="str">
        <f t="shared" si="6"/>
        <v>NGAT08M40BT</v>
      </c>
    </row>
    <row r="262" spans="1:18">
      <c r="A262" s="1">
        <v>195821</v>
      </c>
      <c r="B262" s="1" t="s">
        <v>550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 t="s">
        <v>275</v>
      </c>
      <c r="L262" s="1" t="s">
        <v>290</v>
      </c>
      <c r="M262" s="1" t="s">
        <v>507</v>
      </c>
      <c r="N262" s="1" t="s">
        <v>278</v>
      </c>
      <c r="O262" s="1" t="s">
        <v>323</v>
      </c>
      <c r="P262" s="1" t="s">
        <v>284</v>
      </c>
      <c r="R262" s="1" t="str">
        <f t="shared" si="6"/>
        <v>NGAB08M40BT</v>
      </c>
    </row>
    <row r="263" spans="1:18">
      <c r="A263" s="1">
        <v>195822</v>
      </c>
      <c r="B263" s="1" t="s">
        <v>551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 t="s">
        <v>286</v>
      </c>
      <c r="L263" s="1" t="s">
        <v>290</v>
      </c>
      <c r="M263" s="1" t="s">
        <v>507</v>
      </c>
      <c r="N263" s="1" t="s">
        <v>278</v>
      </c>
      <c r="O263" s="1" t="s">
        <v>323</v>
      </c>
      <c r="P263" s="1" t="s">
        <v>280</v>
      </c>
      <c r="R263" s="1" t="str">
        <f t="shared" si="6"/>
        <v>NGAR08N40BT</v>
      </c>
    </row>
    <row r="264" spans="1:18">
      <c r="A264" s="1">
        <v>195823</v>
      </c>
      <c r="B264" s="1" t="s">
        <v>552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 t="s">
        <v>286</v>
      </c>
      <c r="L264" s="1" t="s">
        <v>290</v>
      </c>
      <c r="M264" s="1" t="s">
        <v>507</v>
      </c>
      <c r="N264" s="1" t="s">
        <v>278</v>
      </c>
      <c r="O264" s="1" t="s">
        <v>323</v>
      </c>
      <c r="P264" s="1" t="s">
        <v>282</v>
      </c>
      <c r="R264" s="1" t="str">
        <f t="shared" si="6"/>
        <v>NGAT08N40BT</v>
      </c>
    </row>
    <row r="265" spans="1:18">
      <c r="A265" s="1">
        <v>195824</v>
      </c>
      <c r="B265" s="1" t="s">
        <v>553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 t="s">
        <v>286</v>
      </c>
      <c r="L265" s="1" t="s">
        <v>290</v>
      </c>
      <c r="M265" s="1" t="s">
        <v>507</v>
      </c>
      <c r="N265" s="1" t="s">
        <v>278</v>
      </c>
      <c r="O265" s="1" t="s">
        <v>323</v>
      </c>
      <c r="P265" s="1" t="s">
        <v>284</v>
      </c>
      <c r="R265" s="1" t="str">
        <f t="shared" si="6"/>
        <v>NGAB08N40BT</v>
      </c>
    </row>
    <row r="266" spans="1:18">
      <c r="A266" s="1">
        <v>195825</v>
      </c>
      <c r="B266" s="1" t="s">
        <v>554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 t="s">
        <v>275</v>
      </c>
      <c r="L266" s="1" t="s">
        <v>297</v>
      </c>
      <c r="M266" s="1" t="s">
        <v>507</v>
      </c>
      <c r="N266" s="1" t="s">
        <v>278</v>
      </c>
      <c r="O266" s="1" t="s">
        <v>323</v>
      </c>
      <c r="P266" s="1" t="s">
        <v>280</v>
      </c>
      <c r="R266" s="1" t="str">
        <f t="shared" si="6"/>
        <v>NGAR08M60BT</v>
      </c>
    </row>
    <row r="267" spans="1:18">
      <c r="A267" s="1">
        <v>195826</v>
      </c>
      <c r="B267" s="1" t="s">
        <v>555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 t="s">
        <v>275</v>
      </c>
      <c r="L267" s="1" t="s">
        <v>297</v>
      </c>
      <c r="M267" s="1" t="s">
        <v>507</v>
      </c>
      <c r="N267" s="1" t="s">
        <v>278</v>
      </c>
      <c r="O267" s="1" t="s">
        <v>323</v>
      </c>
      <c r="P267" s="1" t="s">
        <v>282</v>
      </c>
      <c r="R267" s="1" t="str">
        <f t="shared" si="6"/>
        <v>NGAT08M60BT</v>
      </c>
    </row>
    <row r="268" spans="1:18">
      <c r="A268" s="1">
        <v>195827</v>
      </c>
      <c r="B268" s="1" t="s">
        <v>556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 t="s">
        <v>275</v>
      </c>
      <c r="L268" s="1" t="s">
        <v>297</v>
      </c>
      <c r="M268" s="1" t="s">
        <v>507</v>
      </c>
      <c r="N268" s="1" t="s">
        <v>278</v>
      </c>
      <c r="O268" s="1" t="s">
        <v>323</v>
      </c>
      <c r="P268" s="1" t="s">
        <v>284</v>
      </c>
      <c r="R268" s="1" t="str">
        <f t="shared" si="6"/>
        <v>NGAB08M60BT</v>
      </c>
    </row>
    <row r="269" spans="1:18">
      <c r="A269" s="1">
        <v>195828</v>
      </c>
      <c r="B269" s="1" t="s">
        <v>557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 t="s">
        <v>286</v>
      </c>
      <c r="L269" s="1" t="s">
        <v>297</v>
      </c>
      <c r="M269" s="1" t="s">
        <v>507</v>
      </c>
      <c r="N269" s="1" t="s">
        <v>278</v>
      </c>
      <c r="O269" s="1" t="s">
        <v>323</v>
      </c>
      <c r="P269" s="1" t="s">
        <v>280</v>
      </c>
      <c r="R269" s="1" t="str">
        <f t="shared" si="6"/>
        <v>NGAR08N60BT</v>
      </c>
    </row>
    <row r="270" spans="1:18">
      <c r="A270" s="1">
        <v>195829</v>
      </c>
      <c r="B270" s="1" t="s">
        <v>558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 t="s">
        <v>286</v>
      </c>
      <c r="L270" s="1" t="s">
        <v>297</v>
      </c>
      <c r="M270" s="1" t="s">
        <v>507</v>
      </c>
      <c r="N270" s="1" t="s">
        <v>278</v>
      </c>
      <c r="O270" s="1" t="s">
        <v>323</v>
      </c>
      <c r="P270" s="1" t="s">
        <v>282</v>
      </c>
      <c r="R270" s="1" t="str">
        <f t="shared" si="6"/>
        <v>NGAT08N60BT</v>
      </c>
    </row>
    <row r="271" spans="1:18">
      <c r="A271" s="1">
        <v>195830</v>
      </c>
      <c r="B271" s="1" t="s">
        <v>559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 t="s">
        <v>286</v>
      </c>
      <c r="L271" s="1" t="s">
        <v>297</v>
      </c>
      <c r="M271" s="1" t="s">
        <v>507</v>
      </c>
      <c r="N271" s="1" t="s">
        <v>278</v>
      </c>
      <c r="O271" s="1" t="s">
        <v>323</v>
      </c>
      <c r="P271" s="1" t="s">
        <v>284</v>
      </c>
      <c r="R271" s="1" t="str">
        <f t="shared" si="6"/>
        <v>NGAB08N60BT</v>
      </c>
    </row>
    <row r="272" spans="1:18">
      <c r="A272" s="1">
        <v>195837</v>
      </c>
      <c r="B272" s="1" t="s">
        <v>560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 t="s">
        <v>275</v>
      </c>
      <c r="L272" s="1" t="s">
        <v>276</v>
      </c>
      <c r="M272" s="1" t="s">
        <v>507</v>
      </c>
      <c r="N272" s="1" t="s">
        <v>278</v>
      </c>
      <c r="O272" s="1" t="s">
        <v>342</v>
      </c>
      <c r="P272" s="1" t="s">
        <v>280</v>
      </c>
      <c r="R272" s="1" t="str">
        <f t="shared" si="6"/>
        <v>NGCR08M30BT</v>
      </c>
    </row>
    <row r="273" spans="1:18">
      <c r="A273" s="1">
        <v>195838</v>
      </c>
      <c r="B273" s="1" t="s">
        <v>561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 t="s">
        <v>275</v>
      </c>
      <c r="L273" s="1" t="s">
        <v>276</v>
      </c>
      <c r="M273" s="1" t="s">
        <v>507</v>
      </c>
      <c r="N273" s="1" t="s">
        <v>278</v>
      </c>
      <c r="O273" s="1" t="s">
        <v>342</v>
      </c>
      <c r="P273" s="1" t="s">
        <v>282</v>
      </c>
      <c r="R273" s="1" t="str">
        <f t="shared" si="6"/>
        <v>NGCT08M30BT</v>
      </c>
    </row>
    <row r="274" spans="1:18">
      <c r="A274" s="1">
        <v>195839</v>
      </c>
      <c r="B274" s="1" t="s">
        <v>562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 t="s">
        <v>275</v>
      </c>
      <c r="L274" s="1" t="s">
        <v>276</v>
      </c>
      <c r="M274" s="1" t="s">
        <v>507</v>
      </c>
      <c r="N274" s="1" t="s">
        <v>278</v>
      </c>
      <c r="O274" s="1" t="s">
        <v>342</v>
      </c>
      <c r="P274" s="1" t="s">
        <v>284</v>
      </c>
      <c r="R274" s="1" t="str">
        <f t="shared" si="6"/>
        <v>NGCB08M30BT</v>
      </c>
    </row>
    <row r="275" spans="1:18">
      <c r="A275" s="1">
        <v>195840</v>
      </c>
      <c r="B275" s="1" t="s">
        <v>563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 t="s">
        <v>286</v>
      </c>
      <c r="L275" s="1" t="s">
        <v>276</v>
      </c>
      <c r="M275" s="1" t="s">
        <v>507</v>
      </c>
      <c r="N275" s="1" t="s">
        <v>278</v>
      </c>
      <c r="O275" s="1" t="s">
        <v>342</v>
      </c>
      <c r="P275" s="1" t="s">
        <v>280</v>
      </c>
      <c r="R275" s="1" t="str">
        <f t="shared" si="6"/>
        <v>NGCR08N30BT</v>
      </c>
    </row>
    <row r="276" spans="1:18">
      <c r="A276" s="1">
        <v>195841</v>
      </c>
      <c r="B276" s="1" t="s">
        <v>564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 t="s">
        <v>286</v>
      </c>
      <c r="L276" s="1" t="s">
        <v>276</v>
      </c>
      <c r="M276" s="1" t="s">
        <v>507</v>
      </c>
      <c r="N276" s="1" t="s">
        <v>278</v>
      </c>
      <c r="O276" s="1" t="s">
        <v>342</v>
      </c>
      <c r="P276" s="1" t="s">
        <v>282</v>
      </c>
      <c r="R276" s="1" t="str">
        <f t="shared" si="6"/>
        <v>NGCT08N30BT</v>
      </c>
    </row>
    <row r="277" spans="1:18">
      <c r="A277" s="1">
        <v>195842</v>
      </c>
      <c r="B277" s="1" t="s">
        <v>565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 t="s">
        <v>286</v>
      </c>
      <c r="L277" s="1" t="s">
        <v>276</v>
      </c>
      <c r="M277" s="1" t="s">
        <v>507</v>
      </c>
      <c r="N277" s="1" t="s">
        <v>278</v>
      </c>
      <c r="O277" s="1" t="s">
        <v>342</v>
      </c>
      <c r="P277" s="1" t="s">
        <v>284</v>
      </c>
      <c r="R277" s="1" t="str">
        <f t="shared" si="6"/>
        <v>NGCB08N30BT</v>
      </c>
    </row>
    <row r="278" spans="1:18">
      <c r="A278" s="1">
        <v>195843</v>
      </c>
      <c r="B278" s="1" t="s">
        <v>566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 t="s">
        <v>275</v>
      </c>
      <c r="L278" s="1" t="s">
        <v>290</v>
      </c>
      <c r="M278" s="1" t="s">
        <v>507</v>
      </c>
      <c r="N278" s="1" t="s">
        <v>278</v>
      </c>
      <c r="O278" s="1" t="s">
        <v>342</v>
      </c>
      <c r="P278" s="1" t="s">
        <v>280</v>
      </c>
      <c r="R278" s="1" t="str">
        <f t="shared" si="6"/>
        <v>NGCR08M40BT</v>
      </c>
    </row>
    <row r="279" spans="1:18">
      <c r="A279" s="1">
        <v>195844</v>
      </c>
      <c r="B279" s="1" t="s">
        <v>567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 t="s">
        <v>275</v>
      </c>
      <c r="L279" s="1" t="s">
        <v>290</v>
      </c>
      <c r="M279" s="1" t="s">
        <v>507</v>
      </c>
      <c r="N279" s="1" t="s">
        <v>278</v>
      </c>
      <c r="O279" s="1" t="s">
        <v>342</v>
      </c>
      <c r="P279" s="1" t="s">
        <v>282</v>
      </c>
      <c r="R279" s="1" t="str">
        <f t="shared" si="6"/>
        <v>NGCT08M40BT</v>
      </c>
    </row>
    <row r="280" spans="1:18">
      <c r="A280" s="1">
        <v>195845</v>
      </c>
      <c r="B280" s="1" t="s">
        <v>568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 t="s">
        <v>275</v>
      </c>
      <c r="L280" s="1" t="s">
        <v>290</v>
      </c>
      <c r="M280" s="1" t="s">
        <v>507</v>
      </c>
      <c r="N280" s="1" t="s">
        <v>278</v>
      </c>
      <c r="O280" s="1" t="s">
        <v>342</v>
      </c>
      <c r="P280" s="1" t="s">
        <v>284</v>
      </c>
      <c r="R280" s="1" t="str">
        <f t="shared" si="6"/>
        <v>NGCB08M40BT</v>
      </c>
    </row>
    <row r="281" spans="1:18">
      <c r="A281" s="1">
        <v>195846</v>
      </c>
      <c r="B281" s="1" t="s">
        <v>569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 t="s">
        <v>286</v>
      </c>
      <c r="L281" s="1" t="s">
        <v>290</v>
      </c>
      <c r="M281" s="1" t="s">
        <v>507</v>
      </c>
      <c r="N281" s="1" t="s">
        <v>278</v>
      </c>
      <c r="O281" s="1" t="s">
        <v>342</v>
      </c>
      <c r="P281" s="1" t="s">
        <v>280</v>
      </c>
      <c r="R281" s="1" t="str">
        <f t="shared" si="6"/>
        <v>NGCR08N40BT</v>
      </c>
    </row>
    <row r="282" spans="1:18">
      <c r="A282" s="1">
        <v>195847</v>
      </c>
      <c r="B282" s="1" t="s">
        <v>570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 t="s">
        <v>286</v>
      </c>
      <c r="L282" s="1" t="s">
        <v>290</v>
      </c>
      <c r="M282" s="1" t="s">
        <v>507</v>
      </c>
      <c r="N282" s="1" t="s">
        <v>278</v>
      </c>
      <c r="O282" s="1" t="s">
        <v>342</v>
      </c>
      <c r="P282" s="1" t="s">
        <v>282</v>
      </c>
      <c r="R282" s="1" t="str">
        <f t="shared" si="6"/>
        <v>NGCT08N40BT</v>
      </c>
    </row>
    <row r="283" spans="1:18">
      <c r="A283" s="1">
        <v>195848</v>
      </c>
      <c r="B283" s="1" t="s">
        <v>571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 t="s">
        <v>286</v>
      </c>
      <c r="L283" s="1" t="s">
        <v>290</v>
      </c>
      <c r="M283" s="1" t="s">
        <v>507</v>
      </c>
      <c r="N283" s="1" t="s">
        <v>278</v>
      </c>
      <c r="O283" s="1" t="s">
        <v>342</v>
      </c>
      <c r="P283" s="1" t="s">
        <v>284</v>
      </c>
      <c r="R283" s="1" t="str">
        <f t="shared" ref="R283:R290" si="7">MID(B283,1,11)</f>
        <v>NGCB08N40BT</v>
      </c>
    </row>
    <row r="284" spans="1:18">
      <c r="A284" s="1">
        <v>195849</v>
      </c>
      <c r="B284" s="1" t="s">
        <v>572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 t="s">
        <v>275</v>
      </c>
      <c r="L284" s="1" t="s">
        <v>297</v>
      </c>
      <c r="M284" s="1" t="s">
        <v>507</v>
      </c>
      <c r="N284" s="1" t="s">
        <v>278</v>
      </c>
      <c r="O284" s="1" t="s">
        <v>342</v>
      </c>
      <c r="P284" s="1" t="s">
        <v>280</v>
      </c>
      <c r="R284" s="1" t="str">
        <f t="shared" si="7"/>
        <v>NGCR08M60BT</v>
      </c>
    </row>
    <row r="285" spans="1:18">
      <c r="A285" s="1">
        <v>195850</v>
      </c>
      <c r="B285" s="1" t="s">
        <v>573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 t="s">
        <v>275</v>
      </c>
      <c r="L285" s="1" t="s">
        <v>297</v>
      </c>
      <c r="M285" s="1" t="s">
        <v>507</v>
      </c>
      <c r="N285" s="1" t="s">
        <v>278</v>
      </c>
      <c r="O285" s="1" t="s">
        <v>342</v>
      </c>
      <c r="P285" s="1" t="s">
        <v>282</v>
      </c>
      <c r="R285" s="1" t="str">
        <f t="shared" si="7"/>
        <v>NGCT08M60BT</v>
      </c>
    </row>
    <row r="286" spans="1:18">
      <c r="A286" s="1">
        <v>195851</v>
      </c>
      <c r="B286" s="1" t="s">
        <v>574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 t="s">
        <v>275</v>
      </c>
      <c r="L286" s="1" t="s">
        <v>297</v>
      </c>
      <c r="M286" s="1" t="s">
        <v>507</v>
      </c>
      <c r="N286" s="1" t="s">
        <v>278</v>
      </c>
      <c r="O286" s="1" t="s">
        <v>342</v>
      </c>
      <c r="P286" s="1" t="s">
        <v>284</v>
      </c>
      <c r="R286" s="1" t="str">
        <f t="shared" si="7"/>
        <v>NGCB08M60BT</v>
      </c>
    </row>
    <row r="287" spans="1:18">
      <c r="A287" s="1">
        <v>195852</v>
      </c>
      <c r="B287" s="1" t="s">
        <v>575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 t="s">
        <v>286</v>
      </c>
      <c r="L287" s="1" t="s">
        <v>297</v>
      </c>
      <c r="M287" s="1" t="s">
        <v>507</v>
      </c>
      <c r="N287" s="1" t="s">
        <v>278</v>
      </c>
      <c r="O287" s="1" t="s">
        <v>342</v>
      </c>
      <c r="P287" s="1" t="s">
        <v>280</v>
      </c>
      <c r="R287" s="1" t="str">
        <f t="shared" si="7"/>
        <v>NGCR08N60BT</v>
      </c>
    </row>
    <row r="288" spans="1:18">
      <c r="A288" s="1">
        <v>195853</v>
      </c>
      <c r="B288" s="1" t="s">
        <v>576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 t="s">
        <v>286</v>
      </c>
      <c r="L288" s="1" t="s">
        <v>297</v>
      </c>
      <c r="M288" s="1" t="s">
        <v>507</v>
      </c>
      <c r="N288" s="1" t="s">
        <v>278</v>
      </c>
      <c r="O288" s="1" t="s">
        <v>342</v>
      </c>
      <c r="P288" s="1" t="s">
        <v>282</v>
      </c>
      <c r="R288" s="1" t="str">
        <f t="shared" si="7"/>
        <v>NGCT08N60BT</v>
      </c>
    </row>
    <row r="289" spans="1:18">
      <c r="A289" s="1">
        <v>195854</v>
      </c>
      <c r="B289" s="1" t="s">
        <v>577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 t="s">
        <v>286</v>
      </c>
      <c r="L289" s="1" t="s">
        <v>297</v>
      </c>
      <c r="M289" s="1" t="s">
        <v>507</v>
      </c>
      <c r="N289" s="1" t="s">
        <v>278</v>
      </c>
      <c r="O289" s="1" t="s">
        <v>342</v>
      </c>
      <c r="P289" s="1" t="s">
        <v>284</v>
      </c>
      <c r="R289" s="1" t="str">
        <f t="shared" si="7"/>
        <v>NGCB08N60BT</v>
      </c>
    </row>
    <row r="290" spans="1:18">
      <c r="A290" s="1">
        <v>195879</v>
      </c>
      <c r="B290" s="1" t="s">
        <v>578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 t="s">
        <v>275</v>
      </c>
      <c r="L290" s="1" t="s">
        <v>579</v>
      </c>
      <c r="M290" s="1" t="s">
        <v>580</v>
      </c>
      <c r="N290" s="1" t="s">
        <v>278</v>
      </c>
      <c r="O290" s="1" t="s">
        <v>279</v>
      </c>
      <c r="P290" s="1" t="s">
        <v>280</v>
      </c>
      <c r="R290" s="1" t="str">
        <f t="shared" si="7"/>
        <v>NGWR08M26ID</v>
      </c>
    </row>
    <row r="291" spans="1:18">
      <c r="A291" s="1">
        <v>195880</v>
      </c>
      <c r="B291" s="1" t="s">
        <v>581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 t="s">
        <v>275</v>
      </c>
      <c r="L291" s="1" t="s">
        <v>579</v>
      </c>
      <c r="M291" s="1" t="s">
        <v>580</v>
      </c>
      <c r="N291" s="1" t="s">
        <v>278</v>
      </c>
      <c r="O291" s="1" t="s">
        <v>279</v>
      </c>
      <c r="P291" s="1" t="s">
        <v>282</v>
      </c>
      <c r="R291" s="1" t="str">
        <f t="shared" ref="R291:R313" si="8">MID(B291,1,11)</f>
        <v>NGWT08M26ID</v>
      </c>
    </row>
    <row r="292" spans="1:18">
      <c r="A292" s="1">
        <v>195881</v>
      </c>
      <c r="B292" s="1" t="s">
        <v>582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 t="s">
        <v>275</v>
      </c>
      <c r="L292" s="1" t="s">
        <v>579</v>
      </c>
      <c r="M292" s="1" t="s">
        <v>580</v>
      </c>
      <c r="N292" s="1" t="s">
        <v>278</v>
      </c>
      <c r="O292" s="1" t="s">
        <v>279</v>
      </c>
      <c r="P292" s="1" t="s">
        <v>284</v>
      </c>
      <c r="R292" s="1" t="str">
        <f t="shared" si="8"/>
        <v>NGWB08M26ID</v>
      </c>
    </row>
    <row r="293" spans="1:18">
      <c r="A293" s="1">
        <v>195882</v>
      </c>
      <c r="B293" s="1" t="s">
        <v>583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 t="s">
        <v>286</v>
      </c>
      <c r="L293" s="1" t="s">
        <v>579</v>
      </c>
      <c r="M293" s="1" t="s">
        <v>580</v>
      </c>
      <c r="N293" s="1" t="s">
        <v>278</v>
      </c>
      <c r="O293" s="1" t="s">
        <v>279</v>
      </c>
      <c r="P293" s="1" t="s">
        <v>280</v>
      </c>
      <c r="R293" s="1" t="str">
        <f t="shared" si="8"/>
        <v>NGWR08N26ID</v>
      </c>
    </row>
    <row r="294" spans="1:18">
      <c r="A294" s="1">
        <v>195883</v>
      </c>
      <c r="B294" s="1" t="s">
        <v>584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 t="s">
        <v>286</v>
      </c>
      <c r="L294" s="1" t="s">
        <v>579</v>
      </c>
      <c r="M294" s="1" t="s">
        <v>580</v>
      </c>
      <c r="N294" s="1" t="s">
        <v>278</v>
      </c>
      <c r="O294" s="1" t="s">
        <v>279</v>
      </c>
      <c r="P294" s="1" t="s">
        <v>282</v>
      </c>
      <c r="R294" s="1" t="str">
        <f t="shared" si="8"/>
        <v>NGWT08N26ID</v>
      </c>
    </row>
    <row r="295" spans="1:18">
      <c r="A295" s="1">
        <v>195884</v>
      </c>
      <c r="B295" s="1" t="s">
        <v>585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 t="s">
        <v>286</v>
      </c>
      <c r="L295" s="1" t="s">
        <v>579</v>
      </c>
      <c r="M295" s="1" t="s">
        <v>580</v>
      </c>
      <c r="N295" s="1" t="s">
        <v>278</v>
      </c>
      <c r="O295" s="1" t="s">
        <v>279</v>
      </c>
      <c r="P295" s="1" t="s">
        <v>284</v>
      </c>
      <c r="R295" s="1" t="str">
        <f t="shared" si="8"/>
        <v>NGWB08N26ID</v>
      </c>
    </row>
    <row r="296" spans="1:18">
      <c r="A296" s="1">
        <v>195903</v>
      </c>
      <c r="B296" s="1" t="s">
        <v>586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 t="s">
        <v>275</v>
      </c>
      <c r="L296" s="1" t="s">
        <v>579</v>
      </c>
      <c r="M296" s="1" t="s">
        <v>580</v>
      </c>
      <c r="N296" s="1" t="s">
        <v>278</v>
      </c>
      <c r="O296" s="1" t="s">
        <v>304</v>
      </c>
      <c r="P296" s="1" t="s">
        <v>280</v>
      </c>
      <c r="R296" s="1" t="str">
        <f t="shared" si="8"/>
        <v>NGBR08M26ID</v>
      </c>
    </row>
    <row r="297" spans="1:18">
      <c r="A297" s="1">
        <v>195904</v>
      </c>
      <c r="B297" s="1" t="s">
        <v>587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 t="s">
        <v>275</v>
      </c>
      <c r="L297" s="1" t="s">
        <v>579</v>
      </c>
      <c r="M297" s="1" t="s">
        <v>580</v>
      </c>
      <c r="N297" s="1" t="s">
        <v>278</v>
      </c>
      <c r="O297" s="1" t="s">
        <v>304</v>
      </c>
      <c r="P297" s="1" t="s">
        <v>282</v>
      </c>
      <c r="R297" s="1" t="str">
        <f t="shared" si="8"/>
        <v>NGBT08M26ID</v>
      </c>
    </row>
    <row r="298" spans="1:18">
      <c r="A298" s="1">
        <v>195905</v>
      </c>
      <c r="B298" s="1" t="s">
        <v>588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 t="s">
        <v>275</v>
      </c>
      <c r="L298" s="1" t="s">
        <v>579</v>
      </c>
      <c r="M298" s="1" t="s">
        <v>580</v>
      </c>
      <c r="N298" s="1" t="s">
        <v>278</v>
      </c>
      <c r="O298" s="1" t="s">
        <v>304</v>
      </c>
      <c r="P298" s="1" t="s">
        <v>284</v>
      </c>
      <c r="R298" s="1" t="str">
        <f t="shared" si="8"/>
        <v>NGBB08M26ID</v>
      </c>
    </row>
    <row r="299" spans="1:18">
      <c r="A299" s="1">
        <v>195906</v>
      </c>
      <c r="B299" s="1" t="s">
        <v>589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 t="s">
        <v>286</v>
      </c>
      <c r="L299" s="1" t="s">
        <v>579</v>
      </c>
      <c r="M299" s="1" t="s">
        <v>580</v>
      </c>
      <c r="N299" s="1" t="s">
        <v>278</v>
      </c>
      <c r="O299" s="1" t="s">
        <v>304</v>
      </c>
      <c r="P299" s="1" t="s">
        <v>280</v>
      </c>
      <c r="R299" s="1" t="str">
        <f t="shared" si="8"/>
        <v>NGBR08N26ID</v>
      </c>
    </row>
    <row r="300" spans="1:18">
      <c r="A300" s="1">
        <v>195907</v>
      </c>
      <c r="B300" s="1" t="s">
        <v>590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 t="s">
        <v>286</v>
      </c>
      <c r="L300" s="1" t="s">
        <v>579</v>
      </c>
      <c r="M300" s="1" t="s">
        <v>580</v>
      </c>
      <c r="N300" s="1" t="s">
        <v>278</v>
      </c>
      <c r="O300" s="1" t="s">
        <v>304</v>
      </c>
      <c r="P300" s="1" t="s">
        <v>282</v>
      </c>
      <c r="R300" s="1" t="str">
        <f t="shared" si="8"/>
        <v>NGBT08N26ID</v>
      </c>
    </row>
    <row r="301" spans="1:18">
      <c r="A301" s="1">
        <v>195908</v>
      </c>
      <c r="B301" s="1" t="s">
        <v>591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 t="s">
        <v>286</v>
      </c>
      <c r="L301" s="1" t="s">
        <v>579</v>
      </c>
      <c r="M301" s="1" t="s">
        <v>580</v>
      </c>
      <c r="N301" s="1" t="s">
        <v>278</v>
      </c>
      <c r="O301" s="1" t="s">
        <v>304</v>
      </c>
      <c r="P301" s="1" t="s">
        <v>284</v>
      </c>
      <c r="R301" s="1" t="str">
        <f t="shared" si="8"/>
        <v>NGBB08N26ID</v>
      </c>
    </row>
    <row r="302" spans="1:18">
      <c r="A302" s="1">
        <v>195927</v>
      </c>
      <c r="B302" s="1" t="s">
        <v>592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 t="s">
        <v>275</v>
      </c>
      <c r="L302" s="1" t="s">
        <v>579</v>
      </c>
      <c r="M302" s="1" t="s">
        <v>580</v>
      </c>
      <c r="N302" s="1" t="s">
        <v>278</v>
      </c>
      <c r="O302" s="1" t="s">
        <v>323</v>
      </c>
      <c r="P302" s="1" t="s">
        <v>280</v>
      </c>
      <c r="R302" s="1" t="str">
        <f t="shared" si="8"/>
        <v>NGAR08M26ID</v>
      </c>
    </row>
    <row r="303" spans="1:18">
      <c r="A303" s="1">
        <v>195928</v>
      </c>
      <c r="B303" s="1" t="s">
        <v>593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 t="s">
        <v>275</v>
      </c>
      <c r="L303" s="1" t="s">
        <v>579</v>
      </c>
      <c r="M303" s="1" t="s">
        <v>580</v>
      </c>
      <c r="N303" s="1" t="s">
        <v>278</v>
      </c>
      <c r="O303" s="1" t="s">
        <v>323</v>
      </c>
      <c r="P303" s="1" t="s">
        <v>282</v>
      </c>
      <c r="R303" s="1" t="str">
        <f t="shared" si="8"/>
        <v>NGAT08M26ID</v>
      </c>
    </row>
    <row r="304" spans="1:18">
      <c r="A304" s="1">
        <v>195929</v>
      </c>
      <c r="B304" s="1" t="s">
        <v>594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 t="s">
        <v>275</v>
      </c>
      <c r="L304" s="1" t="s">
        <v>579</v>
      </c>
      <c r="M304" s="1" t="s">
        <v>580</v>
      </c>
      <c r="N304" s="1" t="s">
        <v>278</v>
      </c>
      <c r="O304" s="1" t="s">
        <v>323</v>
      </c>
      <c r="P304" s="1" t="s">
        <v>284</v>
      </c>
      <c r="R304" s="1" t="str">
        <f t="shared" si="8"/>
        <v>NGAB08M26ID</v>
      </c>
    </row>
    <row r="305" spans="1:18">
      <c r="A305" s="1">
        <v>195930</v>
      </c>
      <c r="B305" s="1" t="s">
        <v>595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 t="s">
        <v>286</v>
      </c>
      <c r="L305" s="1" t="s">
        <v>579</v>
      </c>
      <c r="M305" s="1" t="s">
        <v>580</v>
      </c>
      <c r="N305" s="1" t="s">
        <v>278</v>
      </c>
      <c r="O305" s="1" t="s">
        <v>323</v>
      </c>
      <c r="P305" s="1" t="s">
        <v>280</v>
      </c>
      <c r="R305" s="1" t="str">
        <f t="shared" si="8"/>
        <v>NGAR08N26ID</v>
      </c>
    </row>
    <row r="306" spans="1:18">
      <c r="A306" s="1">
        <v>195931</v>
      </c>
      <c r="B306" s="1" t="s">
        <v>596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 t="s">
        <v>286</v>
      </c>
      <c r="L306" s="1" t="s">
        <v>579</v>
      </c>
      <c r="M306" s="1" t="s">
        <v>580</v>
      </c>
      <c r="N306" s="1" t="s">
        <v>278</v>
      </c>
      <c r="O306" s="1" t="s">
        <v>323</v>
      </c>
      <c r="P306" s="1" t="s">
        <v>282</v>
      </c>
      <c r="R306" s="1" t="str">
        <f t="shared" si="8"/>
        <v>NGAT08N26ID</v>
      </c>
    </row>
    <row r="307" spans="1:18">
      <c r="A307" s="1">
        <v>195932</v>
      </c>
      <c r="B307" s="1" t="s">
        <v>597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 t="s">
        <v>286</v>
      </c>
      <c r="L307" s="1" t="s">
        <v>579</v>
      </c>
      <c r="M307" s="1" t="s">
        <v>580</v>
      </c>
      <c r="N307" s="1" t="s">
        <v>278</v>
      </c>
      <c r="O307" s="1" t="s">
        <v>323</v>
      </c>
      <c r="P307" s="1" t="s">
        <v>284</v>
      </c>
      <c r="R307" s="1" t="str">
        <f t="shared" si="8"/>
        <v>NGAB08N26ID</v>
      </c>
    </row>
    <row r="308" spans="1:18">
      <c r="A308" s="1">
        <v>195951</v>
      </c>
      <c r="B308" s="1" t="s">
        <v>598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 t="s">
        <v>275</v>
      </c>
      <c r="L308" s="1" t="s">
        <v>579</v>
      </c>
      <c r="M308" s="1" t="s">
        <v>580</v>
      </c>
      <c r="N308" s="1" t="s">
        <v>278</v>
      </c>
      <c r="O308" s="1" t="s">
        <v>342</v>
      </c>
      <c r="P308" s="1" t="s">
        <v>280</v>
      </c>
      <c r="R308" s="1" t="str">
        <f t="shared" si="8"/>
        <v>NGCR08M26ID</v>
      </c>
    </row>
    <row r="309" spans="1:18">
      <c r="A309" s="1">
        <v>195952</v>
      </c>
      <c r="B309" s="1" t="s">
        <v>599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 t="s">
        <v>275</v>
      </c>
      <c r="L309" s="1" t="s">
        <v>579</v>
      </c>
      <c r="M309" s="1" t="s">
        <v>580</v>
      </c>
      <c r="N309" s="1" t="s">
        <v>278</v>
      </c>
      <c r="O309" s="1" t="s">
        <v>342</v>
      </c>
      <c r="P309" s="1" t="s">
        <v>282</v>
      </c>
      <c r="R309" s="1" t="str">
        <f t="shared" si="8"/>
        <v>NGCT08M26ID</v>
      </c>
    </row>
    <row r="310" spans="1:18">
      <c r="A310" s="1">
        <v>195953</v>
      </c>
      <c r="B310" s="1" t="s">
        <v>600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 t="s">
        <v>275</v>
      </c>
      <c r="L310" s="1" t="s">
        <v>579</v>
      </c>
      <c r="M310" s="1" t="s">
        <v>580</v>
      </c>
      <c r="N310" s="1" t="s">
        <v>278</v>
      </c>
      <c r="O310" s="1" t="s">
        <v>342</v>
      </c>
      <c r="P310" s="1" t="s">
        <v>284</v>
      </c>
      <c r="R310" s="1" t="str">
        <f t="shared" si="8"/>
        <v>NGCB08M26ID</v>
      </c>
    </row>
    <row r="311" spans="1:18">
      <c r="A311" s="1">
        <v>195954</v>
      </c>
      <c r="B311" s="1" t="s">
        <v>601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 t="s">
        <v>286</v>
      </c>
      <c r="L311" s="1" t="s">
        <v>579</v>
      </c>
      <c r="M311" s="1" t="s">
        <v>580</v>
      </c>
      <c r="N311" s="1" t="s">
        <v>278</v>
      </c>
      <c r="O311" s="1" t="s">
        <v>342</v>
      </c>
      <c r="P311" s="1" t="s">
        <v>280</v>
      </c>
      <c r="R311" s="1" t="str">
        <f t="shared" si="8"/>
        <v>NGCR08N26ID</v>
      </c>
    </row>
    <row r="312" spans="1:18">
      <c r="A312" s="1">
        <v>195955</v>
      </c>
      <c r="B312" s="1" t="s">
        <v>602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 t="s">
        <v>286</v>
      </c>
      <c r="L312" s="1" t="s">
        <v>579</v>
      </c>
      <c r="M312" s="1" t="s">
        <v>580</v>
      </c>
      <c r="N312" s="1" t="s">
        <v>278</v>
      </c>
      <c r="O312" s="1" t="s">
        <v>342</v>
      </c>
      <c r="P312" s="1" t="s">
        <v>282</v>
      </c>
      <c r="R312" s="1" t="str">
        <f t="shared" si="8"/>
        <v>NGCT08N26ID</v>
      </c>
    </row>
    <row r="313" spans="1:18">
      <c r="A313" s="1">
        <v>195956</v>
      </c>
      <c r="B313" s="1" t="s">
        <v>603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 t="s">
        <v>286</v>
      </c>
      <c r="L313" s="1" t="s">
        <v>579</v>
      </c>
      <c r="M313" s="1" t="s">
        <v>580</v>
      </c>
      <c r="N313" s="1" t="s">
        <v>278</v>
      </c>
      <c r="O313" s="1" t="s">
        <v>342</v>
      </c>
      <c r="P313" s="1" t="s">
        <v>284</v>
      </c>
      <c r="R313" s="1" t="str">
        <f t="shared" si="8"/>
        <v>NGCB08N26ID</v>
      </c>
    </row>
    <row r="314" spans="1:18">
      <c r="A314" s="1">
        <v>195975</v>
      </c>
      <c r="B314" s="1" t="s">
        <v>604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 t="s">
        <v>275</v>
      </c>
      <c r="L314" s="1" t="s">
        <v>579</v>
      </c>
      <c r="M314" s="1" t="s">
        <v>605</v>
      </c>
      <c r="N314" s="1" t="s">
        <v>278</v>
      </c>
      <c r="O314" s="1" t="s">
        <v>279</v>
      </c>
      <c r="P314" s="1" t="s">
        <v>280</v>
      </c>
      <c r="R314" s="1" t="str">
        <f>MID(B314,1,12)</f>
        <v>NGWR08M26BTD</v>
      </c>
    </row>
    <row r="315" spans="1:18">
      <c r="A315" s="1">
        <v>195976</v>
      </c>
      <c r="B315" s="1" t="s">
        <v>606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 t="s">
        <v>275</v>
      </c>
      <c r="L315" s="1" t="s">
        <v>579</v>
      </c>
      <c r="M315" s="1" t="s">
        <v>605</v>
      </c>
      <c r="N315" s="1" t="s">
        <v>278</v>
      </c>
      <c r="O315" s="1" t="s">
        <v>279</v>
      </c>
      <c r="P315" s="1" t="s">
        <v>282</v>
      </c>
      <c r="R315" s="1" t="str">
        <f t="shared" ref="R315:R337" si="9">MID(B315,1,12)</f>
        <v>NGWT08M26BTD</v>
      </c>
    </row>
    <row r="316" spans="1:18">
      <c r="A316" s="1">
        <v>195977</v>
      </c>
      <c r="B316" s="1" t="s">
        <v>607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 t="s">
        <v>275</v>
      </c>
      <c r="L316" s="1" t="s">
        <v>579</v>
      </c>
      <c r="M316" s="1" t="s">
        <v>605</v>
      </c>
      <c r="N316" s="1" t="s">
        <v>278</v>
      </c>
      <c r="O316" s="1" t="s">
        <v>279</v>
      </c>
      <c r="P316" s="1" t="s">
        <v>284</v>
      </c>
      <c r="R316" s="1" t="str">
        <f t="shared" si="9"/>
        <v>NGWB08M26BTD</v>
      </c>
    </row>
    <row r="317" spans="1:18">
      <c r="A317" s="1">
        <v>195978</v>
      </c>
      <c r="B317" s="1" t="s">
        <v>608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 t="s">
        <v>286</v>
      </c>
      <c r="L317" s="1" t="s">
        <v>579</v>
      </c>
      <c r="M317" s="1" t="s">
        <v>605</v>
      </c>
      <c r="N317" s="1" t="s">
        <v>278</v>
      </c>
      <c r="O317" s="1" t="s">
        <v>279</v>
      </c>
      <c r="P317" s="1" t="s">
        <v>280</v>
      </c>
      <c r="R317" s="1" t="str">
        <f t="shared" si="9"/>
        <v>NGWR08N26BTD</v>
      </c>
    </row>
    <row r="318" spans="1:18">
      <c r="A318" s="1">
        <v>195979</v>
      </c>
      <c r="B318" s="1" t="s">
        <v>609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 t="s">
        <v>286</v>
      </c>
      <c r="L318" s="1" t="s">
        <v>579</v>
      </c>
      <c r="M318" s="1" t="s">
        <v>605</v>
      </c>
      <c r="N318" s="1" t="s">
        <v>278</v>
      </c>
      <c r="O318" s="1" t="s">
        <v>279</v>
      </c>
      <c r="P318" s="1" t="s">
        <v>282</v>
      </c>
      <c r="R318" s="1" t="str">
        <f t="shared" si="9"/>
        <v>NGWT08N26BTD</v>
      </c>
    </row>
    <row r="319" spans="1:18">
      <c r="A319" s="1">
        <v>195980</v>
      </c>
      <c r="B319" s="1" t="s">
        <v>610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 t="s">
        <v>286</v>
      </c>
      <c r="L319" s="1" t="s">
        <v>579</v>
      </c>
      <c r="M319" s="1" t="s">
        <v>605</v>
      </c>
      <c r="N319" s="1" t="s">
        <v>278</v>
      </c>
      <c r="O319" s="1" t="s">
        <v>279</v>
      </c>
      <c r="P319" s="1" t="s">
        <v>284</v>
      </c>
      <c r="R319" s="1" t="str">
        <f t="shared" si="9"/>
        <v>NGWB08N26BTD</v>
      </c>
    </row>
    <row r="320" spans="1:18">
      <c r="A320" s="1">
        <v>195999</v>
      </c>
      <c r="B320" s="1" t="s">
        <v>611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 t="s">
        <v>275</v>
      </c>
      <c r="L320" s="1" t="s">
        <v>579</v>
      </c>
      <c r="M320" s="1" t="s">
        <v>605</v>
      </c>
      <c r="N320" s="1" t="s">
        <v>278</v>
      </c>
      <c r="O320" s="1" t="s">
        <v>304</v>
      </c>
      <c r="P320" s="1" t="s">
        <v>280</v>
      </c>
      <c r="R320" s="1" t="str">
        <f t="shared" si="9"/>
        <v>NGBR08M26BTD</v>
      </c>
    </row>
    <row r="321" spans="1:18">
      <c r="A321" s="1">
        <v>196000</v>
      </c>
      <c r="B321" s="1" t="s">
        <v>612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 t="s">
        <v>275</v>
      </c>
      <c r="L321" s="1" t="s">
        <v>579</v>
      </c>
      <c r="M321" s="1" t="s">
        <v>605</v>
      </c>
      <c r="N321" s="1" t="s">
        <v>278</v>
      </c>
      <c r="O321" s="1" t="s">
        <v>304</v>
      </c>
      <c r="P321" s="1" t="s">
        <v>282</v>
      </c>
      <c r="R321" s="1" t="str">
        <f t="shared" si="9"/>
        <v>NGBT08M26BTD</v>
      </c>
    </row>
    <row r="322" spans="1:18">
      <c r="A322" s="1">
        <v>196001</v>
      </c>
      <c r="B322" s="1" t="s">
        <v>613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 t="s">
        <v>275</v>
      </c>
      <c r="L322" s="1" t="s">
        <v>579</v>
      </c>
      <c r="M322" s="1" t="s">
        <v>605</v>
      </c>
      <c r="N322" s="1" t="s">
        <v>278</v>
      </c>
      <c r="O322" s="1" t="s">
        <v>304</v>
      </c>
      <c r="P322" s="1" t="s">
        <v>284</v>
      </c>
      <c r="R322" s="1" t="str">
        <f t="shared" si="9"/>
        <v>NGBB08M26BTD</v>
      </c>
    </row>
    <row r="323" spans="1:18">
      <c r="A323" s="1">
        <v>196002</v>
      </c>
      <c r="B323" s="1" t="s">
        <v>614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 t="s">
        <v>286</v>
      </c>
      <c r="L323" s="1" t="s">
        <v>579</v>
      </c>
      <c r="M323" s="1" t="s">
        <v>605</v>
      </c>
      <c r="N323" s="1" t="s">
        <v>278</v>
      </c>
      <c r="O323" s="1" t="s">
        <v>304</v>
      </c>
      <c r="P323" s="1" t="s">
        <v>280</v>
      </c>
      <c r="R323" s="1" t="str">
        <f t="shared" si="9"/>
        <v>NGBR08N26BTD</v>
      </c>
    </row>
    <row r="324" spans="1:18">
      <c r="A324" s="1">
        <v>196003</v>
      </c>
      <c r="B324" s="1" t="s">
        <v>615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 t="s">
        <v>286</v>
      </c>
      <c r="L324" s="1" t="s">
        <v>579</v>
      </c>
      <c r="M324" s="1" t="s">
        <v>605</v>
      </c>
      <c r="N324" s="1" t="s">
        <v>278</v>
      </c>
      <c r="O324" s="1" t="s">
        <v>304</v>
      </c>
      <c r="P324" s="1" t="s">
        <v>282</v>
      </c>
      <c r="R324" s="1" t="str">
        <f t="shared" si="9"/>
        <v>NGBT08N26BTD</v>
      </c>
    </row>
    <row r="325" spans="1:18">
      <c r="A325" s="1">
        <v>196004</v>
      </c>
      <c r="B325" s="1" t="s">
        <v>616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 t="s">
        <v>286</v>
      </c>
      <c r="L325" s="1" t="s">
        <v>579</v>
      </c>
      <c r="M325" s="1" t="s">
        <v>605</v>
      </c>
      <c r="N325" s="1" t="s">
        <v>278</v>
      </c>
      <c r="O325" s="1" t="s">
        <v>304</v>
      </c>
      <c r="P325" s="1" t="s">
        <v>284</v>
      </c>
      <c r="R325" s="1" t="str">
        <f t="shared" si="9"/>
        <v>NGBB08N26BTD</v>
      </c>
    </row>
    <row r="326" spans="1:18">
      <c r="A326" s="1">
        <v>196023</v>
      </c>
      <c r="B326" s="1" t="s">
        <v>617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 t="s">
        <v>275</v>
      </c>
      <c r="L326" s="1" t="s">
        <v>579</v>
      </c>
      <c r="M326" s="1" t="s">
        <v>605</v>
      </c>
      <c r="N326" s="1" t="s">
        <v>278</v>
      </c>
      <c r="O326" s="1" t="s">
        <v>323</v>
      </c>
      <c r="P326" s="1" t="s">
        <v>280</v>
      </c>
      <c r="R326" s="1" t="str">
        <f t="shared" si="9"/>
        <v>NGAR08M26BTD</v>
      </c>
    </row>
    <row r="327" spans="1:18">
      <c r="A327" s="1">
        <v>196024</v>
      </c>
      <c r="B327" s="1" t="s">
        <v>618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 t="s">
        <v>275</v>
      </c>
      <c r="L327" s="1" t="s">
        <v>579</v>
      </c>
      <c r="M327" s="1" t="s">
        <v>605</v>
      </c>
      <c r="N327" s="1" t="s">
        <v>278</v>
      </c>
      <c r="O327" s="1" t="s">
        <v>323</v>
      </c>
      <c r="P327" s="1" t="s">
        <v>282</v>
      </c>
      <c r="R327" s="1" t="str">
        <f t="shared" si="9"/>
        <v>NGAT08M26BTD</v>
      </c>
    </row>
    <row r="328" spans="1:18">
      <c r="A328" s="1">
        <v>196025</v>
      </c>
      <c r="B328" s="1" t="s">
        <v>619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 t="s">
        <v>275</v>
      </c>
      <c r="L328" s="1" t="s">
        <v>579</v>
      </c>
      <c r="M328" s="1" t="s">
        <v>605</v>
      </c>
      <c r="N328" s="1" t="s">
        <v>278</v>
      </c>
      <c r="O328" s="1" t="s">
        <v>323</v>
      </c>
      <c r="P328" s="1" t="s">
        <v>284</v>
      </c>
      <c r="R328" s="1" t="str">
        <f t="shared" si="9"/>
        <v>NGAB08M26BTD</v>
      </c>
    </row>
    <row r="329" spans="1:18">
      <c r="A329" s="1">
        <v>196026</v>
      </c>
      <c r="B329" s="1" t="s">
        <v>620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 t="s">
        <v>286</v>
      </c>
      <c r="L329" s="1" t="s">
        <v>579</v>
      </c>
      <c r="M329" s="1" t="s">
        <v>605</v>
      </c>
      <c r="N329" s="1" t="s">
        <v>278</v>
      </c>
      <c r="O329" s="1" t="s">
        <v>323</v>
      </c>
      <c r="P329" s="1" t="s">
        <v>280</v>
      </c>
      <c r="R329" s="1" t="str">
        <f t="shared" si="9"/>
        <v>NGAR08N26BTD</v>
      </c>
    </row>
    <row r="330" spans="1:18">
      <c r="A330" s="1">
        <v>196027</v>
      </c>
      <c r="B330" s="1" t="s">
        <v>621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 t="s">
        <v>286</v>
      </c>
      <c r="L330" s="1" t="s">
        <v>579</v>
      </c>
      <c r="M330" s="1" t="s">
        <v>605</v>
      </c>
      <c r="N330" s="1" t="s">
        <v>278</v>
      </c>
      <c r="O330" s="1" t="s">
        <v>323</v>
      </c>
      <c r="P330" s="1" t="s">
        <v>282</v>
      </c>
      <c r="R330" s="1" t="str">
        <f t="shared" si="9"/>
        <v>NGAT08N26BTD</v>
      </c>
    </row>
    <row r="331" spans="1:18">
      <c r="A331" s="1">
        <v>196028</v>
      </c>
      <c r="B331" s="1" t="s">
        <v>622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 t="s">
        <v>286</v>
      </c>
      <c r="L331" s="1" t="s">
        <v>579</v>
      </c>
      <c r="M331" s="1" t="s">
        <v>605</v>
      </c>
      <c r="N331" s="1" t="s">
        <v>278</v>
      </c>
      <c r="O331" s="1" t="s">
        <v>323</v>
      </c>
      <c r="P331" s="1" t="s">
        <v>284</v>
      </c>
      <c r="R331" s="1" t="str">
        <f t="shared" si="9"/>
        <v>NGAB08N26BTD</v>
      </c>
    </row>
    <row r="332" spans="1:18">
      <c r="A332" s="1">
        <v>196047</v>
      </c>
      <c r="B332" s="1" t="s">
        <v>623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 t="s">
        <v>275</v>
      </c>
      <c r="L332" s="1" t="s">
        <v>579</v>
      </c>
      <c r="M332" s="1" t="s">
        <v>605</v>
      </c>
      <c r="N332" s="1" t="s">
        <v>278</v>
      </c>
      <c r="O332" s="1" t="s">
        <v>342</v>
      </c>
      <c r="P332" s="1" t="s">
        <v>280</v>
      </c>
      <c r="R332" s="1" t="str">
        <f t="shared" si="9"/>
        <v>NGCR08M26BTD</v>
      </c>
    </row>
    <row r="333" spans="1:18">
      <c r="A333" s="1">
        <v>196048</v>
      </c>
      <c r="B333" s="1" t="s">
        <v>624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 t="s">
        <v>275</v>
      </c>
      <c r="L333" s="1" t="s">
        <v>579</v>
      </c>
      <c r="M333" s="1" t="s">
        <v>605</v>
      </c>
      <c r="N333" s="1" t="s">
        <v>278</v>
      </c>
      <c r="O333" s="1" t="s">
        <v>342</v>
      </c>
      <c r="P333" s="1" t="s">
        <v>282</v>
      </c>
      <c r="R333" s="1" t="str">
        <f t="shared" si="9"/>
        <v>NGCT08M26BTD</v>
      </c>
    </row>
    <row r="334" spans="1:18">
      <c r="A334" s="1">
        <v>196049</v>
      </c>
      <c r="B334" s="1" t="s">
        <v>625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 t="s">
        <v>275</v>
      </c>
      <c r="L334" s="1" t="s">
        <v>579</v>
      </c>
      <c r="M334" s="1" t="s">
        <v>605</v>
      </c>
      <c r="N334" s="1" t="s">
        <v>278</v>
      </c>
      <c r="O334" s="1" t="s">
        <v>342</v>
      </c>
      <c r="P334" s="1" t="s">
        <v>284</v>
      </c>
      <c r="R334" s="1" t="str">
        <f t="shared" si="9"/>
        <v>NGCB08M26BTD</v>
      </c>
    </row>
    <row r="335" spans="1:18">
      <c r="A335" s="1">
        <v>196050</v>
      </c>
      <c r="B335" s="1" t="s">
        <v>626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 t="s">
        <v>286</v>
      </c>
      <c r="L335" s="1" t="s">
        <v>579</v>
      </c>
      <c r="M335" s="1" t="s">
        <v>605</v>
      </c>
      <c r="N335" s="1" t="s">
        <v>278</v>
      </c>
      <c r="O335" s="1" t="s">
        <v>342</v>
      </c>
      <c r="P335" s="1" t="s">
        <v>280</v>
      </c>
      <c r="R335" s="1" t="str">
        <f t="shared" si="9"/>
        <v>NGCR08N26BTD</v>
      </c>
    </row>
    <row r="336" spans="1:18">
      <c r="A336" s="1">
        <v>196051</v>
      </c>
      <c r="B336" s="1" t="s">
        <v>627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 t="s">
        <v>286</v>
      </c>
      <c r="L336" s="1" t="s">
        <v>579</v>
      </c>
      <c r="M336" s="1" t="s">
        <v>605</v>
      </c>
      <c r="N336" s="1" t="s">
        <v>278</v>
      </c>
      <c r="O336" s="1" t="s">
        <v>342</v>
      </c>
      <c r="P336" s="1" t="s">
        <v>282</v>
      </c>
      <c r="R336" s="1" t="str">
        <f t="shared" si="9"/>
        <v>NGCT08N26BTD</v>
      </c>
    </row>
    <row r="337" spans="1:18">
      <c r="A337" s="1">
        <v>196052</v>
      </c>
      <c r="B337" s="1" t="s">
        <v>628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 t="s">
        <v>286</v>
      </c>
      <c r="L337" s="1" t="s">
        <v>579</v>
      </c>
      <c r="M337" s="1" t="s">
        <v>605</v>
      </c>
      <c r="N337" s="1" t="s">
        <v>278</v>
      </c>
      <c r="O337" s="1" t="s">
        <v>342</v>
      </c>
      <c r="P337" s="1" t="s">
        <v>284</v>
      </c>
      <c r="R337" s="1" t="str">
        <f t="shared" si="9"/>
        <v>NGCB08N26BTD</v>
      </c>
    </row>
  </sheetData>
  <autoFilter ref="A1:P33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2025-03-25T07:22:04Z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
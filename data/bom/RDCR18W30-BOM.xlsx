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9" i="23" l="1"/>
  <c r="M21" i="23" s="1"/>
  <c r="Q17" i="23" l="1"/>
  <c r="Q9" i="23"/>
  <c r="L12" i="23" l="1"/>
  <c r="Q2" i="23"/>
  <c r="N15" i="23"/>
  <c r="Q15" i="23" s="1"/>
  <c r="L18" i="23" l="1"/>
  <c r="M18" i="23" s="1"/>
  <c r="L17" i="23"/>
  <c r="M17" i="23" s="1"/>
  <c r="L16" i="23"/>
  <c r="M16" i="23" s="1"/>
  <c r="L15" i="23"/>
  <c r="M15" i="23" s="1"/>
  <c r="M14" i="23"/>
  <c r="M13" i="23"/>
  <c r="M12" i="23"/>
  <c r="M11" i="23"/>
  <c r="M10" i="23"/>
  <c r="L9" i="23"/>
  <c r="M9" i="23" s="1"/>
  <c r="L2" i="23"/>
  <c r="M2" i="23" s="1"/>
  <c r="H3" i="24" l="1"/>
  <c r="D3" i="24"/>
  <c r="G3" i="24"/>
  <c r="C3" i="24"/>
  <c r="H4" i="24" l="1"/>
  <c r="E3" i="24" l="1"/>
  <c r="C6" i="24"/>
  <c r="A2" i="23" l="1"/>
  <c r="F3" i="24"/>
  <c r="D4" i="24" s="1"/>
  <c r="G4" i="24" l="1"/>
  <c r="H8" i="24"/>
  <c r="I3" i="24"/>
  <c r="I7" i="24" s="1"/>
  <c r="H7" i="24" l="1"/>
  <c r="H6" i="24"/>
  <c r="I6" i="24"/>
  <c r="I8" i="24"/>
  <c r="E7" i="24" l="1"/>
  <c r="E8" i="24"/>
  <c r="C8" i="24"/>
  <c r="F2" i="23"/>
  <c r="F7" i="24"/>
  <c r="F8" i="24"/>
  <c r="C7" i="24"/>
  <c r="G6" i="24"/>
  <c r="F17" i="23" s="1"/>
  <c r="F18" i="23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<sst xmlns="http://schemas.openxmlformats.org/spreadsheetml/2006/main" count="468" uniqueCount="264">
  <si>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</si>
  <si>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</si>
  <si>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</si>
  <si>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</si>
  <si>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</si>
  <si>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</si>
  <si>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</si>
  <si>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</si>
  <si>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</si>
  <si>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</si>
  <si>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</si>
  <si>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</si>
  <si>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</si>
  <si>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</si>
  <si>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</si>
  <si>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</si>
  <si>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</si>
  <si>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</si>
  <si>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</si>
  <si>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</si>
  <si>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</si>
  <si>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</si>
  <si>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</si>
  <si>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</si>
  <si>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</si>
  <si>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</si>
  <si>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</si>
  <si>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</si>
  <si>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</si>
  <si>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</si>
  <si>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</si>
  <si>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</si>
  <si>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</si>
  <si>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</si>
  <si>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</si>
  <si>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</si>
  <si>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</si>
  <si>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</si>
  <si>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</si>
  <si>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</si>
  <si>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</si>
  <si>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</si>
  <si>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</si>
  <si>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</si>
  <si>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</si>
  <si>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</si>
  <si>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</si>
  <si>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</si>
  <si>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</si>
  <si>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</si>
  <si>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</si>
  <si>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</si>
  <si>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</si>
  <si>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</si>
  <si>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</si>
  <si>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</si>
  <si>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</si>
  <si>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</si>
  <si>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</si>
  <si>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</si>
  <si>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</si>
  <si>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</si>
  <si>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</si>
  <si>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</si>
  <si>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</si>
  <si>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</si>
  <si>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</si>
  <si>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</si>
  <si>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</si>
  <si>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</si>
  <si>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</si>
  <si>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</si>
  <si>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</si>
  <si>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</si>
  <si>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</si>
  <si>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</si>
  <si>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</si>
  <si>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</si>
  <si>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</si>
  <si>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</si>
  <si>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</si>
  <si>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</si>
  <si>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</si>
  <si>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</si>
  <si>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</si>
  <si>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</si>
  <si>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</si>
  <si>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</si>
  <si>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</si>
  <si>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</si>
  <si>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</si>
  <si>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</si>
  <si>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</si>
  <si>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</si>
  <si>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</si>
  <si>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</si>
  <si>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</si>
  <si>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</si>
  <si>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</si>
  <si>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</si>
  <si>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</si>
  <si>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</si>
  <si>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</si>
  <si>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</si>
  <si>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</si>
  <si>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</si>
  <si>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</si>
  <si>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</si>
  <si>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</si>
  <si>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</si>
  <si>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</si>
  <si>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</si>
  <si>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</si>
  <si>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</si>
  <si>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</si>
  <si>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</si>
  <si>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</si>
  <si>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</si>
  <si>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</si>
  <si>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</si>
  <si>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</si>
  <si>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</si>
  <si>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</si>
  <si>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</si>
  <si>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</si>
  <si>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</si>
  <si>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</si>
  <si>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</si>
  <si>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</si>
  <si>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</si>
  <si>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</si>
  <si>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</si>
  <si>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</si>
  <si>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</si>
  <si>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</si>
  <si>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</si>
  <si>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</si>
  <si>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</si>
  <si>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</si>
  <si>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</si>
  <si>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</si>
  <si>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</si>
  <si>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</si>
  <si>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</si>
  <si>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</si>
  <si>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</si>
  <si>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</si>
  <si>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</si>
  <si>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</si>
  <si>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</si>
  <si>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</si>
  <si>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</si>
  <si>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</si>
  <si>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</si>
  <si>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</si>
  <si>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</si>
  <si>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</si>
  <si>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</si>
  <si>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</si>
  <si>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</si>
  <si>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</si>
  <si>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</si>
  <si>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</si>
  <si>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</si>
  <si>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</si>
  <si>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</si>
  <si>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</si>
  <si>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</si>
  <si>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</si>
  <si>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</si>
  <si>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</si>
  <si>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</si>
  <si>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</si>
  <si>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</si>
  <si>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</si>
  <si>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</si>
  <si>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</si>
  <si>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</si>
  <si>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</si>
  <si>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</si>
  <si>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</si>
  <si>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</si>
  <si>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</si>
  <si>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</si>
  <si>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</si>
  <si>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</si>
  <si>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</si>
  <si>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</si>
  <si>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</si>
  <si>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</si>
  <si>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</si>
  <si>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Electronics Store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</si>
  <si>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</si>
  <si>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</si>
  <si>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</si>
  <si>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</si>
  <si>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</si>
  <si>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</si>
  <si>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</si>
  <si>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</si>
  <si>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</si>
  <si>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</si>
  <si>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</si>
  <si>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</si>
  <si>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</si>
  <si>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</si>
  <si>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</si>
  <si>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</si>
  <si>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</si>
  <si>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</si>
  <si>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50-</t>
  </si>
  <si>
    <t>60-</t>
  </si>
  <si>
    <t>30T-</t>
  </si>
  <si>
    <t>40T-</t>
  </si>
  <si>
    <t>50T-</t>
  </si>
  <si>
    <t>60T-</t>
  </si>
  <si>
    <t>30I-</t>
  </si>
  <si>
    <t>40I-</t>
  </si>
  <si>
    <t>50I-</t>
  </si>
  <si>
    <t>60I-</t>
  </si>
  <si>
    <t>30BT-</t>
  </si>
  <si>
    <t>40BT-</t>
  </si>
  <si>
    <t>50BT-</t>
  </si>
  <si>
    <t>60BT-</t>
  </si>
  <si>
    <t>18-</t>
  </si>
  <si>
    <t>18T-</t>
  </si>
  <si>
    <t>18I-</t>
  </si>
  <si>
    <t>18BT-</t>
  </si>
  <si>
    <t>18ID-</t>
  </si>
  <si>
    <t>PBX-NRRR-08W</t>
  </si>
  <si>
    <t>08W-</t>
  </si>
  <si>
    <t>18BTD-</t>
  </si>
  <si>
    <t>PS - 18W, 36V, 440mA-TRIAC</t>
  </si>
  <si>
    <t>PS - 18W, 36V, 440mA-DALI</t>
  </si>
  <si>
    <t>PS - 18W, 36V, 440mA-BT</t>
  </si>
  <si>
    <t>PS - 18W, 36V, 440mA-(DALI+DUAL)</t>
  </si>
  <si>
    <t>PS - 18W, 36V, 440mA-BTD</t>
  </si>
  <si>
    <t>Primary Refl- OD-45mm, H-12mm , L- 20mm</t>
  </si>
  <si>
    <t>screw-M3X6mm  CSK HEAD -  SS</t>
  </si>
  <si>
    <t>Locking Spring-L-45 W-15.5 T-0.2mm-SS</t>
  </si>
  <si>
    <t>HS Ring -  OD- 50mm , ID -46mm , H-14MM.</t>
  </si>
  <si>
    <t>TRIM - OD-83.5 ID -65 H-46mmWHITE - EV-1910 RDCR18W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</si>
  <si>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</si>
  <si>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</si>
  <si>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</si>
  <si>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</si>
  <si>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HS 55mm (Zhouhe) Use Samsei - GLWR18W</t>
  </si>
  <si>
    <t>Screw M3x6.5mm Self Csk Head Ss</t>
  </si>
  <si>
    <t>RDCR18W30</t>
  </si>
  <si>
    <t>Unit Price</t>
  </si>
  <si>
    <t>USD</t>
  </si>
  <si>
    <t>INS&amp;FRED</t>
  </si>
  <si>
    <t>BCD</t>
  </si>
  <si>
    <t>Total Cost</t>
  </si>
  <si>
    <t>RDCR18-CC</t>
  </si>
  <si>
    <t>Refl. 50014-W OD-50 LES ID -20.5 H-13.4mm  8-18W</t>
  </si>
  <si>
    <t>Diff. 50014-W D-49.5 T-1.2mm  Frosted - 8-18W</t>
  </si>
  <si>
    <t>COB Holder 50014-W OD-35 ID-17 H-3.5mm 8-18W</t>
  </si>
  <si>
    <t>Conn. 2Pin Ass. Wire Black Male (Small)</t>
  </si>
  <si>
    <t>PBX - COB 8-15W</t>
  </si>
  <si>
    <t>SBX - COB 8-18W (12Nos)</t>
  </si>
  <si>
    <t>Sleeve M4mm Fiber Glass White</t>
  </si>
  <si>
    <t>PS 18W 440mA 36V Maxic(PCB LT-MX-20W-V2)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</si>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</sst>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_-[$$-409]* #,##0.000_ ;_-[$$-409]* \-#,##0.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9" fontId="22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122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" xfId="0" applyBorder="1" applyAlignment="1">
      <alignment horizontal="center"/>
    </xf>
    <xf numFmtId="0" fontId="0" fillId="10" borderId="1" xfId="0" applyFill="1" applyBorder="1"/>
    <xf numFmtId="0" fontId="4" fillId="10" borderId="1" xfId="0" applyFont="1" applyFill="1" applyBorder="1"/>
    <xf numFmtId="0" fontId="4" fillId="0" borderId="0" xfId="0" applyFont="1"/>
    <xf numFmtId="0" fontId="4" fillId="0" borderId="0" xfId="0" applyFont="1" applyAlignment="1">
      <alignment wrapText="1"/>
    </xf>
    <xf numFmtId="49" fontId="4" fillId="0" borderId="1" xfId="2" applyNumberFormat="1" applyBorder="1"/>
    <xf numFmtId="0" fontId="4" fillId="0" borderId="1" xfId="2" applyBorder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0" fillId="6" borderId="1" xfId="0" applyFill="1" applyBorder="1"/>
    <xf numFmtId="0" fontId="3" fillId="6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166" fontId="23" fillId="11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25" fillId="0" borderId="17" xfId="4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167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4" fontId="25" fillId="0" borderId="15" xfId="4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44" fontId="25" fillId="0" borderId="6" xfId="4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vertical="center"/>
    </xf>
    <xf numFmtId="167" fontId="25" fillId="0" borderId="1" xfId="0" applyNumberFormat="1" applyFont="1" applyBorder="1" applyAlignment="1">
      <alignment vertical="center"/>
    </xf>
    <xf numFmtId="9" fontId="25" fillId="0" borderId="1" xfId="3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165" fontId="2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6" fillId="6" borderId="16" xfId="0" applyNumberFormat="1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right" vertical="center"/>
    </xf>
    <xf numFmtId="0" fontId="27" fillId="11" borderId="14" xfId="0" applyFont="1" applyFill="1" applyBorder="1" applyAlignment="1">
      <alignment horizontal="right" vertical="center"/>
    </xf>
    <xf numFmtId="164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Fill="1" applyBorder="1" applyAlignment="1">
      <alignment vertical="center"/>
    </xf>
  </cellXfs>
  <cellStyles count="5">
    <cellStyle name="Currency" xfId="4" builtinId="4"/>
    <cellStyle name="Hyperlink 2" xfId="1"/>
    <cellStyle name="Normal" xfId="0" builtinId="0"/>
    <cellStyle name="Normal 2" xfId="2"/>
    <cellStyle name="Percent" xfId="3" builtinId="5"/>
  </cellStyles>
  <dxfs count="9"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topLeftCell="G1" zoomScale="96" zoomScaleNormal="96" workbookViewId="0">
      <selection activeCell="M13" sqref="M13"/>
    </sheetView>
  </sheetViews>
  <sheetFormatPr defaultColWidth="9" defaultRowHeight="15"/>
  <cols>
    <col min="1" max="1" width="15.140625" style="47" customWidth="1"/>
    <col min="2" max="2" width="13" style="47" bestFit="1" customWidth="1"/>
    <col min="3" max="3" width="8.28515625" style="47" customWidth="1"/>
    <col min="4" max="4" width="17.7109375" style="47" customWidth="1"/>
    <col min="5" max="5" width="20.42578125" style="47" customWidth="1"/>
    <col min="6" max="6" width="54.42578125" customWidth="1"/>
    <col min="7" max="7" width="26.85546875" customWidth="1"/>
    <col min="8" max="8" width="27.7109375" hidden="1" customWidth="1"/>
    <col min="9" max="9" width="31.85546875" hidden="1" customWidth="1"/>
    <col min="10" max="10" width="27.7109375" hidden="1" customWidth="1"/>
    <col min="11" max="11" width="26" customWidth="1"/>
    <col min="12" max="12" width="13" customWidth="1"/>
    <col min="13" max="13" width="12.85546875" customWidth="1"/>
    <col min="15" max="15" width="13.140625" customWidth="1"/>
    <col min="17" max="17" width="10.140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0" t="s">
        <v>249</v>
      </c>
      <c r="M1" s="80" t="s">
        <v>195</v>
      </c>
      <c r="N1" s="81" t="s">
        <v>250</v>
      </c>
      <c r="O1" s="82" t="s">
        <v>251</v>
      </c>
      <c r="P1" s="83" t="s">
        <v>252</v>
      </c>
      <c r="Q1" s="81" t="s">
        <v>253</v>
      </c>
    </row>
    <row r="2" spans="1:17">
      <c r="A2" s="77" t="str">
        <f>$D$2</f>
        <v>RDCR18W30</v>
      </c>
      <c r="B2" s="77"/>
      <c r="C2" s="77" t="s">
        <v>190</v>
      </c>
      <c r="D2" s="78" t="s">
        <v>248</v>
      </c>
      <c r="E2" s="77">
        <v>1</v>
      </c>
      <c r="F2" s="68" t="str">
        <f>'Backend data'!C6</f>
        <v>TRIM - OD-83.5 ID -65 H-46mmWHITE - EV-1910 RDCR18W</v>
      </c>
      <c r="G2" s="61">
        <v>1</v>
      </c>
      <c r="H2" s="50" t="s">
        <v>189</v>
      </c>
      <c r="I2" s="49" t="s">
        <v>9</v>
      </c>
      <c r="J2" s="49"/>
      <c r="K2" s="49"/>
      <c r="L2" s="100">
        <f>Q2*87</f>
        <v>205.53749999999999</v>
      </c>
      <c r="M2" s="101">
        <f>L2*G2</f>
        <v>205.53749999999999</v>
      </c>
      <c r="N2" s="102">
        <v>1.575</v>
      </c>
      <c r="O2" s="103">
        <v>0.5</v>
      </c>
      <c r="P2" s="104"/>
      <c r="Q2" s="119">
        <f>N2+(N2*(O2+P2))</f>
        <v>2.3624999999999998</v>
      </c>
    </row>
    <row r="3" spans="1:17">
      <c r="A3" s="77"/>
      <c r="B3" s="77"/>
      <c r="C3" s="77"/>
      <c r="D3" s="77"/>
      <c r="E3" s="77"/>
      <c r="F3" s="49" t="s">
        <v>246</v>
      </c>
      <c r="G3" s="61">
        <v>1</v>
      </c>
      <c r="H3" s="50" t="s">
        <v>189</v>
      </c>
      <c r="I3" s="49" t="s">
        <v>9</v>
      </c>
      <c r="J3" s="49"/>
      <c r="K3" s="49"/>
      <c r="L3" s="105"/>
      <c r="M3" s="106"/>
      <c r="N3" s="102"/>
      <c r="O3" s="103"/>
      <c r="P3" s="104"/>
      <c r="Q3" s="119"/>
    </row>
    <row r="4" spans="1:17">
      <c r="A4" s="77"/>
      <c r="B4" s="77"/>
      <c r="C4" s="77"/>
      <c r="D4" s="77"/>
      <c r="E4" s="77"/>
      <c r="F4" s="84" t="s">
        <v>237</v>
      </c>
      <c r="G4" s="61">
        <v>1</v>
      </c>
      <c r="H4" s="50" t="s">
        <v>189</v>
      </c>
      <c r="I4" s="49" t="s">
        <v>9</v>
      </c>
      <c r="J4" s="49"/>
      <c r="K4" s="49"/>
      <c r="L4" s="105"/>
      <c r="M4" s="106"/>
      <c r="N4" s="102"/>
      <c r="O4" s="103"/>
      <c r="P4" s="104"/>
      <c r="Q4" s="119"/>
    </row>
    <row r="5" spans="1:17">
      <c r="A5" s="86"/>
      <c r="B5" s="86"/>
      <c r="C5" s="86"/>
      <c r="D5" s="86"/>
      <c r="E5" s="86"/>
      <c r="F5" s="49" t="s">
        <v>256</v>
      </c>
      <c r="G5" s="86">
        <v>1</v>
      </c>
      <c r="H5" s="50" t="s">
        <v>189</v>
      </c>
      <c r="I5" s="49" t="s">
        <v>9</v>
      </c>
      <c r="J5" s="49"/>
      <c r="K5" s="49"/>
      <c r="L5" s="105"/>
      <c r="M5" s="106"/>
      <c r="N5" s="102"/>
      <c r="O5" s="103"/>
      <c r="P5" s="104"/>
      <c r="Q5" s="119"/>
    </row>
    <row r="6" spans="1:17">
      <c r="A6" s="86"/>
      <c r="B6" s="86"/>
      <c r="C6" s="86"/>
      <c r="D6" s="86"/>
      <c r="E6" s="86"/>
      <c r="F6" s="49" t="s">
        <v>257</v>
      </c>
      <c r="G6" s="86">
        <v>1</v>
      </c>
      <c r="H6" s="50" t="s">
        <v>189</v>
      </c>
      <c r="I6" s="49" t="s">
        <v>9</v>
      </c>
      <c r="J6" s="49"/>
      <c r="K6" s="49"/>
      <c r="L6" s="105"/>
      <c r="M6" s="106"/>
      <c r="N6" s="102"/>
      <c r="O6" s="103"/>
      <c r="P6" s="104"/>
      <c r="Q6" s="119"/>
    </row>
    <row r="7" spans="1:17">
      <c r="A7" s="86"/>
      <c r="B7" s="86"/>
      <c r="C7" s="86"/>
      <c r="D7" s="86"/>
      <c r="E7" s="86"/>
      <c r="F7" s="85" t="s">
        <v>240</v>
      </c>
      <c r="G7" s="86">
        <v>1</v>
      </c>
      <c r="H7" s="50" t="s">
        <v>189</v>
      </c>
      <c r="I7" s="49" t="s">
        <v>9</v>
      </c>
      <c r="J7" s="49"/>
      <c r="K7" s="49"/>
      <c r="L7" s="105"/>
      <c r="M7" s="106"/>
      <c r="N7" s="102"/>
      <c r="O7" s="103"/>
      <c r="P7" s="104"/>
      <c r="Q7" s="119"/>
    </row>
    <row r="8" spans="1:17">
      <c r="A8" s="86"/>
      <c r="B8" s="86"/>
      <c r="C8" s="86"/>
      <c r="D8" s="86"/>
      <c r="E8" s="86"/>
      <c r="F8" s="84" t="s">
        <v>239</v>
      </c>
      <c r="G8" s="86">
        <v>2</v>
      </c>
      <c r="H8" s="50" t="s">
        <v>189</v>
      </c>
      <c r="I8" s="49" t="s">
        <v>9</v>
      </c>
      <c r="J8" s="49"/>
      <c r="K8" s="49"/>
      <c r="L8" s="107"/>
      <c r="M8" s="108"/>
      <c r="N8" s="102"/>
      <c r="O8" s="103"/>
      <c r="P8" s="104"/>
      <c r="Q8" s="119"/>
    </row>
    <row r="9" spans="1:17">
      <c r="A9" s="77"/>
      <c r="B9" s="77"/>
      <c r="C9" s="77"/>
      <c r="D9" s="77"/>
      <c r="E9" s="77"/>
      <c r="F9" s="49" t="s">
        <v>255</v>
      </c>
      <c r="G9" s="74">
        <v>1</v>
      </c>
      <c r="H9" s="50" t="s">
        <v>189</v>
      </c>
      <c r="I9" s="49" t="s">
        <v>9</v>
      </c>
      <c r="J9" s="49"/>
      <c r="K9" s="49"/>
      <c r="L9" s="109">
        <f t="shared" ref="L9:L18" si="0">Q9*87</f>
        <v>7.4385000000000003</v>
      </c>
      <c r="M9" s="109">
        <f t="shared" ref="M9:M18" si="1">L9*G9</f>
        <v>7.4385000000000003</v>
      </c>
      <c r="N9" s="110">
        <v>5.7000000000000002E-2</v>
      </c>
      <c r="O9" s="111">
        <v>0.5</v>
      </c>
      <c r="P9" s="112"/>
      <c r="Q9" s="120">
        <f t="shared" ref="Q9" si="2">N9+(N9*(O9+P9))</f>
        <v>8.5500000000000007E-2</v>
      </c>
    </row>
    <row r="10" spans="1:17">
      <c r="A10" s="77"/>
      <c r="B10" s="77"/>
      <c r="C10" s="77"/>
      <c r="D10" s="77"/>
      <c r="E10" s="77"/>
      <c r="F10" s="75" t="s">
        <v>259</v>
      </c>
      <c r="G10" s="74">
        <v>1</v>
      </c>
      <c r="H10" s="50" t="s">
        <v>189</v>
      </c>
      <c r="I10" s="49" t="s">
        <v>9</v>
      </c>
      <c r="J10" s="49"/>
      <c r="K10" s="49"/>
      <c r="L10" s="109">
        <v>8.5</v>
      </c>
      <c r="M10" s="109">
        <f t="shared" si="1"/>
        <v>8.5</v>
      </c>
      <c r="N10" s="88"/>
      <c r="O10" s="88"/>
      <c r="P10" s="88"/>
      <c r="Q10" s="88"/>
    </row>
    <row r="11" spans="1:17">
      <c r="A11" s="77"/>
      <c r="B11" s="77"/>
      <c r="C11" s="77"/>
      <c r="D11" s="77"/>
      <c r="E11" s="77"/>
      <c r="F11" s="75" t="s">
        <v>260</v>
      </c>
      <c r="G11" s="67">
        <v>0.08</v>
      </c>
      <c r="H11" s="50" t="s">
        <v>189</v>
      </c>
      <c r="I11" s="49" t="s">
        <v>9</v>
      </c>
      <c r="J11" s="49"/>
      <c r="K11" s="49"/>
      <c r="L11" s="109">
        <v>27</v>
      </c>
      <c r="M11" s="109">
        <f t="shared" si="1"/>
        <v>2.16</v>
      </c>
      <c r="N11" s="88"/>
      <c r="O11" s="88"/>
      <c r="P11" s="88"/>
      <c r="Q11" s="88"/>
    </row>
    <row r="12" spans="1:17">
      <c r="A12" s="77"/>
      <c r="B12" s="77"/>
      <c r="C12" s="77"/>
      <c r="D12" s="77"/>
      <c r="E12" s="77"/>
      <c r="F12" s="49" t="s">
        <v>261</v>
      </c>
      <c r="G12" s="61">
        <v>0.12</v>
      </c>
      <c r="H12" s="50" t="s">
        <v>189</v>
      </c>
      <c r="I12" s="49" t="s">
        <v>9</v>
      </c>
      <c r="J12" s="49"/>
      <c r="K12" s="49"/>
      <c r="L12" s="121">
        <f>5.7/1000*120</f>
        <v>0.68400000000000005</v>
      </c>
      <c r="M12" s="109">
        <f t="shared" si="1"/>
        <v>8.208E-2</v>
      </c>
      <c r="N12" s="88"/>
      <c r="O12" s="88"/>
      <c r="P12" s="88"/>
      <c r="Q12" s="88"/>
    </row>
    <row r="13" spans="1:17">
      <c r="A13" s="77"/>
      <c r="B13" s="77"/>
      <c r="C13" s="77"/>
      <c r="D13" s="77"/>
      <c r="E13" s="77"/>
      <c r="F13" s="49" t="s">
        <v>247</v>
      </c>
      <c r="G13" s="76">
        <v>2</v>
      </c>
      <c r="H13" s="50" t="s">
        <v>189</v>
      </c>
      <c r="I13" s="49" t="s">
        <v>9</v>
      </c>
      <c r="J13" s="49"/>
      <c r="K13" s="49"/>
      <c r="L13" s="109">
        <v>0.15</v>
      </c>
      <c r="M13" s="109">
        <f t="shared" si="1"/>
        <v>0.3</v>
      </c>
      <c r="N13" s="88"/>
      <c r="O13" s="88"/>
      <c r="P13" s="88"/>
      <c r="Q13" s="88"/>
    </row>
    <row r="14" spans="1:17">
      <c r="A14" s="77"/>
      <c r="B14" s="77"/>
      <c r="C14" s="77"/>
      <c r="D14" s="77"/>
      <c r="E14" s="77"/>
      <c r="F14" s="49" t="s">
        <v>238</v>
      </c>
      <c r="G14" s="61">
        <v>2</v>
      </c>
      <c r="H14" s="50" t="s">
        <v>189</v>
      </c>
      <c r="I14" s="49" t="s">
        <v>9</v>
      </c>
      <c r="J14" s="49"/>
      <c r="K14" s="49"/>
      <c r="L14" s="109">
        <v>0.48</v>
      </c>
      <c r="M14" s="109">
        <f t="shared" si="1"/>
        <v>0.96</v>
      </c>
      <c r="N14" s="88"/>
      <c r="O14" s="88"/>
      <c r="P14" s="88"/>
      <c r="Q14" s="88"/>
    </row>
    <row r="15" spans="1:17">
      <c r="A15" s="77"/>
      <c r="B15" s="77"/>
      <c r="C15" s="77"/>
      <c r="D15" s="77"/>
      <c r="E15" s="77"/>
      <c r="F15" s="49" t="s">
        <v>258</v>
      </c>
      <c r="G15" s="61">
        <v>1</v>
      </c>
      <c r="H15" s="50" t="s">
        <v>189</v>
      </c>
      <c r="I15" s="49" t="s">
        <v>9</v>
      </c>
      <c r="J15" s="49"/>
      <c r="K15" s="49"/>
      <c r="L15" s="109">
        <f t="shared" si="0"/>
        <v>3.915</v>
      </c>
      <c r="M15" s="109">
        <f t="shared" si="1"/>
        <v>3.915</v>
      </c>
      <c r="N15" s="110">
        <f>0.06/2</f>
        <v>0.03</v>
      </c>
      <c r="O15" s="111">
        <v>0.5</v>
      </c>
      <c r="P15" s="112"/>
      <c r="Q15" s="120">
        <f>N15+(N15*(O15+P15))</f>
        <v>4.4999999999999998E-2</v>
      </c>
    </row>
    <row r="16" spans="1:17">
      <c r="A16" s="77"/>
      <c r="B16" s="77"/>
      <c r="C16" s="77"/>
      <c r="D16" s="77"/>
      <c r="E16" s="77"/>
      <c r="F16" s="49"/>
      <c r="G16" s="49"/>
      <c r="H16" s="50"/>
      <c r="I16" s="49"/>
      <c r="J16" s="49"/>
      <c r="K16" s="49"/>
      <c r="L16" s="109">
        <f t="shared" si="0"/>
        <v>0</v>
      </c>
      <c r="M16" s="109">
        <f t="shared" si="1"/>
        <v>0</v>
      </c>
      <c r="N16" s="113"/>
      <c r="O16" s="113"/>
      <c r="P16" s="113"/>
      <c r="Q16" s="113"/>
    </row>
    <row r="17" spans="1:17">
      <c r="A17" s="77"/>
      <c r="B17" s="77"/>
      <c r="C17" s="77"/>
      <c r="D17" s="77"/>
      <c r="E17" s="77"/>
      <c r="F17" s="69" t="str">
        <f>'Backend data'!G6</f>
        <v>COB 30-36W 3000K 12LED 34-38V 890mA 19x19mm CRI-90</v>
      </c>
      <c r="G17" s="61">
        <v>1</v>
      </c>
      <c r="H17" s="50" t="s">
        <v>191</v>
      </c>
      <c r="I17" s="49" t="s">
        <v>9</v>
      </c>
      <c r="J17" s="49"/>
      <c r="K17" s="49"/>
      <c r="L17" s="109">
        <f t="shared" si="0"/>
        <v>84.825000000000003</v>
      </c>
      <c r="M17" s="109">
        <f t="shared" si="1"/>
        <v>84.825000000000003</v>
      </c>
      <c r="N17" s="110">
        <v>0.65</v>
      </c>
      <c r="O17" s="111">
        <v>0.5</v>
      </c>
      <c r="P17" s="112"/>
      <c r="Q17" s="120">
        <f>N17+(N17*(O17+P17))</f>
        <v>0.97500000000000009</v>
      </c>
    </row>
    <row r="18" spans="1:17">
      <c r="A18" s="77"/>
      <c r="B18" s="77"/>
      <c r="C18" s="77"/>
      <c r="D18" s="77"/>
      <c r="E18" s="77"/>
      <c r="F18" s="68" t="str">
        <f>'Backend data'!H6</f>
        <v>PS 18W 440mA 36V Maxic(PCB LT-MX-20W-V2)</v>
      </c>
      <c r="G18" s="61">
        <v>1</v>
      </c>
      <c r="H18" s="50" t="s">
        <v>189</v>
      </c>
      <c r="I18" s="49" t="s">
        <v>9</v>
      </c>
      <c r="J18" s="49"/>
      <c r="K18" s="49"/>
      <c r="L18" s="114">
        <f t="shared" si="0"/>
        <v>0</v>
      </c>
      <c r="M18" s="114">
        <f t="shared" si="1"/>
        <v>0</v>
      </c>
      <c r="N18" s="88" t="s">
        <v>263</v>
      </c>
      <c r="O18" s="113"/>
      <c r="P18" s="113"/>
      <c r="Q18" s="113"/>
    </row>
    <row r="19" spans="1:17" ht="25.5" customHeight="1" thickBot="1">
      <c r="K19" s="88"/>
      <c r="L19" s="115"/>
      <c r="M19" s="116">
        <f>SUM(M2:M18)</f>
        <v>313.71807999999999</v>
      </c>
      <c r="N19" s="87"/>
      <c r="O19" s="87"/>
      <c r="P19" s="87"/>
      <c r="Q19" s="87"/>
    </row>
    <row r="20" spans="1:17" ht="15.75" thickTop="1">
      <c r="K20" s="88"/>
      <c r="L20" s="88"/>
      <c r="M20" s="88"/>
    </row>
    <row r="21" spans="1:17" ht="19.5" customHeight="1">
      <c r="K21" s="117" t="s">
        <v>254</v>
      </c>
      <c r="L21" s="118"/>
      <c r="M21" s="89">
        <f>M19+98</f>
        <v>411.71807999999999</v>
      </c>
    </row>
    <row r="22" spans="1:17">
      <c r="K22" s="88"/>
      <c r="L22" s="88"/>
      <c r="M22" s="88"/>
    </row>
  </sheetData>
  <mergeCells count="7">
    <mergeCell ref="Q2:Q8"/>
    <mergeCell ref="K21:L21"/>
    <mergeCell ref="L2:L8"/>
    <mergeCell ref="M2:M8"/>
    <mergeCell ref="N2:N8"/>
    <mergeCell ref="O2:O8"/>
    <mergeCell ref="P2:P8"/>
  </mergeCells>
  <conditionalFormatting sqref="F1:F2 F26:F1048576 F12:F19">
    <cfRule type="containsText" dxfId="8" priority="9" operator="containsText" text="PS-">
      <formula>NOT(ISERROR(SEARCH("PS-",F1)))</formula>
    </cfRule>
    <cfRule type="containsText" dxfId="7" priority="12" operator="containsText" text="COB-">
      <formula>NOT(ISERROR(SEARCH("COB-",F1)))</formula>
    </cfRule>
    <cfRule type="containsText" dxfId="6" priority="14" operator="containsText" text="TRIM">
      <formula>NOT(ISERROR(SEARCH("TRIM",F1)))</formula>
    </cfRule>
  </conditionalFormatting>
  <conditionalFormatting sqref="F1:G2 F26:G1048576 G3:G4 F12:G19 G9">
    <cfRule type="containsText" dxfId="5" priority="8" operator="containsText" text="REFLECTOR">
      <formula>NOT(ISERROR(SEARCH("REFLECTOR",F1)))</formula>
    </cfRule>
  </conditionalFormatting>
  <conditionalFormatting sqref="F8">
    <cfRule type="containsText" dxfId="4" priority="3" operator="containsText" text="PS-">
      <formula>NOT(ISERROR(SEARCH("PS-",F8)))</formula>
    </cfRule>
    <cfRule type="containsText" dxfId="3" priority="4" operator="containsText" text="COB-">
      <formula>NOT(ISERROR(SEARCH("COB-",F8)))</formula>
    </cfRule>
    <cfRule type="containsText" dxfId="2" priority="5" operator="containsText" text="TRIM">
      <formula>NOT(ISERROR(SEARCH("TRIM",F8)))</formula>
    </cfRule>
  </conditionalFormatting>
  <conditionalFormatting sqref="F8:G8 G5:G7">
    <cfRule type="containsText" dxfId="1" priority="2" operator="containsText" text="REFLECTOR">
      <formula>NOT(ISERROR(SEARCH("REFLECTOR",F5)))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F26:G1048576 F12:G19 F1:G2 G9 F8:G8 G3:G7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92" t="s">
        <v>20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</row>
    <row r="6" spans="1:17" ht="12.6" customHeight="1">
      <c r="A6" s="16" t="s">
        <v>21</v>
      </c>
      <c r="B6" s="12" t="s">
        <v>15</v>
      </c>
      <c r="C6" s="13"/>
      <c r="E6" s="92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</row>
    <row r="7" spans="1:17" ht="12.6" customHeight="1">
      <c r="A7" s="16" t="s">
        <v>22</v>
      </c>
      <c r="B7" s="12" t="s">
        <v>15</v>
      </c>
      <c r="C7" s="13"/>
      <c r="E7" s="92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4"/>
    </row>
    <row r="8" spans="1:17" ht="12.6" customHeight="1">
      <c r="A8" s="16" t="s">
        <v>23</v>
      </c>
      <c r="B8" s="12" t="s">
        <v>15</v>
      </c>
      <c r="C8" s="13"/>
      <c r="E8" s="92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</row>
    <row r="9" spans="1:17" ht="12.95" customHeight="1">
      <c r="A9" s="16" t="s">
        <v>24</v>
      </c>
      <c r="B9" s="12" t="s">
        <v>15</v>
      </c>
      <c r="C9" s="13"/>
      <c r="E9" s="92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</row>
    <row r="20" spans="1:17" ht="25.5">
      <c r="A20" s="16" t="s">
        <v>40</v>
      </c>
      <c r="B20" s="12" t="s">
        <v>15</v>
      </c>
      <c r="C20" s="13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</row>
    <row r="21" spans="1:17">
      <c r="A21" s="16" t="s">
        <v>41</v>
      </c>
      <c r="B21" s="12" t="s">
        <v>15</v>
      </c>
      <c r="C21" s="13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</row>
    <row r="22" spans="1:17">
      <c r="A22" s="6" t="s">
        <v>42</v>
      </c>
      <c r="B22" s="30"/>
      <c r="C22" s="3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X9" workbookViewId="0">
      <selection activeCell="AB23" sqref="AB23"/>
    </sheetView>
  </sheetViews>
  <sheetFormatPr defaultRowHeight="15"/>
  <cols>
    <col min="1" max="1" width="2" customWidth="1"/>
    <col min="2" max="2" width="11.5703125" customWidth="1"/>
    <col min="3" max="3" width="39.42578125" style="52" customWidth="1"/>
    <col min="4" max="4" width="10.85546875" customWidth="1"/>
    <col min="5" max="5" width="20.28515625" customWidth="1"/>
    <col min="6" max="6" width="11.85546875" bestFit="1" customWidth="1"/>
    <col min="7" max="7" width="8.42578125" customWidth="1"/>
    <col min="8" max="8" width="31.7109375" style="52" customWidth="1"/>
    <col min="9" max="9" width="12.7109375" customWidth="1"/>
    <col min="11" max="11" width="2.7109375" customWidth="1"/>
    <col min="13" max="13" width="40.28515625" style="52" customWidth="1"/>
    <col min="16" max="16" width="2.28515625" customWidth="1"/>
    <col min="18" max="18" width="15.7109375" style="52" customWidth="1"/>
    <col min="21" max="21" width="1.42578125" customWidth="1"/>
    <col min="22" max="22" width="8.140625" customWidth="1"/>
    <col min="23" max="23" width="54" customWidth="1"/>
    <col min="26" max="26" width="1.28515625" customWidth="1"/>
    <col min="28" max="28" width="32.7109375" style="52" customWidth="1"/>
    <col min="31" max="31" width="1.7109375" customWidth="1"/>
    <col min="33" max="33" width="20.28515625" customWidth="1"/>
  </cols>
  <sheetData>
    <row r="1" spans="2:9">
      <c r="C1" s="53"/>
    </row>
    <row r="2" spans="2:9">
      <c r="C2" s="55" t="s">
        <v>196</v>
      </c>
      <c r="D2" s="63" t="s">
        <v>205</v>
      </c>
      <c r="E2" s="56" t="s">
        <v>197</v>
      </c>
      <c r="F2" s="56" t="s">
        <v>198</v>
      </c>
      <c r="G2" s="56" t="s">
        <v>201</v>
      </c>
      <c r="H2" s="55" t="s">
        <v>200</v>
      </c>
      <c r="I2" s="64" t="s">
        <v>206</v>
      </c>
    </row>
    <row r="3" spans="2:9">
      <c r="C3" s="65" t="str">
        <f>MID('Stock Item'!$D$2,4,1)</f>
        <v>R</v>
      </c>
      <c r="D3" s="53" t="str">
        <f>MID('Stock Item'!$D$2,5,2)</f>
        <v>18</v>
      </c>
      <c r="E3" s="65" t="str">
        <f>MID('Stock Item'!$D$2,4,1)</f>
        <v>R</v>
      </c>
      <c r="F3" s="65" t="str">
        <f>MID('Stock Item'!$D$2,8,1)</f>
        <v>3</v>
      </c>
      <c r="G3" s="52" t="str">
        <f>MID('Stock Item'!$D$2,8,2)</f>
        <v>30</v>
      </c>
      <c r="H3" s="65" t="str">
        <f>MID('Stock Item'!$D$2,10,12)</f>
        <v/>
      </c>
      <c r="I3" t="str">
        <f>MID('Stock Item'!$D$2,2,1)</f>
        <v>D</v>
      </c>
    </row>
    <row r="4" spans="2:9">
      <c r="D4" s="66" t="str">
        <f>CONCATENATE($D$3,$F$3)</f>
        <v>183</v>
      </c>
      <c r="G4" s="66" t="str">
        <f>CONCATENATE(G3,$H$3,"-")</f>
        <v>30-</v>
      </c>
      <c r="H4" s="52" t="str">
        <f>CONCATENATE($D$3,$H$3,"-")</f>
        <v>18-</v>
      </c>
    </row>
    <row r="6" spans="2:9" ht="30">
      <c r="B6" s="55" t="s">
        <v>202</v>
      </c>
      <c r="C6" s="59" t="str">
        <f>VLOOKUP($C$3,$B$23:$E$72,2,0)</f>
        <v>TRIM - OD-83.5 ID -65 H-46mmWHITE - EV-1910 RDCR18W</v>
      </c>
      <c r="D6" s="58" t="e">
        <f>VLOOKUP($D$4,G23:$J$100,2,0)</f>
        <v>#N/A</v>
      </c>
      <c r="E6" s="58" t="e">
        <f>VLOOKUP($E$3,$L$23:$O$72,2,0)</f>
        <v>#N/A</v>
      </c>
      <c r="F6" s="58" t="e">
        <f>VLOOKUP($F$3,$Q$23:$T$72,2,0)</f>
        <v>#N/A</v>
      </c>
      <c r="G6" s="58" t="str">
        <f>VLOOKUP($G$4,$V$23:$Y$72,2,0)</f>
        <v>COB 30-36W 3000K 12LED 34-38V 890mA 19x19mm CRI-90</v>
      </c>
      <c r="H6" s="57" t="str">
        <f>VLOOKUP($H$4,$AA$23:$AD$72,2,0)</f>
        <v>PS 18W 440mA 36V Maxic(PCB LT-MX-20W-V2)</v>
      </c>
      <c r="I6" s="57" t="e">
        <f>VLOOKUP($I$3,AF23:$AI$100,2,0)</f>
        <v>#N/A</v>
      </c>
    </row>
    <row r="7" spans="2:9" ht="30">
      <c r="B7" s="55" t="s">
        <v>203</v>
      </c>
      <c r="C7" s="59">
        <f>VLOOKUP($C$3,$B$23:$E$72,4,0)</f>
        <v>0</v>
      </c>
      <c r="D7" s="58" t="e">
        <f>VLOOKUP($D$4,G23:$J$100,4,0)</f>
        <v>#N/A</v>
      </c>
      <c r="E7" s="58" t="e">
        <f>VLOOKUP($E$3,$L$23:$O$72,4,0)</f>
        <v>#N/A</v>
      </c>
      <c r="F7" s="58" t="e">
        <f>VLOOKUP($F$3,$Q$23:$T$72,4,0)</f>
        <v>#N/A</v>
      </c>
      <c r="G7" s="58">
        <f>VLOOKUP($G$4,$V$23:$Y$72,4,0)</f>
        <v>0</v>
      </c>
      <c r="H7" s="57">
        <f>VLOOKUP($H$4,$AA$23:$AD$72,4,0)</f>
        <v>0</v>
      </c>
      <c r="I7" s="57" t="e">
        <f>VLOOKUP($I$3,$AF$23:$AI$100,4,0)</f>
        <v>#N/A</v>
      </c>
    </row>
    <row r="8" spans="2:9" ht="45">
      <c r="B8" s="60" t="s">
        <v>204</v>
      </c>
      <c r="C8" s="59">
        <f>VLOOKUP($C$3,$B$23:$E$72,3,0)</f>
        <v>0</v>
      </c>
      <c r="D8" s="58" t="e">
        <f>VLOOKUP($D$4,G23:$J$100,3,0)</f>
        <v>#N/A</v>
      </c>
      <c r="E8" s="58" t="e">
        <f>VLOOKUP($E$3,$L$23:$O$72,3,0)</f>
        <v>#N/A</v>
      </c>
      <c r="F8" s="58" t="e">
        <f>VLOOKUP($F$3,$Q$23:$T$72,3,0)</f>
        <v>#N/A</v>
      </c>
      <c r="G8" s="58">
        <f>VLOOKUP($G$4,$V$23:$Y$72,3,0)</f>
        <v>0</v>
      </c>
      <c r="H8" s="57">
        <f>VLOOKUP($H$4,$AA$23:$AD$72,3,0)</f>
        <v>0</v>
      </c>
      <c r="I8" s="57" t="e">
        <f>VLOOKUP($I$3,$AF$23:$AI$100,3,0)</f>
        <v>#N/A</v>
      </c>
    </row>
    <row r="19" spans="2:35" ht="13.9" customHeight="1"/>
    <row r="21" spans="2:35">
      <c r="B21" s="98" t="s">
        <v>196</v>
      </c>
      <c r="C21" s="99"/>
      <c r="D21" s="99"/>
      <c r="E21" s="99"/>
      <c r="G21" s="98" t="s">
        <v>205</v>
      </c>
      <c r="H21" s="99"/>
      <c r="I21" s="99"/>
      <c r="J21" s="99"/>
      <c r="L21" s="98" t="s">
        <v>197</v>
      </c>
      <c r="M21" s="99"/>
      <c r="N21" s="99"/>
      <c r="O21" s="99"/>
      <c r="Q21" s="98" t="s">
        <v>198</v>
      </c>
      <c r="R21" s="99"/>
      <c r="S21" s="99"/>
      <c r="T21" s="99"/>
      <c r="V21" s="98" t="s">
        <v>199</v>
      </c>
      <c r="W21" s="99"/>
      <c r="X21" s="99"/>
      <c r="Y21" s="99"/>
      <c r="AA21" s="95" t="s">
        <v>200</v>
      </c>
      <c r="AB21" s="96"/>
      <c r="AC21" s="96"/>
      <c r="AD21" s="97"/>
      <c r="AF21" s="95" t="s">
        <v>206</v>
      </c>
      <c r="AG21" s="96"/>
      <c r="AH21" s="96"/>
      <c r="AI21" s="97"/>
    </row>
    <row r="22" spans="2:35">
      <c r="B22" s="51" t="s">
        <v>192</v>
      </c>
      <c r="C22" s="54" t="s">
        <v>193</v>
      </c>
      <c r="D22" s="51" t="s">
        <v>194</v>
      </c>
      <c r="E22" s="51" t="s">
        <v>195</v>
      </c>
      <c r="G22" s="51" t="s">
        <v>192</v>
      </c>
      <c r="H22" s="54" t="s">
        <v>193</v>
      </c>
      <c r="I22" s="51" t="s">
        <v>194</v>
      </c>
      <c r="J22" s="51" t="s">
        <v>195</v>
      </c>
      <c r="L22" s="51" t="s">
        <v>192</v>
      </c>
      <c r="M22" s="54" t="s">
        <v>193</v>
      </c>
      <c r="N22" s="51" t="s">
        <v>194</v>
      </c>
      <c r="O22" s="51" t="s">
        <v>195</v>
      </c>
      <c r="Q22" s="51" t="s">
        <v>192</v>
      </c>
      <c r="R22" s="54" t="s">
        <v>193</v>
      </c>
      <c r="S22" s="51" t="s">
        <v>194</v>
      </c>
      <c r="T22" s="51" t="s">
        <v>195</v>
      </c>
      <c r="V22" s="51" t="s">
        <v>192</v>
      </c>
      <c r="W22" s="51" t="s">
        <v>193</v>
      </c>
      <c r="X22" s="51" t="s">
        <v>194</v>
      </c>
      <c r="Y22" s="51" t="s">
        <v>195</v>
      </c>
      <c r="AA22" s="51" t="s">
        <v>192</v>
      </c>
      <c r="AB22" s="54" t="s">
        <v>193</v>
      </c>
      <c r="AC22" s="51" t="s">
        <v>194</v>
      </c>
      <c r="AD22" s="51" t="s">
        <v>195</v>
      </c>
      <c r="AF22" s="51" t="s">
        <v>192</v>
      </c>
      <c r="AG22" s="51" t="s">
        <v>193</v>
      </c>
      <c r="AH22" s="51" t="s">
        <v>194</v>
      </c>
      <c r="AI22" s="51" t="s">
        <v>195</v>
      </c>
    </row>
    <row r="23" spans="2:35" ht="30">
      <c r="B23" s="70" t="s">
        <v>207</v>
      </c>
      <c r="C23" s="79" t="s">
        <v>241</v>
      </c>
      <c r="G23" s="70"/>
      <c r="H23" s="71"/>
      <c r="AA23" s="72" t="s">
        <v>224</v>
      </c>
      <c r="AB23" s="90" t="s">
        <v>262</v>
      </c>
      <c r="AF23" s="62" t="s">
        <v>230</v>
      </c>
      <c r="AG23" s="62" t="s">
        <v>229</v>
      </c>
    </row>
    <row r="24" spans="2:35">
      <c r="G24" s="70"/>
      <c r="H24" s="71"/>
      <c r="V24" s="73" t="s">
        <v>208</v>
      </c>
      <c r="W24" s="73" t="s">
        <v>242</v>
      </c>
      <c r="AA24" s="72" t="s">
        <v>225</v>
      </c>
      <c r="AB24" s="49" t="s">
        <v>232</v>
      </c>
    </row>
    <row r="25" spans="2:35">
      <c r="G25" s="70"/>
      <c r="H25" s="71"/>
      <c r="V25" s="73" t="s">
        <v>209</v>
      </c>
      <c r="W25" s="73" t="s">
        <v>243</v>
      </c>
      <c r="AA25" s="72" t="s">
        <v>226</v>
      </c>
      <c r="AB25" s="49" t="s">
        <v>233</v>
      </c>
    </row>
    <row r="26" spans="2:35">
      <c r="G26" s="70"/>
      <c r="H26" s="71"/>
      <c r="V26" s="73" t="s">
        <v>210</v>
      </c>
      <c r="W26" s="73" t="s">
        <v>244</v>
      </c>
      <c r="AA26" s="72" t="s">
        <v>227</v>
      </c>
      <c r="AB26" s="49" t="s">
        <v>234</v>
      </c>
    </row>
    <row r="27" spans="2:35">
      <c r="V27" s="73" t="s">
        <v>211</v>
      </c>
      <c r="W27" s="73" t="s">
        <v>245</v>
      </c>
      <c r="AA27" s="73" t="s">
        <v>228</v>
      </c>
      <c r="AB27" s="49" t="s">
        <v>235</v>
      </c>
    </row>
    <row r="28" spans="2:35">
      <c r="V28" s="73"/>
      <c r="W28" s="73"/>
      <c r="AA28" s="73" t="s">
        <v>231</v>
      </c>
      <c r="AB28" s="49" t="s">
        <v>236</v>
      </c>
    </row>
    <row r="30" spans="2:35">
      <c r="V30" s="73" t="s">
        <v>212</v>
      </c>
      <c r="W30" s="73" t="s">
        <v>242</v>
      </c>
      <c r="AB30"/>
    </row>
    <row r="31" spans="2:35">
      <c r="V31" s="73" t="s">
        <v>213</v>
      </c>
      <c r="W31" s="73" t="s">
        <v>243</v>
      </c>
      <c r="AB31"/>
    </row>
    <row r="32" spans="2:35">
      <c r="V32" s="73" t="s">
        <v>214</v>
      </c>
      <c r="W32" s="73" t="s">
        <v>244</v>
      </c>
      <c r="AB32"/>
    </row>
    <row r="33" spans="22:28">
      <c r="V33" s="73" t="s">
        <v>215</v>
      </c>
      <c r="W33" s="73" t="s">
        <v>245</v>
      </c>
      <c r="AB33"/>
    </row>
    <row r="34" spans="22:28">
      <c r="V34" s="73"/>
      <c r="W34" s="73"/>
      <c r="AB34"/>
    </row>
    <row r="35" spans="22:28">
      <c r="AB35"/>
    </row>
    <row r="36" spans="22:28">
      <c r="V36" s="73" t="s">
        <v>216</v>
      </c>
      <c r="W36" s="73" t="s">
        <v>242</v>
      </c>
      <c r="AB36"/>
    </row>
    <row r="37" spans="22:28">
      <c r="V37" s="73" t="s">
        <v>217</v>
      </c>
      <c r="W37" s="73" t="s">
        <v>243</v>
      </c>
      <c r="AB37"/>
    </row>
    <row r="38" spans="22:28">
      <c r="V38" s="73" t="s">
        <v>218</v>
      </c>
      <c r="W38" s="73" t="s">
        <v>244</v>
      </c>
      <c r="AB38"/>
    </row>
    <row r="39" spans="22:28">
      <c r="V39" s="73" t="s">
        <v>219</v>
      </c>
      <c r="W39" s="73" t="s">
        <v>245</v>
      </c>
      <c r="AB39"/>
    </row>
    <row r="40" spans="22:28">
      <c r="AB40"/>
    </row>
    <row r="41" spans="22:28">
      <c r="V41" s="49"/>
      <c r="W41" s="49"/>
      <c r="AB41"/>
    </row>
    <row r="42" spans="22:28">
      <c r="AB42"/>
    </row>
    <row r="43" spans="22:28">
      <c r="V43" s="73" t="s">
        <v>220</v>
      </c>
      <c r="W43" s="73" t="s">
        <v>242</v>
      </c>
      <c r="AB43"/>
    </row>
    <row r="44" spans="22:28">
      <c r="V44" s="73" t="s">
        <v>221</v>
      </c>
      <c r="W44" s="73" t="s">
        <v>243</v>
      </c>
      <c r="AB44"/>
    </row>
    <row r="45" spans="22:28">
      <c r="V45" s="73" t="s">
        <v>222</v>
      </c>
      <c r="W45" s="73" t="s">
        <v>244</v>
      </c>
      <c r="AB45"/>
    </row>
    <row r="46" spans="22:28">
      <c r="V46" s="73" t="s">
        <v>223</v>
      </c>
      <c r="W46" s="73" t="s">
        <v>245</v>
      </c>
      <c r="AB46"/>
    </row>
    <row r="47" spans="22:28"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Item</vt:lpstr>
      <vt:lpstr>Stock Item (Read Me)</vt:lpstr>
      <vt:lpstr>Backend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2025-04-01T04:34:43Z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
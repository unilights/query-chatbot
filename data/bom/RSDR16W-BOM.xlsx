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6" i="23" l="1"/>
  <c r="L8" i="23" l="1"/>
  <c r="M12" i="23"/>
  <c r="L11" i="23"/>
  <c r="M11" i="23" s="1"/>
  <c r="M10" i="23"/>
  <c r="L10" i="23"/>
  <c r="M9" i="23"/>
  <c r="M8" i="23"/>
  <c r="M7" i="23"/>
  <c r="M6" i="23"/>
  <c r="M2" i="23"/>
  <c r="M13" i="23"/>
  <c r="Q5" i="23"/>
  <c r="L5" i="23" s="1"/>
  <c r="M5" i="23" s="1"/>
  <c r="Q4" i="23"/>
  <c r="Q3" i="23"/>
  <c r="Q2" i="23"/>
  <c r="M14" i="23" l="1"/>
  <c r="F3" i="24"/>
  <c r="H4" i="24" s="1"/>
  <c r="E3" i="24" l="1"/>
  <c r="H5" i="24" l="1"/>
  <c r="G3" i="24"/>
  <c r="G4" i="24" s="1"/>
  <c r="D12" i="23" l="1"/>
  <c r="F10" i="23" s="1"/>
  <c r="H3" i="24"/>
  <c r="A2" i="23" l="1"/>
  <c r="A12" i="23" s="1"/>
  <c r="D3" i="24"/>
  <c r="H8" i="24" l="1"/>
  <c r="I3" i="24"/>
  <c r="I7" i="24" s="1"/>
  <c r="H7" i="24" l="1"/>
  <c r="H6" i="24"/>
  <c r="F11" i="23" s="1"/>
  <c r="I6" i="24"/>
  <c r="I8" i="24"/>
  <c r="C3" i="24"/>
  <c r="D4" i="24" s="1"/>
  <c r="E7" i="24" l="1"/>
  <c r="E8" i="24"/>
  <c r="C8" i="24"/>
  <c r="C6" i="24"/>
  <c r="F2" i="23" s="1"/>
  <c r="F7" i="24"/>
  <c r="F8" i="24"/>
  <c r="C7" i="24"/>
  <c r="G6" i="24"/>
  <c r="F12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<sst xmlns="http://schemas.openxmlformats.org/spreadsheetml/2006/main" count="428" uniqueCount="244">
  <si>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</si>
  <si>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</si>
  <si>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</si>
  <si>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</si>
  <si>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</si>
  <si>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</si>
  <si>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</si>
  <si>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</si>
  <si>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</si>
  <si>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</si>
  <si>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</si>
  <si>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</si>
  <si>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</si>
  <si>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</si>
  <si>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</si>
  <si>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</si>
  <si>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</si>
  <si>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</si>
  <si>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</si>
  <si>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</si>
  <si>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</si>
  <si>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</si>
  <si>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</si>
  <si>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</si>
  <si>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</si>
  <si>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</si>
  <si>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</si>
  <si>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</si>
  <si>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</si>
  <si>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</si>
  <si>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</si>
  <si>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</si>
  <si>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</si>
  <si>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</si>
  <si>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</si>
  <si>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</si>
  <si>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</si>
  <si>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</si>
  <si>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</si>
  <si>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</si>
  <si>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</si>
  <si>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</si>
  <si>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</si>
  <si>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</si>
  <si>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</si>
  <si>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</si>
  <si>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</si>
  <si>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</si>
  <si>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</si>
  <si>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</si>
  <si>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</si>
  <si>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</si>
  <si>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</si>
  <si>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</si>
  <si>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</si>
  <si>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</si>
  <si>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</si>
  <si>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</si>
  <si>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</si>
  <si>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</si>
  <si>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</si>
  <si>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</si>
  <si>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</si>
  <si>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</si>
  <si>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</si>
  <si>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</si>
  <si>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</si>
  <si>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</si>
  <si>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</si>
  <si>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</si>
  <si>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</si>
  <si>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</si>
  <si>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</si>
  <si>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</si>
  <si>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</si>
  <si>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</si>
  <si>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</si>
  <si>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</si>
  <si>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</si>
  <si>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</si>
  <si>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</si>
  <si>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</si>
  <si>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</si>
  <si>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</si>
  <si>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</si>
  <si>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</si>
  <si>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</si>
  <si>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</si>
  <si>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</si>
  <si>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</si>
  <si>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</si>
  <si>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</si>
  <si>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</si>
  <si>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</si>
  <si>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</si>
  <si>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</si>
  <si>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</si>
  <si>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</si>
  <si>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</si>
  <si>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</si>
  <si>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</si>
  <si>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</si>
  <si>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</si>
  <si>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</si>
  <si>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</si>
  <si>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</si>
  <si>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</si>
  <si>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</si>
  <si>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</si>
  <si>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</si>
  <si>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</si>
  <si>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</si>
  <si>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</si>
  <si>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</si>
  <si>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</si>
  <si>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</si>
  <si>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</si>
  <si>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</si>
  <si>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</si>
  <si>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</si>
  <si>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</si>
  <si>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</si>
  <si>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</si>
  <si>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</si>
  <si>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</si>
  <si>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</si>
  <si>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</si>
  <si>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</si>
  <si>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</si>
  <si>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</si>
  <si>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</si>
  <si>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</si>
  <si>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</si>
  <si>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</si>
  <si>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</si>
  <si>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</si>
  <si>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</si>
  <si>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</si>
  <si>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</si>
  <si>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</si>
  <si>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</si>
  <si>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</si>
  <si>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</si>
  <si>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</si>
  <si>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</si>
  <si>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</si>
  <si>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</si>
  <si>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</si>
  <si>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</si>
  <si>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</si>
  <si>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</si>
  <si>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</si>
  <si>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</si>
  <si>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</si>
  <si>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</si>
  <si>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</si>
  <si>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</si>
  <si>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</si>
  <si>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</si>
  <si>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</si>
  <si>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</si>
  <si>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</si>
  <si>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</si>
  <si>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</si>
  <si>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</si>
  <si>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</si>
  <si>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</si>
  <si>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</si>
  <si>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</si>
  <si>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</si>
  <si>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</si>
  <si>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</si>
  <si>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</si>
  <si>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</si>
  <si>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</si>
  <si>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</si>
  <si>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</si>
  <si>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</si>
  <si>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</si>
  <si>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</si>
  <si>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</si>
  <si>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</si>
  <si>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</si>
  <si>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</si>
  <si>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</si>
  <si>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</si>
  <si>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</si>
  <si>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</si>
  <si>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</si>
  <si>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</si>
  <si>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</si>
  <si>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</si>
  <si>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</si>
  <si>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</si>
  <si>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</si>
  <si>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</si>
  <si>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</si>
  <si>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</si>
  <si>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</si>
  <si>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</si>
  <si>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</si>
  <si>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</si>
  <si>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</si>
  <si>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</si>
  <si>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</si>
  <si>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</si>
  <si>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Down light Series</t>
  </si>
  <si>
    <t>M</t>
  </si>
  <si>
    <t>Mechanical Store</t>
  </si>
  <si>
    <t>R</t>
  </si>
  <si>
    <t>MOUNTING TRIM</t>
  </si>
  <si>
    <t>Electronics Store</t>
  </si>
  <si>
    <t>50-</t>
  </si>
  <si>
    <t>27-</t>
  </si>
  <si>
    <t>30-</t>
  </si>
  <si>
    <t>40-</t>
  </si>
  <si>
    <t>60-</t>
  </si>
  <si>
    <t>T</t>
  </si>
  <si>
    <t>Down Light Series</t>
  </si>
  <si>
    <t>16-</t>
  </si>
  <si>
    <t>Diff  OD- 139  ID-135.5  H-8mm T-2mm</t>
  </si>
  <si>
    <t>Bracket   W-25 L-90 H-14mm.</t>
  </si>
  <si>
    <t>FITTING RSDR 18W - ROUND WHITE - 145mm</t>
  </si>
  <si>
    <t>FITTING RSDR18W - ROUND BLACK - 145mm</t>
  </si>
  <si>
    <t>Conn. 2Pin Ass. Wire Black Male (Small)</t>
  </si>
  <si>
    <t>PS 16W 190MA 72V RSDR18W</t>
  </si>
  <si>
    <t>LED 2835-60mA-4000K (NW)</t>
  </si>
  <si>
    <t>LED 2835-60mA-3000K (WW)</t>
  </si>
  <si>
    <t>LED 2835-60mA-5000K (PW)</t>
  </si>
  <si>
    <t>LED 2835-60mA-6000K (PW)</t>
  </si>
  <si>
    <t>LED SMD 2835 60mA 2700K (WW)</t>
  </si>
  <si>
    <t>Sleeve M4mm Fiber Glass White</t>
  </si>
  <si>
    <t>PBX-FRDR15W &amp; SBDR16W</t>
  </si>
  <si>
    <t>SBX FRDR15-20W (12Nos)</t>
  </si>
  <si>
    <t>Screw M3x6mm CSK Head SS</t>
  </si>
  <si>
    <t>RSDR16F30</t>
  </si>
  <si>
    <t>Unit Price</t>
  </si>
  <si>
    <t>USD</t>
  </si>
  <si>
    <t>INS&amp;FRED</t>
  </si>
  <si>
    <t>BCD</t>
  </si>
  <si>
    <t>Total Cost</t>
  </si>
  <si>
    <t>PS Rate Mention with Total Amt</t>
  </si>
  <si>
    <t>PCB LS-18W (RSDR18W)</t>
  </si>
  <si>
    <t>RSDR16W-CC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</si>
</sst>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$-409]* #,##0.00_ ;_-[$$-409]* \-#,##0.00\ ;_-[$$-409]* &quot;-&quot;??_ ;_-@_ "/>
    <numFmt numFmtId="167" formatCode="&quot;$&quot;#,##0.000"/>
    <numFmt numFmtId="168" formatCode="_-[$Rs-420]* #,##0.00_-;_-[$Rs-420]* #,##0.00\-;_-[$Rs-420]* &quot;-&quot;??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4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</cellStyleXfs>
  <cellXfs count="111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20" fillId="0" borderId="0" xfId="0" applyFont="1"/>
    <xf numFmtId="0" fontId="0" fillId="2" borderId="1" xfId="0" applyFill="1" applyBorder="1"/>
    <xf numFmtId="0" fontId="3" fillId="0" borderId="1" xfId="2" applyBorder="1"/>
    <xf numFmtId="0" fontId="3" fillId="0" borderId="14" xfId="2" applyBorder="1"/>
    <xf numFmtId="0" fontId="3" fillId="0" borderId="2" xfId="0" applyFont="1" applyBorder="1"/>
    <xf numFmtId="0" fontId="3" fillId="10" borderId="1" xfId="0" applyFont="1" applyFill="1" applyBorder="1"/>
    <xf numFmtId="0" fontId="0" fillId="10" borderId="1" xfId="0" applyFill="1" applyBorder="1"/>
    <xf numFmtId="0" fontId="21" fillId="0" borderId="1" xfId="3" applyBorder="1"/>
    <xf numFmtId="0" fontId="22" fillId="10" borderId="0" xfId="0" applyFont="1" applyFill="1" applyAlignment="1">
      <alignment horizontal="left" vertical="center" wrapText="1"/>
    </xf>
    <xf numFmtId="0" fontId="3" fillId="0" borderId="0" xfId="0" applyFont="1"/>
    <xf numFmtId="0" fontId="3" fillId="6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9" borderId="1" xfId="0" applyFont="1" applyFill="1" applyBorder="1"/>
    <xf numFmtId="0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7" fontId="24" fillId="0" borderId="1" xfId="0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165" fontId="24" fillId="0" borderId="1" xfId="0" applyNumberFormat="1" applyFont="1" applyBorder="1" applyAlignment="1">
      <alignment vertical="center"/>
    </xf>
    <xf numFmtId="165" fontId="24" fillId="0" borderId="1" xfId="0" applyNumberFormat="1" applyFont="1" applyBorder="1" applyAlignment="1">
      <alignment horizontal="center" vertical="center"/>
    </xf>
    <xf numFmtId="0" fontId="24" fillId="0" borderId="0" xfId="0" applyFont="1" applyBorder="1"/>
    <xf numFmtId="0" fontId="1" fillId="10" borderId="1" xfId="0" applyFont="1" applyFill="1" applyBorder="1"/>
    <xf numFmtId="0" fontId="26" fillId="0" borderId="0" xfId="0" applyFont="1"/>
    <xf numFmtId="165" fontId="25" fillId="6" borderId="17" xfId="0" applyNumberFormat="1" applyFont="1" applyFill="1" applyBorder="1" applyAlignment="1">
      <alignment horizontal="center" vertical="center"/>
    </xf>
    <xf numFmtId="168" fontId="23" fillId="11" borderId="1" xfId="0" applyNumberFormat="1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right" vertical="center"/>
    </xf>
    <xf numFmtId="0" fontId="9" fillId="11" borderId="14" xfId="0" applyFont="1" applyFill="1" applyBorder="1" applyAlignment="1">
      <alignment horizontal="right" vertical="center"/>
    </xf>
    <xf numFmtId="0" fontId="24" fillId="0" borderId="1" xfId="0" applyFont="1" applyBorder="1" applyAlignment="1">
      <alignment horizontal="center" vertical="center"/>
    </xf>
    <xf numFmtId="165" fontId="24" fillId="0" borderId="16" xfId="0" applyNumberFormat="1" applyFont="1" applyBorder="1" applyAlignment="1">
      <alignment horizontal="center" vertical="center"/>
    </xf>
    <xf numFmtId="165" fontId="24" fillId="0" borderId="15" xfId="0" applyNumberFormat="1" applyFont="1" applyBorder="1" applyAlignment="1">
      <alignment horizontal="center" vertical="center"/>
    </xf>
    <xf numFmtId="165" fontId="24" fillId="0" borderId="6" xfId="0" applyNumberFormat="1" applyFont="1" applyBorder="1" applyAlignment="1">
      <alignment horizontal="center" vertical="center"/>
    </xf>
    <xf numFmtId="166" fontId="24" fillId="0" borderId="1" xfId="0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Hyperlink 2" xfId="1"/>
    <cellStyle name="Normal" xfId="0" builtinId="0"/>
    <cellStyle name="Normal 2" xfId="2"/>
    <cellStyle name="Normal 2 2" xfId="3"/>
  </cellStyles>
  <dxfs count="10">
    <dxf>
      <fill>
        <patternFill>
          <bgColor theme="7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zoomScale="96" zoomScaleNormal="96" workbookViewId="0">
      <selection activeCell="M16" sqref="M16"/>
    </sheetView>
  </sheetViews>
  <sheetFormatPr defaultColWidth="9" defaultRowHeight="15"/>
  <cols>
    <col min="1" max="1" width="17.140625" customWidth="1"/>
    <col min="2" max="2" width="17.28515625" customWidth="1"/>
    <col min="3" max="3" width="8.28515625" customWidth="1"/>
    <col min="4" max="4" width="22.5703125" customWidth="1"/>
    <col min="5" max="5" width="20.42578125" customWidth="1"/>
    <col min="6" max="6" width="54.5703125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3" width="14" customWidth="1"/>
    <col min="15" max="15" width="10.5703125" bestFit="1" customWidth="1"/>
    <col min="17" max="17" width="9.710937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79" t="s">
        <v>236</v>
      </c>
      <c r="M1" s="79" t="s">
        <v>193</v>
      </c>
      <c r="N1" s="80" t="s">
        <v>237</v>
      </c>
      <c r="O1" s="81" t="s">
        <v>238</v>
      </c>
      <c r="P1" s="81" t="s">
        <v>239</v>
      </c>
      <c r="Q1" s="80" t="s">
        <v>240</v>
      </c>
    </row>
    <row r="2" spans="1:17">
      <c r="A2" s="49" t="str">
        <f>$D$2</f>
        <v>RSDR16F30</v>
      </c>
      <c r="B2" s="49" t="s">
        <v>206</v>
      </c>
      <c r="C2" s="49" t="s">
        <v>189</v>
      </c>
      <c r="D2" s="73" t="s">
        <v>235</v>
      </c>
      <c r="E2" s="49">
        <v>1</v>
      </c>
      <c r="F2" s="70" t="str">
        <f>'Backend data'!C6</f>
        <v>FITTING RSDR 18W - ROUND WHITE - 145mm</v>
      </c>
      <c r="G2" s="77">
        <v>1</v>
      </c>
      <c r="H2" s="49" t="s">
        <v>208</v>
      </c>
      <c r="I2" s="49" t="s">
        <v>9</v>
      </c>
      <c r="J2" s="49"/>
      <c r="K2" s="49"/>
      <c r="L2" s="97">
        <v>50</v>
      </c>
      <c r="M2" s="97">
        <f>G2*L2</f>
        <v>50</v>
      </c>
      <c r="N2" s="100">
        <v>0</v>
      </c>
      <c r="O2" s="101">
        <v>0.5</v>
      </c>
      <c r="P2" s="96"/>
      <c r="Q2" s="96">
        <f t="shared" ref="Q2:Q13" si="0">N2+(N2*(O2+P2))</f>
        <v>0</v>
      </c>
    </row>
    <row r="3" spans="1:17">
      <c r="A3" s="49"/>
      <c r="B3" s="49"/>
      <c r="C3" s="49"/>
      <c r="D3" s="49"/>
      <c r="E3" s="49"/>
      <c r="F3" s="75" t="s">
        <v>220</v>
      </c>
      <c r="G3" s="77">
        <v>1</v>
      </c>
      <c r="H3" s="49" t="s">
        <v>208</v>
      </c>
      <c r="I3" s="49" t="s">
        <v>9</v>
      </c>
      <c r="J3" s="49"/>
      <c r="K3" s="49"/>
      <c r="L3" s="98"/>
      <c r="M3" s="98"/>
      <c r="N3" s="100">
        <v>1.107</v>
      </c>
      <c r="O3" s="96">
        <v>0.5</v>
      </c>
      <c r="P3" s="96"/>
      <c r="Q3" s="96">
        <f t="shared" si="0"/>
        <v>1.6604999999999999</v>
      </c>
    </row>
    <row r="4" spans="1:17">
      <c r="A4" s="49"/>
      <c r="B4" s="49"/>
      <c r="C4" s="49"/>
      <c r="D4" s="49"/>
      <c r="E4" s="49"/>
      <c r="F4" s="75" t="s">
        <v>221</v>
      </c>
      <c r="G4" s="77">
        <v>1</v>
      </c>
      <c r="H4" s="49" t="s">
        <v>208</v>
      </c>
      <c r="I4" s="49" t="s">
        <v>9</v>
      </c>
      <c r="J4" s="49"/>
      <c r="K4" s="49"/>
      <c r="L4" s="99"/>
      <c r="M4" s="99"/>
      <c r="N4" s="100">
        <v>1.107</v>
      </c>
      <c r="O4" s="96">
        <v>0.5</v>
      </c>
      <c r="P4" s="96"/>
      <c r="Q4" s="96">
        <f t="shared" si="0"/>
        <v>1.6604999999999999</v>
      </c>
    </row>
    <row r="5" spans="1:17">
      <c r="A5" s="49"/>
      <c r="B5" s="49"/>
      <c r="C5" s="49"/>
      <c r="D5" s="49"/>
      <c r="E5" s="49"/>
      <c r="F5" s="60" t="s">
        <v>224</v>
      </c>
      <c r="G5" s="77">
        <v>1</v>
      </c>
      <c r="H5" s="49" t="s">
        <v>208</v>
      </c>
      <c r="I5" s="49" t="s">
        <v>9</v>
      </c>
      <c r="J5" s="49"/>
      <c r="K5" s="49"/>
      <c r="L5" s="87">
        <f>Q5*87</f>
        <v>3.915</v>
      </c>
      <c r="M5" s="87">
        <f>G5*L5</f>
        <v>3.915</v>
      </c>
      <c r="N5" s="82">
        <v>0.03</v>
      </c>
      <c r="O5" s="83">
        <v>0.5</v>
      </c>
      <c r="P5" s="83"/>
      <c r="Q5" s="84">
        <f t="shared" si="0"/>
        <v>4.4999999999999998E-2</v>
      </c>
    </row>
    <row r="6" spans="1:17">
      <c r="A6" s="49"/>
      <c r="B6" s="49"/>
      <c r="C6" s="49"/>
      <c r="D6" s="49"/>
      <c r="E6" s="49"/>
      <c r="F6" s="78" t="s">
        <v>232</v>
      </c>
      <c r="G6" s="85">
        <v>1</v>
      </c>
      <c r="H6" s="49" t="s">
        <v>208</v>
      </c>
      <c r="I6" s="49" t="s">
        <v>9</v>
      </c>
      <c r="J6" s="49"/>
      <c r="K6" s="49"/>
      <c r="L6" s="87">
        <v>8.5</v>
      </c>
      <c r="M6" s="87">
        <f t="shared" ref="M6:M13" si="1">G6*L6</f>
        <v>8.5</v>
      </c>
    </row>
    <row r="7" spans="1:17">
      <c r="A7" s="49"/>
      <c r="B7" s="49"/>
      <c r="C7" s="49"/>
      <c r="D7" s="49"/>
      <c r="E7" s="49"/>
      <c r="F7" s="78" t="s">
        <v>233</v>
      </c>
      <c r="G7" s="85">
        <v>0.08</v>
      </c>
      <c r="H7" s="49" t="s">
        <v>208</v>
      </c>
      <c r="I7" s="49" t="s">
        <v>9</v>
      </c>
      <c r="J7" s="49"/>
      <c r="K7" s="49"/>
      <c r="L7" s="88">
        <v>27</v>
      </c>
      <c r="M7" s="87">
        <f t="shared" si="1"/>
        <v>2.16</v>
      </c>
    </row>
    <row r="8" spans="1:17">
      <c r="A8" s="49"/>
      <c r="B8" s="49"/>
      <c r="C8" s="49"/>
      <c r="D8" s="49"/>
      <c r="E8" s="49"/>
      <c r="F8" s="60" t="s">
        <v>231</v>
      </c>
      <c r="G8" s="77">
        <v>0.12</v>
      </c>
      <c r="H8" s="49" t="s">
        <v>208</v>
      </c>
      <c r="I8" s="49" t="s">
        <v>9</v>
      </c>
      <c r="J8" s="49"/>
      <c r="K8" s="49"/>
      <c r="L8" s="88">
        <f>5.7/1000*120</f>
        <v>0.68400000000000005</v>
      </c>
      <c r="M8" s="87">
        <f t="shared" si="1"/>
        <v>8.208E-2</v>
      </c>
    </row>
    <row r="9" spans="1:17">
      <c r="A9" s="49"/>
      <c r="B9" s="49"/>
      <c r="C9" s="49"/>
      <c r="D9" s="49"/>
      <c r="E9" s="49"/>
      <c r="F9" s="76" t="s">
        <v>234</v>
      </c>
      <c r="G9" s="77">
        <v>3</v>
      </c>
      <c r="H9" s="49" t="s">
        <v>208</v>
      </c>
      <c r="I9" s="49" t="s">
        <v>9</v>
      </c>
      <c r="J9" s="49"/>
      <c r="K9" s="49"/>
      <c r="L9" s="87">
        <v>0.48</v>
      </c>
      <c r="M9" s="87">
        <f t="shared" si="1"/>
        <v>1.44</v>
      </c>
    </row>
    <row r="10" spans="1:17">
      <c r="A10" s="49"/>
      <c r="B10" s="49"/>
      <c r="C10" s="49"/>
      <c r="D10" s="49"/>
      <c r="E10" s="49"/>
      <c r="F10" s="71" t="str">
        <f>D12</f>
        <v>RSDR16F30 BOM LED PCB</v>
      </c>
      <c r="G10" s="77">
        <v>1</v>
      </c>
      <c r="H10" s="49" t="s">
        <v>208</v>
      </c>
      <c r="I10" s="49" t="s">
        <v>9</v>
      </c>
      <c r="J10" s="49"/>
      <c r="K10" s="49"/>
      <c r="L10" s="87">
        <f t="shared" ref="L10:L11" si="2">Q10*87</f>
        <v>0</v>
      </c>
      <c r="M10" s="87">
        <f t="shared" si="1"/>
        <v>0</v>
      </c>
      <c r="N10" s="91"/>
      <c r="O10" s="91"/>
      <c r="P10" s="91"/>
      <c r="Q10" s="91"/>
    </row>
    <row r="11" spans="1:17">
      <c r="A11" s="49"/>
      <c r="B11" s="49"/>
      <c r="C11" s="49"/>
      <c r="D11" s="49"/>
      <c r="E11" s="49"/>
      <c r="F11" s="74" t="str">
        <f>'Backend data'!H6</f>
        <v>PS 16W 190MA 72V RSDR18W</v>
      </c>
      <c r="G11" s="86">
        <v>1</v>
      </c>
      <c r="H11" s="49" t="s">
        <v>208</v>
      </c>
      <c r="I11" s="49" t="s">
        <v>9</v>
      </c>
      <c r="J11" s="49"/>
      <c r="K11" s="49"/>
      <c r="L11" s="87">
        <f t="shared" si="2"/>
        <v>0</v>
      </c>
      <c r="M11" s="87">
        <f t="shared" si="1"/>
        <v>0</v>
      </c>
      <c r="N11" s="89" t="s">
        <v>241</v>
      </c>
      <c r="O11" s="91"/>
      <c r="P11" s="91"/>
      <c r="Q11" s="91"/>
    </row>
    <row r="12" spans="1:17">
      <c r="A12" s="71" t="str">
        <f>A2</f>
        <v>RSDR16F30</v>
      </c>
      <c r="B12" s="70" t="s">
        <v>218</v>
      </c>
      <c r="C12" s="71"/>
      <c r="D12" s="71" t="str">
        <f>CONCATENATE('Backend data'!$H$5," ",'Backend data'!H10)</f>
        <v>RSDR16F30 BOM LED PCB</v>
      </c>
      <c r="E12" s="71">
        <v>1</v>
      </c>
      <c r="F12" s="71" t="str">
        <f>'Backend data'!G6</f>
        <v>LED 2835-60mA-3000K (WW)</v>
      </c>
      <c r="G12" s="77">
        <v>150</v>
      </c>
      <c r="H12" s="49" t="s">
        <v>211</v>
      </c>
      <c r="I12" s="49" t="s">
        <v>9</v>
      </c>
      <c r="J12" s="49"/>
      <c r="K12" s="49"/>
      <c r="L12" s="87">
        <v>0.09</v>
      </c>
      <c r="M12" s="87">
        <f t="shared" si="1"/>
        <v>13.5</v>
      </c>
    </row>
    <row r="13" spans="1:17">
      <c r="A13" s="49"/>
      <c r="B13" s="49"/>
      <c r="C13" s="49"/>
      <c r="D13" s="49"/>
      <c r="E13" s="49"/>
      <c r="F13" s="90" t="s">
        <v>242</v>
      </c>
      <c r="G13" s="77">
        <v>1</v>
      </c>
      <c r="H13" s="49" t="s">
        <v>211</v>
      </c>
      <c r="I13" s="49" t="s">
        <v>9</v>
      </c>
      <c r="J13" s="49"/>
      <c r="K13" s="49"/>
      <c r="L13" s="87">
        <v>48.5</v>
      </c>
      <c r="M13" s="87">
        <f t="shared" si="1"/>
        <v>48.5</v>
      </c>
    </row>
    <row r="14" spans="1:17" ht="23.25" customHeight="1" thickBot="1">
      <c r="M14" s="92">
        <f>SUM(M2:M13)</f>
        <v>128.09708000000001</v>
      </c>
    </row>
    <row r="15" spans="1:17" ht="15.75" thickTop="1"/>
    <row r="16" spans="1:17" ht="18.75" customHeight="1">
      <c r="K16" s="94" t="s">
        <v>243</v>
      </c>
      <c r="L16" s="95"/>
      <c r="M16" s="93">
        <f>M14+98</f>
        <v>226.09708000000001</v>
      </c>
    </row>
  </sheetData>
  <mergeCells count="7">
    <mergeCell ref="K16:L16"/>
    <mergeCell ref="Q2:Q4"/>
    <mergeCell ref="L2:L4"/>
    <mergeCell ref="M2:M4"/>
    <mergeCell ref="N2:N4"/>
    <mergeCell ref="O2:O4"/>
    <mergeCell ref="P2:P4"/>
  </mergeCells>
  <conditionalFormatting sqref="F1 F23:F1048576">
    <cfRule type="containsText" dxfId="9" priority="21" operator="containsText" text="PS-">
      <formula>NOT(ISERROR(SEARCH("PS-",F1)))</formula>
    </cfRule>
    <cfRule type="containsText" dxfId="8" priority="24" operator="containsText" text="COB-">
      <formula>NOT(ISERROR(SEARCH("COB-",F1)))</formula>
    </cfRule>
    <cfRule type="containsText" dxfId="7" priority="26" operator="containsText" text="TRIM">
      <formula>NOT(ISERROR(SEARCH("TRIM",F1)))</formula>
    </cfRule>
  </conditionalFormatting>
  <conditionalFormatting sqref="F1:G1 F23:G1048576">
    <cfRule type="containsText" dxfId="6" priority="20" operator="containsText" text="REFLECTOR">
      <formula>NOT(ISERROR(SEARCH("REFLECTOR",F1)))</formula>
    </cfRule>
  </conditionalFormatting>
  <conditionalFormatting sqref="F5">
    <cfRule type="containsText" dxfId="5" priority="3" operator="containsText" text="PS-">
      <formula>NOT(ISERROR(SEARCH("PS-",F5)))</formula>
    </cfRule>
    <cfRule type="containsText" dxfId="4" priority="4" operator="containsText" text="COB-">
      <formula>NOT(ISERROR(SEARCH("COB-",F5)))</formula>
    </cfRule>
    <cfRule type="containsText" dxfId="3" priority="5" operator="containsText" text="TRIM">
      <formula>NOT(ISERROR(SEARCH("TRIM",F5)))</formula>
    </cfRule>
  </conditionalFormatting>
  <conditionalFormatting sqref="F5">
    <cfRule type="containsText" dxfId="2" priority="2" operator="containsText" text="REFLECTOR">
      <formula>NOT(ISERROR(SEARCH("REFLECTOR",F5)))</formula>
    </cfRule>
  </conditionalFormatting>
  <conditionalFormatting sqref="F5">
    <cfRule type="expression" dxfId="1" priority="1">
      <formula>$J6="CH"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F23:G1048576 F1:G1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03" t="s">
        <v>20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</row>
    <row r="6" spans="1:17" ht="12.6" customHeight="1">
      <c r="A6" s="16" t="s">
        <v>21</v>
      </c>
      <c r="B6" s="12" t="s">
        <v>15</v>
      </c>
      <c r="C6" s="13"/>
      <c r="E6" s="103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5"/>
    </row>
    <row r="7" spans="1:17" ht="12.6" customHeight="1">
      <c r="A7" s="16" t="s">
        <v>22</v>
      </c>
      <c r="B7" s="12" t="s">
        <v>15</v>
      </c>
      <c r="C7" s="13"/>
      <c r="E7" s="103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</row>
    <row r="8" spans="1:17" ht="12.6" customHeight="1">
      <c r="A8" s="16" t="s">
        <v>23</v>
      </c>
      <c r="B8" s="12" t="s">
        <v>15</v>
      </c>
      <c r="C8" s="13"/>
      <c r="E8" s="103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5"/>
    </row>
    <row r="9" spans="1:17" ht="12.95" customHeight="1">
      <c r="A9" s="16" t="s">
        <v>24</v>
      </c>
      <c r="B9" s="12" t="s">
        <v>15</v>
      </c>
      <c r="C9" s="13"/>
      <c r="E9" s="103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5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</row>
    <row r="20" spans="1:17" ht="25.5">
      <c r="A20" s="16" t="s">
        <v>40</v>
      </c>
      <c r="B20" s="12" t="s">
        <v>15</v>
      </c>
      <c r="C20" s="13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</row>
    <row r="21" spans="1:17">
      <c r="A21" s="16" t="s">
        <v>41</v>
      </c>
      <c r="B21" s="12" t="s">
        <v>15</v>
      </c>
      <c r="C21" s="13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</row>
    <row r="22" spans="1:17">
      <c r="A22" s="6" t="s">
        <v>42</v>
      </c>
      <c r="B22" s="30"/>
      <c r="C22" s="31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8" workbookViewId="0">
      <selection activeCell="AB23" sqref="AB23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30.140625" customWidth="1"/>
    <col min="8" max="8" width="51.42578125" style="51" customWidth="1"/>
    <col min="9" max="9" width="4.5703125" customWidth="1"/>
    <col min="10" max="10" width="9.140625" hidden="1" customWidth="1"/>
    <col min="11" max="11" width="2.7109375" customWidth="1"/>
    <col min="13" max="13" width="64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>
      <c r="C3" s="63" t="str">
        <f>MID('Stock Item'!$D$2,4,1)</f>
        <v>R</v>
      </c>
      <c r="D3" s="52" t="str">
        <f>MID('Stock Item'!$D$2,6,2)</f>
        <v>6F</v>
      </c>
      <c r="E3" s="63" t="str">
        <f>MID('Stock Item'!$D$2,7,1)</f>
        <v>F</v>
      </c>
      <c r="F3" s="63" t="str">
        <f>MID('Stock Item'!$D$2,5,2)</f>
        <v>16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S</v>
      </c>
    </row>
    <row r="4" spans="2:9">
      <c r="D4" s="64" t="str">
        <f>CONCATENATE(C3)</f>
        <v>R</v>
      </c>
      <c r="G4" s="64" t="str">
        <f>CONCATENATE($G$3,"-")</f>
        <v>30-</v>
      </c>
      <c r="H4" s="51" t="str">
        <f>CONCATENATE($F$3,"-")</f>
        <v>16-</v>
      </c>
    </row>
    <row r="5" spans="2:9">
      <c r="H5" s="51" t="str">
        <f>CONCATENATE('Stock Item'!D2)</f>
        <v>RSDR16F30</v>
      </c>
    </row>
    <row r="6" spans="2:9">
      <c r="B6" s="54" t="s">
        <v>199</v>
      </c>
      <c r="C6" s="58" t="str">
        <f>VLOOKUP($C$3,$B$23:$E$72,2,0)</f>
        <v>FITTING RSDR 18W - ROUND WHITE - 145mm</v>
      </c>
      <c r="D6" s="57" t="e">
        <f>VLOOKUP($D$4,G23:$J$100,2,0)</f>
        <v>#N/A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2835-60mA-3000K (WW)</v>
      </c>
      <c r="H6" s="56" t="str">
        <f>VLOOKUP($H$4,$AA$23:$AD$72,2,0)</f>
        <v>PS 16W 190MA 72V RSDR18W</v>
      </c>
      <c r="I6" s="56" t="e">
        <f>VLOOKUP($I$3,AF23:$AI$100,2,0)</f>
        <v>#N/A</v>
      </c>
    </row>
    <row r="7" spans="2:9" ht="30">
      <c r="B7" s="54" t="s">
        <v>200</v>
      </c>
      <c r="C7" s="58">
        <f>VLOOKUP($C$3,$B$23:$E$72,4,0)</f>
        <v>0</v>
      </c>
      <c r="D7" s="57" t="e">
        <f>VLOOKUP($D$4,G23:$J$100,4,0)</f>
        <v>#N/A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>
        <f>VLOOKUP($C$3,$B$23:$E$72,3,0)</f>
        <v>0</v>
      </c>
      <c r="D8" s="57" t="e">
        <f>VLOOKUP($D$4,G23:$J$100,3,0)</f>
        <v>#N/A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5" t="s">
        <v>204</v>
      </c>
    </row>
    <row r="19" spans="2:35" ht="13.9" customHeight="1"/>
    <row r="21" spans="2:35">
      <c r="B21" s="109" t="s">
        <v>194</v>
      </c>
      <c r="C21" s="110"/>
      <c r="D21" s="110"/>
      <c r="E21" s="110"/>
      <c r="G21" s="109" t="s">
        <v>210</v>
      </c>
      <c r="H21" s="110"/>
      <c r="I21" s="110"/>
      <c r="J21" s="110"/>
      <c r="L21" s="109" t="s">
        <v>195</v>
      </c>
      <c r="M21" s="110"/>
      <c r="N21" s="110"/>
      <c r="O21" s="110"/>
      <c r="Q21" s="109" t="s">
        <v>196</v>
      </c>
      <c r="R21" s="110"/>
      <c r="S21" s="110"/>
      <c r="T21" s="110"/>
      <c r="V21" s="109" t="s">
        <v>205</v>
      </c>
      <c r="W21" s="110"/>
      <c r="X21" s="110"/>
      <c r="Y21" s="110"/>
      <c r="AA21" s="106" t="s">
        <v>197</v>
      </c>
      <c r="AB21" s="107"/>
      <c r="AC21" s="107"/>
      <c r="AD21" s="108"/>
      <c r="AF21" s="106" t="s">
        <v>203</v>
      </c>
      <c r="AG21" s="107"/>
      <c r="AH21" s="107"/>
      <c r="AI21" s="108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67" t="s">
        <v>209</v>
      </c>
      <c r="C23" s="70" t="s">
        <v>222</v>
      </c>
      <c r="D23" s="66"/>
      <c r="E23" s="66"/>
      <c r="G23" s="68"/>
      <c r="H23" s="67"/>
      <c r="L23" s="60"/>
      <c r="M23" s="60"/>
      <c r="N23" s="49"/>
      <c r="O23" s="49"/>
      <c r="Q23" s="68" t="s">
        <v>207</v>
      </c>
      <c r="R23" s="69"/>
      <c r="V23" s="49" t="s">
        <v>216</v>
      </c>
      <c r="W23" s="60" t="s">
        <v>229</v>
      </c>
      <c r="X23" s="49"/>
      <c r="AA23" s="72" t="s">
        <v>219</v>
      </c>
      <c r="AB23" s="72" t="s">
        <v>225</v>
      </c>
      <c r="AF23" s="60"/>
      <c r="AG23" s="60"/>
    </row>
    <row r="24" spans="2:35">
      <c r="B24" s="67" t="s">
        <v>19</v>
      </c>
      <c r="C24" s="70" t="s">
        <v>223</v>
      </c>
      <c r="D24" s="66"/>
      <c r="E24" s="66"/>
      <c r="G24" s="68"/>
      <c r="H24" s="60"/>
      <c r="L24" s="60"/>
      <c r="M24" s="60"/>
      <c r="N24" s="49"/>
      <c r="O24" s="49"/>
      <c r="Q24" s="68"/>
      <c r="R24" s="69"/>
      <c r="V24" s="49" t="s">
        <v>212</v>
      </c>
      <c r="W24" s="60" t="s">
        <v>228</v>
      </c>
      <c r="AA24" s="72"/>
      <c r="AB24" s="72"/>
    </row>
    <row r="25" spans="2:35">
      <c r="B25" s="60" t="s">
        <v>217</v>
      </c>
      <c r="C25" s="70"/>
      <c r="D25" s="66"/>
      <c r="E25" s="66"/>
      <c r="L25" s="49"/>
      <c r="M25" s="49"/>
      <c r="N25" s="49"/>
      <c r="O25" s="49"/>
      <c r="V25" s="49" t="s">
        <v>215</v>
      </c>
      <c r="W25" s="60" t="s">
        <v>226</v>
      </c>
      <c r="AA25" s="72"/>
      <c r="AB25" s="72"/>
    </row>
    <row r="26" spans="2:35">
      <c r="L26" s="49"/>
      <c r="M26" s="49"/>
      <c r="N26" s="49"/>
      <c r="O26" s="49"/>
      <c r="V26" s="49" t="s">
        <v>214</v>
      </c>
      <c r="W26" s="60" t="s">
        <v>227</v>
      </c>
      <c r="AA26" s="72"/>
      <c r="AB26" s="72"/>
    </row>
    <row r="27" spans="2:35">
      <c r="H27"/>
      <c r="V27" s="49" t="s">
        <v>213</v>
      </c>
      <c r="W27" s="60" t="s">
        <v>230</v>
      </c>
      <c r="AA27" s="72"/>
      <c r="AB27" s="72"/>
    </row>
    <row r="28" spans="2:35">
      <c r="V28" s="49"/>
      <c r="W28" s="72"/>
      <c r="AB28"/>
    </row>
    <row r="29" spans="2:35">
      <c r="AB29"/>
    </row>
    <row r="30" spans="2:35">
      <c r="AB30"/>
    </row>
    <row r="31" spans="2:35">
      <c r="AB31"/>
    </row>
    <row r="32" spans="2:35">
      <c r="AB32"/>
    </row>
    <row r="33" spans="28:28">
      <c r="AB33"/>
    </row>
    <row r="34" spans="28:28">
      <c r="AB34"/>
    </row>
    <row r="35" spans="28:28">
      <c r="AB35"/>
    </row>
    <row r="36" spans="28:28">
      <c r="AB36"/>
    </row>
    <row r="37" spans="28:28">
      <c r="AB37"/>
    </row>
    <row r="38" spans="28:28">
      <c r="AB38"/>
    </row>
    <row r="39" spans="28:28">
      <c r="AB39"/>
    </row>
    <row r="40" spans="28:28">
      <c r="AB40"/>
    </row>
    <row r="41" spans="28:28">
      <c r="AB41"/>
    </row>
    <row r="42" spans="28:28">
      <c r="AB42"/>
    </row>
    <row r="43" spans="28:28">
      <c r="AB43"/>
    </row>
    <row r="44" spans="28:28">
      <c r="AB44"/>
    </row>
    <row r="45" spans="28:28">
      <c r="AB45"/>
    </row>
    <row r="46" spans="28:28">
      <c r="AB46"/>
    </row>
    <row r="47" spans="28:28">
      <c r="AB47"/>
    </row>
    <row r="48" spans="28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Item</vt:lpstr>
      <vt:lpstr>Stock Item (Read Me)</vt:lpstr>
      <vt:lpstr>Backend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2025-03-31T10:31:40Z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
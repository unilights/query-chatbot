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60" windowWidth="15600" windowHeight="11100" tabRatio="597"/>
  </bookViews>
  <sheets>
    <sheet name="Stock Item" sheetId="23" r:id="rId1"/>
    <sheet name="Stock Item (Read Me)" sheetId="10" state="hidden" r:id="rId2"/>
    <sheet name="Backend data" sheetId="24" r:id="rId3"/>
    <sheet name="SRDR12-15-18W-SKU" sheetId="26" r:id="rId4"/>
  </sheets>
  <externalReferences>
    <externalReference r:id="rId5"/>
  </externalReferences>
  <definedNames>
    <definedName name="_xlnm._FilterDatabase" localSheetId="3" hidden="1">'SRDR12-15-18W-SKU'!$A$1:$O$52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3" i="23" l="1"/>
  <c r="R28" i="23" l="1"/>
  <c r="R26" i="23"/>
  <c r="Q28" i="23"/>
  <c r="Q26" i="23"/>
  <c r="Q20" i="23" l="1"/>
  <c r="L20" i="23" s="1"/>
  <c r="M20" i="23" s="1"/>
  <c r="Q12" i="23"/>
  <c r="L12" i="23" s="1"/>
  <c r="M12" i="23" s="1"/>
  <c r="Q8" i="23"/>
  <c r="Q6" i="23"/>
  <c r="Q4" i="23"/>
  <c r="L4" i="23" s="1"/>
  <c r="M4" i="23" s="1"/>
  <c r="Q3" i="23"/>
  <c r="M2" i="23"/>
  <c r="M21" i="23"/>
  <c r="L21" i="23"/>
  <c r="L19" i="23"/>
  <c r="M19" i="23" s="1"/>
  <c r="M18" i="23"/>
  <c r="M17" i="23"/>
  <c r="M16" i="23"/>
  <c r="M15" i="23"/>
  <c r="M14" i="23"/>
  <c r="M13" i="23"/>
  <c r="M11" i="23"/>
  <c r="M10" i="23"/>
  <c r="M9" i="23"/>
  <c r="L8" i="23"/>
  <c r="M8" i="23" s="1"/>
  <c r="M6" i="23"/>
  <c r="L6" i="23"/>
  <c r="M3" i="23"/>
  <c r="L3" i="23"/>
  <c r="M22" i="23" l="1"/>
  <c r="I3" i="24"/>
  <c r="I6" i="24" s="1"/>
  <c r="D3" i="24"/>
  <c r="U52" i="26"/>
  <c r="T52" i="26"/>
  <c r="S52" i="26"/>
  <c r="R52" i="26"/>
  <c r="Q52" i="26"/>
  <c r="U51" i="26"/>
  <c r="T51" i="26"/>
  <c r="S51" i="26"/>
  <c r="R51" i="26"/>
  <c r="Q51" i="26"/>
  <c r="U50" i="26"/>
  <c r="T50" i="26"/>
  <c r="S50" i="26"/>
  <c r="R50" i="26"/>
  <c r="Q50" i="26"/>
  <c r="U49" i="26"/>
  <c r="T49" i="26"/>
  <c r="S49" i="26"/>
  <c r="R49" i="26"/>
  <c r="Q49" i="26"/>
  <c r="U48" i="26"/>
  <c r="T48" i="26"/>
  <c r="S48" i="26"/>
  <c r="R48" i="26"/>
  <c r="Q48" i="26"/>
  <c r="U47" i="26"/>
  <c r="T47" i="26"/>
  <c r="S47" i="26"/>
  <c r="R47" i="26"/>
  <c r="Q47" i="26"/>
  <c r="U46" i="26"/>
  <c r="T46" i="26"/>
  <c r="S46" i="26"/>
  <c r="R46" i="26"/>
  <c r="Q46" i="26"/>
  <c r="U45" i="26"/>
  <c r="T45" i="26"/>
  <c r="S45" i="26"/>
  <c r="R45" i="26"/>
  <c r="Q45" i="26"/>
  <c r="U44" i="26"/>
  <c r="T44" i="26"/>
  <c r="S44" i="26"/>
  <c r="R44" i="26"/>
  <c r="Q44" i="26"/>
  <c r="U43" i="26"/>
  <c r="T43" i="26"/>
  <c r="S43" i="26"/>
  <c r="R43" i="26"/>
  <c r="Q43" i="26"/>
  <c r="U42" i="26"/>
  <c r="T42" i="26"/>
  <c r="S42" i="26"/>
  <c r="R42" i="26"/>
  <c r="Q42" i="26"/>
  <c r="U41" i="26"/>
  <c r="T41" i="26"/>
  <c r="S41" i="26"/>
  <c r="R41" i="26"/>
  <c r="Q41" i="26"/>
  <c r="U40" i="26"/>
  <c r="T40" i="26"/>
  <c r="S40" i="26"/>
  <c r="R40" i="26"/>
  <c r="Q40" i="26"/>
  <c r="U39" i="26"/>
  <c r="T39" i="26"/>
  <c r="S39" i="26"/>
  <c r="R39" i="26"/>
  <c r="Q39" i="26"/>
  <c r="U38" i="26"/>
  <c r="T38" i="26"/>
  <c r="S38" i="26"/>
  <c r="R38" i="26"/>
  <c r="Q38" i="26"/>
  <c r="U37" i="26"/>
  <c r="T37" i="26"/>
  <c r="S37" i="26"/>
  <c r="R37" i="26"/>
  <c r="Q37" i="26"/>
  <c r="U36" i="26"/>
  <c r="T36" i="26"/>
  <c r="S36" i="26"/>
  <c r="R36" i="26"/>
  <c r="Q36" i="26"/>
  <c r="U35" i="26"/>
  <c r="T35" i="26"/>
  <c r="S35" i="26"/>
  <c r="R35" i="26"/>
  <c r="Q35" i="26"/>
  <c r="U34" i="26"/>
  <c r="T34" i="26"/>
  <c r="S34" i="26"/>
  <c r="R34" i="26"/>
  <c r="Q34" i="26"/>
  <c r="U33" i="26"/>
  <c r="T33" i="26"/>
  <c r="S33" i="26"/>
  <c r="R33" i="26"/>
  <c r="Q33" i="26"/>
  <c r="U32" i="26"/>
  <c r="T32" i="26"/>
  <c r="S32" i="26"/>
  <c r="R32" i="26"/>
  <c r="Q32" i="26"/>
  <c r="U31" i="26"/>
  <c r="T31" i="26"/>
  <c r="S31" i="26"/>
  <c r="R31" i="26"/>
  <c r="Q31" i="26"/>
  <c r="U30" i="26"/>
  <c r="T30" i="26"/>
  <c r="S30" i="26"/>
  <c r="R30" i="26"/>
  <c r="Q30" i="26"/>
  <c r="U29" i="26"/>
  <c r="T29" i="26"/>
  <c r="S29" i="26"/>
  <c r="R29" i="26"/>
  <c r="Q29" i="26"/>
  <c r="U28" i="26"/>
  <c r="T28" i="26"/>
  <c r="S28" i="26"/>
  <c r="R28" i="26"/>
  <c r="Q28" i="26"/>
  <c r="U27" i="26"/>
  <c r="T27" i="26"/>
  <c r="S27" i="26"/>
  <c r="R27" i="26"/>
  <c r="Q27" i="26"/>
  <c r="U26" i="26"/>
  <c r="T26" i="26"/>
  <c r="S26" i="26"/>
  <c r="R26" i="26"/>
  <c r="Q26" i="26"/>
  <c r="U25" i="26"/>
  <c r="T25" i="26"/>
  <c r="S25" i="26"/>
  <c r="R25" i="26"/>
  <c r="Q25" i="26"/>
  <c r="U24" i="26"/>
  <c r="T24" i="26"/>
  <c r="S24" i="26"/>
  <c r="R24" i="26"/>
  <c r="Q24" i="26"/>
  <c r="U23" i="26"/>
  <c r="T23" i="26"/>
  <c r="S23" i="26"/>
  <c r="R23" i="26"/>
  <c r="Q23" i="26"/>
  <c r="U22" i="26"/>
  <c r="T22" i="26"/>
  <c r="S22" i="26"/>
  <c r="R22" i="26"/>
  <c r="Q22" i="26"/>
  <c r="U21" i="26"/>
  <c r="T21" i="26"/>
  <c r="S21" i="26"/>
  <c r="R21" i="26"/>
  <c r="Q21" i="26"/>
  <c r="U20" i="26"/>
  <c r="T20" i="26"/>
  <c r="S20" i="26"/>
  <c r="R20" i="26"/>
  <c r="Q20" i="26"/>
  <c r="U19" i="26"/>
  <c r="T19" i="26"/>
  <c r="S19" i="26"/>
  <c r="R19" i="26"/>
  <c r="Q19" i="26"/>
  <c r="U18" i="26"/>
  <c r="T18" i="26"/>
  <c r="S18" i="26"/>
  <c r="R18" i="26"/>
  <c r="Q18" i="26"/>
  <c r="U17" i="26"/>
  <c r="T17" i="26"/>
  <c r="S17" i="26"/>
  <c r="R17" i="26"/>
  <c r="Q17" i="26"/>
  <c r="U16" i="26"/>
  <c r="T16" i="26"/>
  <c r="S16" i="26"/>
  <c r="R16" i="26"/>
  <c r="Q16" i="26"/>
  <c r="U15" i="26"/>
  <c r="T15" i="26"/>
  <c r="S15" i="26"/>
  <c r="R15" i="26"/>
  <c r="Q15" i="26"/>
  <c r="U14" i="26"/>
  <c r="T14" i="26"/>
  <c r="S14" i="26"/>
  <c r="R14" i="26"/>
  <c r="Q14" i="26"/>
  <c r="U13" i="26"/>
  <c r="T13" i="26"/>
  <c r="S13" i="26"/>
  <c r="R13" i="26"/>
  <c r="Q13" i="26"/>
  <c r="U12" i="26"/>
  <c r="T12" i="26"/>
  <c r="S12" i="26"/>
  <c r="R12" i="26"/>
  <c r="Q12" i="26"/>
  <c r="U11" i="26"/>
  <c r="T11" i="26"/>
  <c r="S11" i="26"/>
  <c r="R11" i="26"/>
  <c r="Q11" i="26"/>
  <c r="U10" i="26"/>
  <c r="T10" i="26"/>
  <c r="S10" i="26"/>
  <c r="R10" i="26"/>
  <c r="Q10" i="26"/>
  <c r="U9" i="26"/>
  <c r="T9" i="26"/>
  <c r="S9" i="26"/>
  <c r="R9" i="26"/>
  <c r="Q9" i="26"/>
  <c r="U8" i="26"/>
  <c r="T8" i="26"/>
  <c r="S8" i="26"/>
  <c r="R8" i="26"/>
  <c r="Q8" i="26"/>
  <c r="U7" i="26"/>
  <c r="T7" i="26"/>
  <c r="S7" i="26"/>
  <c r="R7" i="26"/>
  <c r="Q7" i="26"/>
  <c r="U6" i="26"/>
  <c r="T6" i="26"/>
  <c r="S6" i="26"/>
  <c r="R6" i="26"/>
  <c r="Q6" i="26"/>
  <c r="U5" i="26"/>
  <c r="T5" i="26"/>
  <c r="S5" i="26"/>
  <c r="R5" i="26"/>
  <c r="Q5" i="26"/>
  <c r="U4" i="26"/>
  <c r="T4" i="26"/>
  <c r="S4" i="26"/>
  <c r="R4" i="26"/>
  <c r="Q4" i="26"/>
  <c r="U3" i="26"/>
  <c r="T3" i="26"/>
  <c r="S3" i="26"/>
  <c r="R3" i="26"/>
  <c r="Q3" i="26"/>
  <c r="U2" i="26"/>
  <c r="T2" i="26"/>
  <c r="S2" i="26"/>
  <c r="R2" i="26"/>
  <c r="Q2" i="26"/>
  <c r="A2" i="23"/>
  <c r="M27" i="23" l="1"/>
  <c r="M25" i="23"/>
  <c r="M29" i="23"/>
  <c r="M28" i="23"/>
  <c r="M24" i="23"/>
  <c r="M26" i="23"/>
  <c r="C20" i="26"/>
  <c r="C34" i="26"/>
  <c r="C36" i="26"/>
  <c r="C14" i="26"/>
  <c r="C48" i="26"/>
  <c r="C26" i="26"/>
  <c r="C2" i="26"/>
  <c r="C7" i="26"/>
  <c r="C50" i="26"/>
  <c r="C10" i="26"/>
  <c r="C29" i="26"/>
  <c r="C4" i="26"/>
  <c r="C23" i="26"/>
  <c r="C28" i="26"/>
  <c r="C6" i="26"/>
  <c r="C44" i="26"/>
  <c r="C40" i="26"/>
  <c r="C24" i="26"/>
  <c r="C37" i="26"/>
  <c r="C27" i="26"/>
  <c r="C9" i="26"/>
  <c r="C12" i="26"/>
  <c r="C15" i="26"/>
  <c r="C17" i="26"/>
  <c r="C39" i="26"/>
  <c r="C42" i="26"/>
  <c r="C45" i="26"/>
  <c r="C3" i="26"/>
  <c r="C33" i="26"/>
  <c r="C19" i="26"/>
  <c r="C22" i="26"/>
  <c r="C25" i="26"/>
  <c r="C47" i="26"/>
  <c r="C52" i="26"/>
  <c r="C5" i="26"/>
  <c r="C8" i="26"/>
  <c r="C11" i="26"/>
  <c r="C35" i="26"/>
  <c r="C38" i="26"/>
  <c r="C41" i="26"/>
  <c r="C30" i="26"/>
  <c r="C31" i="26"/>
  <c r="C32" i="26"/>
  <c r="C13" i="26"/>
  <c r="C16" i="26"/>
  <c r="C18" i="26"/>
  <c r="C21" i="26"/>
  <c r="C43" i="26"/>
  <c r="C46" i="26"/>
  <c r="C49" i="26"/>
  <c r="C51" i="26"/>
  <c r="H5" i="24"/>
  <c r="G3" i="24"/>
  <c r="H3" i="24" l="1"/>
  <c r="H4" i="24" s="1"/>
  <c r="F3" i="24"/>
  <c r="G4" i="24" l="1"/>
  <c r="E3" i="24"/>
  <c r="H8" i="24" l="1"/>
  <c r="D4" i="24"/>
  <c r="I7" i="24"/>
  <c r="H7" i="24" l="1"/>
  <c r="H6" i="24"/>
  <c r="F21" i="23" s="1"/>
  <c r="I8" i="24"/>
  <c r="C3" i="24"/>
  <c r="I4" i="24" s="1"/>
  <c r="E7" i="24" l="1"/>
  <c r="E8" i="24"/>
  <c r="C8" i="24"/>
  <c r="C6" i="24"/>
  <c r="F2" i="23" s="1"/>
  <c r="F7" i="24"/>
  <c r="F8" i="24"/>
  <c r="C7" i="24"/>
  <c r="G6" i="24"/>
  <c r="F20" i="23" s="1"/>
  <c r="E6" i="24"/>
  <c r="F6" i="24"/>
  <c r="D8" i="24" l="1"/>
  <c r="D6" i="24"/>
  <c r="F3" i="23" s="1"/>
  <c r="D7" i="24"/>
  <c r="G8" i="24"/>
  <c r="G7" i="24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<sst xmlns="http://schemas.openxmlformats.org/spreadsheetml/2006/main" count="827" uniqueCount="376">
  <si>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</si>
  <si>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</si>
  <si>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</si>
  <si>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</si>
  <si>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</si>
  <si>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</si>
  <si>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</si>
  <si>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</si>
  <si>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</si>
  <si>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</si>
  <si>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</si>
  <si>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</si>
  <si>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</si>
  <si>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</si>
  <si>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</si>
  <si>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</si>
  <si>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</si>
  <si>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</si>
  <si>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</si>
  <si>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</si>
  <si>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</si>
  <si>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</si>
  <si>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</si>
  <si>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</si>
  <si>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</si>
  <si>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</si>
  <si>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</si>
  <si>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</si>
  <si>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</si>
  <si>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</si>
  <si>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</si>
  <si>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</si>
  <si>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</si>
  <si>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</si>
  <si>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</si>
  <si>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</si>
  <si>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</si>
  <si>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</si>
  <si>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</si>
  <si>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</si>
  <si>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</si>
  <si>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</si>
  <si>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</si>
  <si>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</si>
  <si>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</si>
  <si>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</si>
  <si>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</si>
  <si>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</si>
  <si>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</si>
  <si>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</si>
  <si>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</si>
  <si>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</si>
  <si>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</si>
  <si>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</si>
  <si>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</si>
  <si>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</si>
  <si>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</si>
  <si>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</si>
  <si>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</si>
  <si>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</si>
  <si>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</si>
  <si>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</si>
  <si>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</si>
  <si>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</si>
  <si>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</si>
  <si>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</si>
  <si>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</si>
  <si>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</si>
  <si>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</si>
  <si>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</si>
  <si>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</si>
  <si>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</si>
  <si>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</si>
  <si>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</si>
  <si>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</si>
  <si>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</si>
  <si>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</si>
  <si>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</si>
  <si>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</si>
  <si>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</si>
  <si>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</si>
  <si>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</si>
  <si>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</si>
  <si>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</si>
  <si>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</si>
  <si>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</si>
  <si>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</si>
  <si>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</si>
  <si>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</si>
  <si>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</si>
  <si>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</si>
  <si>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</si>
  <si>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</si>
  <si>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</si>
  <si>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</si>
  <si>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</si>
  <si>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</si>
  <si>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</si>
  <si>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</si>
  <si>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</si>
  <si>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</si>
  <si>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</si>
  <si>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</si>
  <si>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</si>
  <si>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</si>
  <si>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</si>
  <si>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</si>
  <si>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</si>
  <si>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</si>
  <si>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</si>
  <si>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</si>
  <si>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</si>
  <si>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</si>
  <si>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</si>
  <si>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</si>
  <si>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</si>
  <si>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</si>
  <si>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</si>
  <si>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</si>
  <si>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</si>
  <si>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</si>
  <si>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</si>
  <si>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</si>
  <si>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</si>
  <si>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</si>
  <si>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</si>
  <si>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</si>
  <si>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</si>
  <si>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</si>
  <si>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</si>
  <si>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</si>
  <si>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</si>
  <si>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</si>
  <si>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</si>
  <si>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</si>
  <si>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</si>
  <si>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</si>
  <si>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</si>
  <si>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</si>
  <si>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</si>
  <si>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</si>
  <si>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</si>
  <si>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</si>
  <si>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</si>
  <si>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</si>
  <si>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</si>
  <si>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</si>
  <si>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</si>
  <si>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</si>
  <si>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</si>
  <si>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</si>
  <si>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</si>
  <si>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</si>
  <si>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</si>
  <si>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</si>
  <si>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</si>
  <si>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</si>
  <si>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</si>
  <si>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</si>
  <si>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</si>
  <si>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</si>
  <si>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</si>
  <si>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</si>
  <si>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</si>
  <si>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</si>
  <si>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</si>
  <si>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</si>
  <si>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</si>
  <si>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</si>
  <si>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</si>
  <si>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</si>
  <si>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</si>
  <si>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</si>
  <si>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</si>
  <si>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</si>
  <si>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</si>
  <si>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</si>
  <si>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</si>
  <si>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</si>
  <si>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</si>
  <si>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</si>
  <si>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</si>
  <si>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</si>
  <si>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</si>
  <si>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</si>
  <si>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</si>
  <si>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</si>
  <si>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</si>
  <si>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</si>
  <si>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Mechanical Store</t>
  </si>
  <si>
    <t>Nos.</t>
  </si>
  <si>
    <t>Code</t>
  </si>
  <si>
    <t>Item Name</t>
  </si>
  <si>
    <t xml:space="preserve">Quantity </t>
  </si>
  <si>
    <t>Cost</t>
  </si>
  <si>
    <t>TRIM</t>
  </si>
  <si>
    <t>REFLECTOR</t>
  </si>
  <si>
    <t>BEAM ANGLE</t>
  </si>
  <si>
    <t>DRIVING SYSTEM</t>
  </si>
  <si>
    <t>COLOR TEMP</t>
  </si>
  <si>
    <t>Formulae</t>
  </si>
  <si>
    <t>Formulae for COST</t>
  </si>
  <si>
    <t>Formulae for Quantity</t>
  </si>
  <si>
    <t>HOUSING/HS</t>
  </si>
  <si>
    <t>R</t>
  </si>
  <si>
    <t>BOM LED PCB</t>
  </si>
  <si>
    <t>COLOUR TEMPERATURE</t>
  </si>
  <si>
    <t>T</t>
  </si>
  <si>
    <t>SKU Id</t>
  </si>
  <si>
    <t>SKU Code</t>
  </si>
  <si>
    <t>Product Name</t>
  </si>
  <si>
    <t>Cost Price</t>
  </si>
  <si>
    <t>Retail Price</t>
  </si>
  <si>
    <t>Selling Price</t>
  </si>
  <si>
    <t>Weight</t>
  </si>
  <si>
    <t>Width</t>
  </si>
  <si>
    <t>Height</t>
  </si>
  <si>
    <t>Depth</t>
  </si>
  <si>
    <t>Beam Angle</t>
  </si>
  <si>
    <t>Driving System</t>
  </si>
  <si>
    <t>Trim</t>
  </si>
  <si>
    <t>DALI Dimming</t>
  </si>
  <si>
    <t>Trim-O-85  I-51 H-50mm White SRD-12/15/18W</t>
  </si>
  <si>
    <t>Trim-O-85  I-51 H-50mm Black SRD-12/15/18W</t>
  </si>
  <si>
    <t>Trim-O-85  I-51 H-50mm Two Color SRD-12/15/18W</t>
  </si>
  <si>
    <t>12F</t>
  </si>
  <si>
    <t>HS 50x34.5mm (SR-DR-NR-12W)</t>
  </si>
  <si>
    <t>15F</t>
  </si>
  <si>
    <t>HS-50X40.5mm (SR-DR-NR-15W)</t>
  </si>
  <si>
    <t>18F</t>
  </si>
  <si>
    <t>HS-50X50.5mm (SR-DR-NR-12W)</t>
  </si>
  <si>
    <t>12-</t>
  </si>
  <si>
    <t>PCB</t>
  </si>
  <si>
    <t>R12</t>
  </si>
  <si>
    <t>R15</t>
  </si>
  <si>
    <t>R18</t>
  </si>
  <si>
    <t>B12</t>
  </si>
  <si>
    <t>B15</t>
  </si>
  <si>
    <t>B18</t>
  </si>
  <si>
    <t>T12</t>
  </si>
  <si>
    <t>T15</t>
  </si>
  <si>
    <t>T18</t>
  </si>
  <si>
    <t>Diff. Film 48.4mm DRDR8-12W Paper</t>
  </si>
  <si>
    <t>Diff. 48.5x1.5mm Prismatic DRDR8-12W</t>
  </si>
  <si>
    <t>Torsion Spring - L-49 W-18mm Coil D-1mm D-8 Black</t>
  </si>
  <si>
    <t>Spring Holding Clip L-37 W-25 T-0.70mm MS</t>
  </si>
  <si>
    <t>Conn. 2Pin Ass. Wire Black Male (Small)</t>
  </si>
  <si>
    <t>Sleeve M4mm Fiber Glass White</t>
  </si>
  <si>
    <t>Wire Clip-M3-MS</t>
  </si>
  <si>
    <t xml:space="preserve"> </t>
  </si>
  <si>
    <t>Rivet 1/8" x 1/4" MS (Big)</t>
  </si>
  <si>
    <t>Rivet 3/32" X 3/16" MS (Small)</t>
  </si>
  <si>
    <t>PBX - COB 8-15W</t>
  </si>
  <si>
    <t>SBX - COB 8-18W (12Nos)</t>
  </si>
  <si>
    <t>Down Lights Series</t>
  </si>
  <si>
    <t>12T-</t>
  </si>
  <si>
    <t>12I-</t>
  </si>
  <si>
    <t>12BT-</t>
  </si>
  <si>
    <t>12ID-</t>
  </si>
  <si>
    <t>12BTD-</t>
  </si>
  <si>
    <t>Color Temp</t>
  </si>
  <si>
    <t>Watt</t>
  </si>
  <si>
    <t>Round White Trim</t>
  </si>
  <si>
    <t>Flood - 77°</t>
  </si>
  <si>
    <t>6000K</t>
  </si>
  <si>
    <t>12 Watt</t>
  </si>
  <si>
    <t>5000K</t>
  </si>
  <si>
    <t>4000K</t>
  </si>
  <si>
    <t>3000K</t>
  </si>
  <si>
    <t>2700K</t>
  </si>
  <si>
    <t>Round Black Trim</t>
  </si>
  <si>
    <t>Round Two Color Trim</t>
  </si>
  <si>
    <t>SRDR12F60T</t>
  </si>
  <si>
    <t>TRIAC Dimming</t>
  </si>
  <si>
    <t>SRDR12F50T</t>
  </si>
  <si>
    <t>SRDR12F40T</t>
  </si>
  <si>
    <t>SRDR12F30T</t>
  </si>
  <si>
    <t>SRDR12F27T</t>
  </si>
  <si>
    <t>SRDB12F60T</t>
  </si>
  <si>
    <t>SRDB12F50T</t>
  </si>
  <si>
    <t>SRDB12F40T</t>
  </si>
  <si>
    <t>SRDB12F30T</t>
  </si>
  <si>
    <t>SRDB12F27T</t>
  </si>
  <si>
    <t>SRDT12F60T</t>
  </si>
  <si>
    <t>SRDT12F50T</t>
  </si>
  <si>
    <t>SRDT12F40T</t>
  </si>
  <si>
    <t>SRDT12F30T</t>
  </si>
  <si>
    <t>SRDT12F27T</t>
  </si>
  <si>
    <t>SRDR12F60I</t>
  </si>
  <si>
    <t>SRDR12F50I</t>
  </si>
  <si>
    <t>SRDR12F40I</t>
  </si>
  <si>
    <t>SRDR12F30I</t>
  </si>
  <si>
    <t>SRDR12F27I</t>
  </si>
  <si>
    <t>SRDB12F60I</t>
  </si>
  <si>
    <t>SRDB12F50I</t>
  </si>
  <si>
    <t>SRDB12F40I</t>
  </si>
  <si>
    <t>SRDB12F30I</t>
  </si>
  <si>
    <t>SRDB12F27I</t>
  </si>
  <si>
    <t>SRDT12F60I</t>
  </si>
  <si>
    <t>SRDT12F50I</t>
  </si>
  <si>
    <t>SRDT12F40I</t>
  </si>
  <si>
    <t>SRDT12F30I</t>
  </si>
  <si>
    <t>SRDT12F27I</t>
  </si>
  <si>
    <t>SRDR12F25ID</t>
  </si>
  <si>
    <t>2700k - 5000k Dali + Dual Color (Driving System)</t>
  </si>
  <si>
    <t>Dali + Dual Color (2700K - 5000K)</t>
  </si>
  <si>
    <t>SRDB12F25ID</t>
  </si>
  <si>
    <t>SRDT12F25ID</t>
  </si>
  <si>
    <t>SRDR12F60BT</t>
  </si>
  <si>
    <t>Bluetooth Dimming</t>
  </si>
  <si>
    <t>SRDR12F50BT</t>
  </si>
  <si>
    <t>SRDR12F40BT</t>
  </si>
  <si>
    <t>SRDR12F30BT</t>
  </si>
  <si>
    <t>SRDR12F27BT</t>
  </si>
  <si>
    <t>SRDB12F60BT</t>
  </si>
  <si>
    <t>SRDB12F50BT</t>
  </si>
  <si>
    <t>SRDB12F40BT</t>
  </si>
  <si>
    <t>SRDB12F30BT</t>
  </si>
  <si>
    <t>SRDB12F27BT</t>
  </si>
  <si>
    <t>SRDT12F60BT</t>
  </si>
  <si>
    <t>SRDT12F50BT</t>
  </si>
  <si>
    <t>SRDT12F40BT</t>
  </si>
  <si>
    <t>SRDT12F30BT</t>
  </si>
  <si>
    <t>SRDT12F27BT</t>
  </si>
  <si>
    <t>SRDR12F25BTD</t>
  </si>
  <si>
    <t>2700k - 5000k Bluetooth + Dual Color (Driving System)</t>
  </si>
  <si>
    <t>Bluetooth + Dual Color (2700K - 5000K)</t>
  </si>
  <si>
    <t>SRDB12F25BTD</t>
  </si>
  <si>
    <t>SRDT12F25BTD</t>
  </si>
  <si>
    <t>PS 12-20W 300mA 36-72V Maxic (PCB LT-MX-20W-V2)</t>
  </si>
  <si>
    <t>Electronics store</t>
  </si>
  <si>
    <t>27T-</t>
  </si>
  <si>
    <t>30T-</t>
  </si>
  <si>
    <t>40T-</t>
  </si>
  <si>
    <t>50T-</t>
  </si>
  <si>
    <t>60T-</t>
  </si>
  <si>
    <t>27I-</t>
  </si>
  <si>
    <t>30I-</t>
  </si>
  <si>
    <t>40I-</t>
  </si>
  <si>
    <t>50I-</t>
  </si>
  <si>
    <t>60I-</t>
  </si>
  <si>
    <t>27BT-</t>
  </si>
  <si>
    <t>30BT-</t>
  </si>
  <si>
    <t>40BT-</t>
  </si>
  <si>
    <t>50BT-</t>
  </si>
  <si>
    <t>60BT-</t>
  </si>
  <si>
    <t>25ID-</t>
  </si>
  <si>
    <t>25BTD-</t>
  </si>
  <si>
    <t>Screw M3X6mm CSK PH - SS</t>
  </si>
  <si>
    <t>Screw No. 4X6.5mm Self Pan Combi. PH - SS</t>
  </si>
  <si>
    <t>COB 30W 2700K 12LED 34-38V 890mA 19x19mm CRI-90</t>
  </si>
  <si>
    <t>COB 30-36W 3000K 12LED 34-38V 890mA 19x19mm CRI-90</t>
  </si>
  <si>
    <t>COB 30-36W 4000K 12LED 34-38V 890mA 19x19mm CRI-90</t>
  </si>
  <si>
    <t>COB 30-36W 5000K 12LED 34-38V 890mA 19x19mm CRI-90</t>
  </si>
  <si>
    <t>COB 30-36W 6000K 12LED 34-38V 890mA 19x19mm CRI-90</t>
  </si>
  <si>
    <t>LED COB Dual Colour 30W 2700K-5000k</t>
  </si>
  <si>
    <t>PS 12W 300mA 36V Triac Dimming</t>
  </si>
  <si>
    <t>Dali Driver SC-10W PE19DA4240  (AI-Dimming)-25-40V</t>
  </si>
  <si>
    <t>PS CCT 12W 250MA 36V BT-SC (PCB LT 7-20W-CCT-V 1.1 REV-1)</t>
  </si>
  <si>
    <t>Dali Driver DC-10W PE694R4230(AI-Dimming)-25-40V</t>
  </si>
  <si>
    <t>PS CCT 12W 250MA 36V BT-DC (PCB LT 7-20W-CCT-V 1.1 REV-1)</t>
  </si>
  <si>
    <t>Refl. 50014-W OD-50 LES ID -20.5 H-13.4mm  8-18W</t>
  </si>
  <si>
    <t>COB Holder 50014-W OD-35 ID-17 H-3.5mm 8-18W</t>
  </si>
  <si>
    <t>Unit Price</t>
  </si>
  <si>
    <t>USD</t>
  </si>
  <si>
    <t>INS&amp;FRED</t>
  </si>
  <si>
    <t>BCD</t>
  </si>
  <si>
    <t>Total Cost</t>
  </si>
  <si>
    <t>PS Rate Mention with Total Amt</t>
  </si>
  <si>
    <t>Rate</t>
  </si>
  <si>
    <t>SRDR12W-CC</t>
  </si>
  <si>
    <t>SRDR12W Track Dimming</t>
  </si>
  <si>
    <t>SRDR12W Dali Single Color</t>
  </si>
  <si>
    <t>SRDR12W BT Single Color</t>
  </si>
  <si>
    <t>SRDR12W  Dali Dual Color</t>
  </si>
  <si>
    <t>SRDR12W  BT Dual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</si>
</sst>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 &quot;Rs.&quot;\ * #,##0.00_ ;_ &quot;Rs.&quot;\ * \-#,##0.00_ ;_ &quot;Rs.&quot;\ * &quot;-&quot;??_ ;_ @_ "/>
    <numFmt numFmtId="164" formatCode="&quot;$&quot;#,##0.0000"/>
    <numFmt numFmtId="165" formatCode="_ [$Rs.-4009]\ * #,##0.00_ ;_ [$Rs.-4009]\ * \-#,##0.00_ ;_ [$Rs.-4009]\ * &quot;-&quot;??_ ;_ @_ "/>
    <numFmt numFmtId="166" formatCode="_-[$$-409]* #,##0.000_ ;_-[$$-409]* \-#,##0.000\ ;_-[$$-409]* &quot;-&quot;??_ ;_-@_ "/>
    <numFmt numFmtId="167" formatCode="_-[$Rs-420]* #,##0.00_-;_-[$Rs-420]* #,##0.00\-;_-[$Rs-420]* &quot;-&quot;??_-;_-@_-"/>
    <numFmt numFmtId="168" formatCode="&quot;$&quot;#,##0.000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0" fontId="17" fillId="0" borderId="0" applyNumberFormat="0" applyFill="0" applyBorder="0" applyAlignment="0" applyProtection="0"/>
    <xf numFmtId="0" fontId="4" fillId="0" borderId="0"/>
    <xf numFmtId="0" fontId="22" fillId="0" borderId="0"/>
    <xf numFmtId="0" fontId="4" fillId="0" borderId="0"/>
    <xf numFmtId="44" fontId="21" fillId="0" borderId="0" applyFont="0" applyFill="0" applyBorder="0" applyAlignment="0" applyProtection="0"/>
  </cellStyleXfs>
  <cellXfs count="149">
    <xf numFmtId="0" fontId="0" fillId="0" borderId="0" xfId="0"/>
    <xf numFmtId="0" fontId="7" fillId="0" borderId="0" xfId="0" applyFont="1"/>
    <xf numFmtId="0" fontId="8" fillId="2" borderId="0" xfId="0" applyFont="1" applyFill="1"/>
    <xf numFmtId="0" fontId="9" fillId="3" borderId="1" xfId="0" applyFont="1" applyFill="1" applyBorder="1" applyAlignment="1">
      <alignment horizontal="center" wrapText="1"/>
    </xf>
    <xf numFmtId="0" fontId="10" fillId="2" borderId="0" xfId="0" applyFont="1" applyFill="1"/>
    <xf numFmtId="0" fontId="0" fillId="2" borderId="0" xfId="0" applyFill="1"/>
    <xf numFmtId="0" fontId="9" fillId="4" borderId="1" xfId="0" applyFont="1" applyFill="1" applyBorder="1" applyAlignment="1">
      <alignment horizontal="left" vertical="top" wrapText="1"/>
    </xf>
    <xf numFmtId="0" fontId="9" fillId="4" borderId="2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wrapText="1"/>
    </xf>
    <xf numFmtId="0" fontId="11" fillId="2" borderId="4" xfId="0" applyFont="1" applyFill="1" applyBorder="1"/>
    <xf numFmtId="0" fontId="7" fillId="2" borderId="5" xfId="0" applyFont="1" applyFill="1" applyBorder="1"/>
    <xf numFmtId="0" fontId="9" fillId="0" borderId="6" xfId="0" applyFont="1" applyBorder="1" applyAlignment="1">
      <alignment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/>
    <xf numFmtId="0" fontId="12" fillId="2" borderId="7" xfId="0" applyFont="1" applyFill="1" applyBorder="1" applyAlignment="1">
      <alignment horizontal="left" indent="2"/>
    </xf>
    <xf numFmtId="0" fontId="7" fillId="2" borderId="0" xfId="0" applyFont="1" applyFill="1" applyAlignment="1">
      <alignment horizontal="left" indent="2"/>
    </xf>
    <xf numFmtId="0" fontId="7" fillId="0" borderId="1" xfId="0" applyFont="1" applyBorder="1" applyAlignment="1">
      <alignment horizontal="left" vertical="top" wrapText="1"/>
    </xf>
    <xf numFmtId="0" fontId="9" fillId="2" borderId="7" xfId="0" applyFont="1" applyFill="1" applyBorder="1" applyAlignment="1">
      <alignment horizontal="left" indent="2"/>
    </xf>
    <xf numFmtId="0" fontId="7" fillId="2" borderId="7" xfId="0" applyFont="1" applyFill="1" applyBorder="1" applyAlignment="1">
      <alignment horizontal="left" indent="2"/>
    </xf>
    <xf numFmtId="0" fontId="13" fillId="2" borderId="7" xfId="0" applyFont="1" applyFill="1" applyBorder="1" applyAlignment="1">
      <alignment horizontal="left" indent="2"/>
    </xf>
    <xf numFmtId="0" fontId="13" fillId="2" borderId="0" xfId="0" applyFont="1" applyFill="1" applyAlignment="1">
      <alignment horizontal="left" indent="2"/>
    </xf>
    <xf numFmtId="0" fontId="13" fillId="2" borderId="7" xfId="0" applyFont="1" applyFill="1" applyBorder="1" applyAlignment="1">
      <alignment horizontal="left" indent="3"/>
    </xf>
    <xf numFmtId="0" fontId="14" fillId="2" borderId="7" xfId="0" applyFont="1" applyFill="1" applyBorder="1" applyAlignment="1">
      <alignment horizontal="left" indent="3"/>
    </xf>
    <xf numFmtId="0" fontId="15" fillId="2" borderId="0" xfId="0" applyFont="1" applyFill="1" applyAlignment="1">
      <alignment horizontal="left" indent="3"/>
    </xf>
    <xf numFmtId="0" fontId="16" fillId="0" borderId="3" xfId="0" applyFont="1" applyBorder="1" applyAlignment="1">
      <alignment wrapText="1"/>
    </xf>
    <xf numFmtId="0" fontId="7" fillId="2" borderId="7" xfId="0" applyFont="1" applyFill="1" applyBorder="1"/>
    <xf numFmtId="0" fontId="7" fillId="2" borderId="8" xfId="0" applyFont="1" applyFill="1" applyBorder="1"/>
    <xf numFmtId="0" fontId="7" fillId="2" borderId="9" xfId="0" applyFont="1" applyFill="1" applyBorder="1"/>
    <xf numFmtId="0" fontId="12" fillId="2" borderId="0" xfId="0" applyFont="1" applyFill="1"/>
    <xf numFmtId="0" fontId="9" fillId="2" borderId="0" xfId="0" applyFont="1" applyFill="1"/>
    <xf numFmtId="0" fontId="9" fillId="4" borderId="2" xfId="0" applyFont="1" applyFill="1" applyBorder="1" applyAlignment="1">
      <alignment horizontal="left" vertical="top" wrapText="1"/>
    </xf>
    <xf numFmtId="0" fontId="9" fillId="4" borderId="3" xfId="0" applyFont="1" applyFill="1" applyBorder="1" applyAlignment="1">
      <alignment horizontal="left" vertical="top" wrapText="1"/>
    </xf>
    <xf numFmtId="0" fontId="13" fillId="2" borderId="0" xfId="0" applyFont="1" applyFill="1" applyAlignment="1">
      <alignment wrapText="1"/>
    </xf>
    <xf numFmtId="0" fontId="13" fillId="2" borderId="0" xfId="0" applyFont="1" applyFill="1" applyAlignment="1">
      <alignment horizontal="left"/>
    </xf>
    <xf numFmtId="0" fontId="13" fillId="2" borderId="0" xfId="0" applyFont="1" applyFill="1" applyAlignment="1">
      <alignment horizontal="left" indent="1"/>
    </xf>
    <xf numFmtId="0" fontId="15" fillId="2" borderId="0" xfId="0" applyFont="1" applyFill="1" applyAlignment="1">
      <alignment horizontal="left" indent="1"/>
    </xf>
    <xf numFmtId="0" fontId="7" fillId="0" borderId="3" xfId="0" applyFont="1" applyBorder="1" applyAlignment="1">
      <alignment wrapText="1"/>
    </xf>
    <xf numFmtId="0" fontId="11" fillId="2" borderId="5" xfId="0" applyFont="1" applyFill="1" applyBorder="1"/>
    <xf numFmtId="0" fontId="17" fillId="2" borderId="0" xfId="1" applyFill="1" applyBorder="1" applyAlignment="1"/>
    <xf numFmtId="0" fontId="17" fillId="2" borderId="0" xfId="1" applyFill="1" applyBorder="1"/>
    <xf numFmtId="0" fontId="11" fillId="2" borderId="10" xfId="0" applyFont="1" applyFill="1" applyBorder="1"/>
    <xf numFmtId="0" fontId="7" fillId="2" borderId="11" xfId="0" applyFont="1" applyFill="1" applyBorder="1" applyAlignment="1">
      <alignment horizontal="left" indent="2"/>
    </xf>
    <xf numFmtId="0" fontId="13" fillId="2" borderId="11" xfId="0" applyFont="1" applyFill="1" applyBorder="1" applyAlignment="1">
      <alignment horizontal="left" indent="2"/>
    </xf>
    <xf numFmtId="0" fontId="7" fillId="2" borderId="11" xfId="0" applyFont="1" applyFill="1" applyBorder="1"/>
    <xf numFmtId="0" fontId="7" fillId="2" borderId="12" xfId="0" applyFont="1" applyFill="1" applyBorder="1"/>
    <xf numFmtId="0" fontId="8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18" fillId="5" borderId="1" xfId="0" applyFont="1" applyFill="1" applyBorder="1" applyAlignment="1">
      <alignment horizontal="center" vertical="center"/>
    </xf>
    <xf numFmtId="0" fontId="0" fillId="0" borderId="1" xfId="0" applyBorder="1"/>
    <xf numFmtId="0" fontId="20" fillId="6" borderId="1" xfId="0" applyFont="1" applyFill="1" applyBorder="1"/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20" fillId="6" borderId="1" xfId="0" applyFont="1" applyFill="1" applyBorder="1" applyAlignment="1">
      <alignment wrapText="1"/>
    </xf>
    <xf numFmtId="0" fontId="6" fillId="7" borderId="1" xfId="0" applyFont="1" applyFill="1" applyBorder="1" applyAlignment="1">
      <alignment wrapText="1"/>
    </xf>
    <xf numFmtId="0" fontId="6" fillId="7" borderId="1" xfId="0" applyFont="1" applyFill="1" applyBorder="1"/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8" borderId="14" xfId="0" applyFill="1" applyBorder="1" applyAlignment="1">
      <alignment wrapText="1"/>
    </xf>
    <xf numFmtId="0" fontId="5" fillId="7" borderId="1" xfId="0" applyFont="1" applyFill="1" applyBorder="1" applyAlignment="1">
      <alignment wrapText="1"/>
    </xf>
    <xf numFmtId="0" fontId="4" fillId="0" borderId="1" xfId="0" applyFont="1" applyBorder="1"/>
    <xf numFmtId="0" fontId="4" fillId="7" borderId="1" xfId="0" applyFont="1" applyFill="1" applyBorder="1"/>
    <xf numFmtId="0" fontId="4" fillId="7" borderId="15" xfId="0" applyFont="1" applyFill="1" applyBorder="1"/>
    <xf numFmtId="0" fontId="0" fillId="9" borderId="0" xfId="0" applyFill="1" applyAlignment="1">
      <alignment wrapText="1"/>
    </xf>
    <xf numFmtId="0" fontId="0" fillId="9" borderId="0" xfId="0" applyFill="1"/>
    <xf numFmtId="0" fontId="0" fillId="0" borderId="14" xfId="0" applyBorder="1"/>
    <xf numFmtId="0" fontId="0" fillId="6" borderId="1" xfId="0" applyFill="1" applyBorder="1"/>
    <xf numFmtId="0" fontId="21" fillId="0" borderId="0" xfId="0" applyFont="1"/>
    <xf numFmtId="0" fontId="0" fillId="0" borderId="6" xfId="0" applyBorder="1"/>
    <xf numFmtId="0" fontId="0" fillId="0" borderId="16" xfId="0" applyBorder="1"/>
    <xf numFmtId="0" fontId="0" fillId="2" borderId="1" xfId="0" applyFill="1" applyBorder="1"/>
    <xf numFmtId="0" fontId="0" fillId="9" borderId="1" xfId="0" applyFill="1" applyBorder="1"/>
    <xf numFmtId="0" fontId="0" fillId="0" borderId="1" xfId="0" applyBorder="1" applyAlignment="1">
      <alignment horizontal="center"/>
    </xf>
    <xf numFmtId="0" fontId="4" fillId="0" borderId="1" xfId="2" applyBorder="1"/>
    <xf numFmtId="0" fontId="4" fillId="0" borderId="14" xfId="2" applyBorder="1"/>
    <xf numFmtId="0" fontId="4" fillId="0" borderId="2" xfId="0" applyFont="1" applyBorder="1"/>
    <xf numFmtId="0" fontId="4" fillId="0" borderId="14" xfId="2" applyBorder="1" applyAlignment="1">
      <alignment horizontal="left"/>
    </xf>
    <xf numFmtId="0" fontId="4" fillId="9" borderId="1" xfId="0" applyFont="1" applyFill="1" applyBorder="1"/>
    <xf numFmtId="0" fontId="22" fillId="0" borderId="0" xfId="3"/>
    <xf numFmtId="0" fontId="22" fillId="11" borderId="1" xfId="3" applyFill="1" applyBorder="1"/>
    <xf numFmtId="0" fontId="22" fillId="12" borderId="1" xfId="3" applyFill="1" applyBorder="1"/>
    <xf numFmtId="0" fontId="0" fillId="11" borderId="1" xfId="0" applyFill="1" applyBorder="1"/>
    <xf numFmtId="0" fontId="4" fillId="0" borderId="6" xfId="0" applyFont="1" applyBorder="1"/>
    <xf numFmtId="0" fontId="4" fillId="0" borderId="16" xfId="0" applyFont="1" applyBorder="1"/>
    <xf numFmtId="0" fontId="4" fillId="0" borderId="14" xfId="0" applyFont="1" applyBorder="1"/>
    <xf numFmtId="49" fontId="4" fillId="0" borderId="14" xfId="4" applyNumberFormat="1" applyBorder="1" applyAlignment="1">
      <alignment horizontal="left"/>
    </xf>
    <xf numFmtId="0" fontId="4" fillId="0" borderId="1" xfId="4" applyBorder="1" applyAlignment="1">
      <alignment horizontal="left"/>
    </xf>
    <xf numFmtId="0" fontId="22" fillId="12" borderId="1" xfId="3" applyFill="1" applyBorder="1" applyAlignment="1">
      <alignment horizontal="center"/>
    </xf>
    <xf numFmtId="0" fontId="4" fillId="11" borderId="1" xfId="0" applyFont="1" applyFill="1" applyBorder="1"/>
    <xf numFmtId="0" fontId="22" fillId="10" borderId="1" xfId="3" applyFill="1" applyBorder="1"/>
    <xf numFmtId="0" fontId="22" fillId="10" borderId="2" xfId="3" applyFill="1" applyBorder="1"/>
    <xf numFmtId="0" fontId="22" fillId="10" borderId="14" xfId="3" applyFill="1" applyBorder="1"/>
    <xf numFmtId="0" fontId="3" fillId="0" borderId="1" xfId="4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11" borderId="1" xfId="0" applyFill="1" applyBorder="1" applyAlignment="1">
      <alignment horizontal="left"/>
    </xf>
    <xf numFmtId="0" fontId="4" fillId="0" borderId="2" xfId="2" applyBorder="1"/>
    <xf numFmtId="0" fontId="4" fillId="0" borderId="0" xfId="2"/>
    <xf numFmtId="0" fontId="3" fillId="0" borderId="2" xfId="2" applyFont="1" applyBorder="1"/>
    <xf numFmtId="0" fontId="3" fillId="0" borderId="1" xfId="0" applyFont="1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2" xfId="0" applyBorder="1"/>
    <xf numFmtId="0" fontId="4" fillId="0" borderId="13" xfId="2" applyBorder="1"/>
    <xf numFmtId="0" fontId="0" fillId="0" borderId="1" xfId="0" applyFont="1" applyBorder="1"/>
    <xf numFmtId="0" fontId="23" fillId="0" borderId="1" xfId="0" applyNumberFormat="1" applyFont="1" applyBorder="1" applyAlignment="1">
      <alignment horizontal="center" vertical="center" wrapText="1"/>
    </xf>
    <xf numFmtId="164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166" fontId="24" fillId="0" borderId="1" xfId="5" applyNumberFormat="1" applyFont="1" applyBorder="1" applyAlignment="1">
      <alignment horizontal="center" vertical="center"/>
    </xf>
    <xf numFmtId="9" fontId="24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164" fontId="25" fillId="0" borderId="1" xfId="0" applyNumberFormat="1" applyFont="1" applyBorder="1" applyAlignment="1">
      <alignment horizontal="center" vertical="center"/>
    </xf>
    <xf numFmtId="0" fontId="24" fillId="0" borderId="0" xfId="0" applyFont="1" applyBorder="1"/>
    <xf numFmtId="0" fontId="24" fillId="0" borderId="0" xfId="0" applyFont="1"/>
    <xf numFmtId="165" fontId="26" fillId="6" borderId="17" xfId="0" applyNumberFormat="1" applyFont="1" applyFill="1" applyBorder="1" applyAlignment="1">
      <alignment horizontal="center" vertical="center"/>
    </xf>
    <xf numFmtId="165" fontId="24" fillId="0" borderId="1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67" fontId="23" fillId="13" borderId="1" xfId="0" applyNumberFormat="1" applyFont="1" applyFill="1" applyBorder="1" applyAlignment="1">
      <alignment horizontal="center" vertical="center"/>
    </xf>
    <xf numFmtId="167" fontId="20" fillId="13" borderId="1" xfId="0" applyNumberFormat="1" applyFont="1" applyFill="1" applyBorder="1" applyAlignment="1">
      <alignment horizontal="right" vertical="center"/>
    </xf>
    <xf numFmtId="168" fontId="25" fillId="0" borderId="0" xfId="0" applyNumberFormat="1" applyFont="1" applyBorder="1" applyAlignment="1">
      <alignment horizontal="right" vertical="center"/>
    </xf>
    <xf numFmtId="9" fontId="25" fillId="0" borderId="0" xfId="0" applyNumberFormat="1" applyFont="1" applyBorder="1" applyAlignment="1">
      <alignment horizontal="right" vertical="center"/>
    </xf>
    <xf numFmtId="164" fontId="25" fillId="0" borderId="0" xfId="0" applyNumberFormat="1" applyFont="1" applyBorder="1" applyAlignment="1">
      <alignment horizontal="right" vertical="center"/>
    </xf>
    <xf numFmtId="0" fontId="20" fillId="0" borderId="0" xfId="0" applyFont="1" applyAlignment="1">
      <alignment horizontal="center"/>
    </xf>
    <xf numFmtId="0" fontId="1" fillId="0" borderId="1" xfId="0" applyFont="1" applyBorder="1"/>
    <xf numFmtId="167" fontId="24" fillId="0" borderId="1" xfId="0" applyNumberFormat="1" applyFont="1" applyFill="1" applyBorder="1" applyAlignment="1">
      <alignment vertical="center"/>
    </xf>
    <xf numFmtId="0" fontId="20" fillId="8" borderId="2" xfId="0" applyFont="1" applyFill="1" applyBorder="1" applyAlignment="1">
      <alignment horizontal="right" vertical="center"/>
    </xf>
    <xf numFmtId="0" fontId="20" fillId="8" borderId="14" xfId="0" applyFont="1" applyFill="1" applyBorder="1" applyAlignment="1">
      <alignment horizontal="right" vertical="center"/>
    </xf>
    <xf numFmtId="0" fontId="0" fillId="0" borderId="18" xfId="0" applyBorder="1" applyAlignment="1">
      <alignment horizontal="center"/>
    </xf>
    <xf numFmtId="164" fontId="25" fillId="0" borderId="19" xfId="0" applyNumberFormat="1" applyFont="1" applyBorder="1" applyAlignment="1">
      <alignment horizontal="center" vertical="center"/>
    </xf>
    <xf numFmtId="164" fontId="25" fillId="0" borderId="6" xfId="0" applyNumberFormat="1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9" fontId="24" fillId="0" borderId="19" xfId="0" applyNumberFormat="1" applyFont="1" applyBorder="1" applyAlignment="1">
      <alignment horizontal="center" vertical="center"/>
    </xf>
    <xf numFmtId="9" fontId="24" fillId="0" borderId="6" xfId="0" applyNumberFormat="1" applyFont="1" applyBorder="1" applyAlignment="1">
      <alignment horizontal="center" vertical="center"/>
    </xf>
    <xf numFmtId="165" fontId="24" fillId="0" borderId="19" xfId="0" applyNumberFormat="1" applyFont="1" applyBorder="1" applyAlignment="1">
      <alignment horizontal="center" vertical="center"/>
    </xf>
    <xf numFmtId="165" fontId="24" fillId="0" borderId="6" xfId="0" applyNumberFormat="1" applyFont="1" applyBorder="1" applyAlignment="1">
      <alignment horizontal="center" vertical="center"/>
    </xf>
    <xf numFmtId="166" fontId="24" fillId="0" borderId="19" xfId="5" applyNumberFormat="1" applyFont="1" applyBorder="1" applyAlignment="1">
      <alignment horizontal="center" vertical="center"/>
    </xf>
    <xf numFmtId="166" fontId="24" fillId="0" borderId="6" xfId="5" applyNumberFormat="1" applyFont="1" applyBorder="1" applyAlignment="1">
      <alignment horizontal="center" vertical="center"/>
    </xf>
    <xf numFmtId="0" fontId="13" fillId="2" borderId="0" xfId="0" applyFont="1" applyFill="1" applyAlignment="1">
      <alignment horizontal="left" wrapText="1"/>
    </xf>
    <xf numFmtId="0" fontId="13" fillId="2" borderId="7" xfId="0" applyFont="1" applyFill="1" applyBorder="1" applyAlignment="1">
      <alignment horizontal="left" wrapText="1" indent="2"/>
    </xf>
    <xf numFmtId="0" fontId="13" fillId="2" borderId="0" xfId="0" applyFont="1" applyFill="1" applyAlignment="1">
      <alignment horizontal="left" wrapText="1" indent="2"/>
    </xf>
    <xf numFmtId="0" fontId="13" fillId="2" borderId="11" xfId="0" applyFont="1" applyFill="1" applyBorder="1" applyAlignment="1">
      <alignment horizontal="left" wrapText="1" indent="2"/>
    </xf>
    <xf numFmtId="0" fontId="20" fillId="0" borderId="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6">
    <cellStyle name="Currency" xfId="5" builtinId="4"/>
    <cellStyle name="Hyperlink 2" xfId="1"/>
    <cellStyle name="Normal" xfId="0" builtinId="0"/>
    <cellStyle name="Normal 2" xfId="2"/>
    <cellStyle name="Normal 2 2" xfId="3"/>
    <cellStyle name="Normal 3" xfId="4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asad%20BOM/SRDR-BOM%20-%20DONE-/SRDR12-15-18W-%20BOM-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ck Item"/>
      <sheetName val="SRD12-15-18W-DATA"/>
      <sheetName val="Stock Item (Read Me)"/>
      <sheetName val="SRDR12-15-18W-SKU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topLeftCell="G9" zoomScale="96" zoomScaleNormal="96" workbookViewId="0">
      <selection activeCell="K24" sqref="K24:L24"/>
    </sheetView>
  </sheetViews>
  <sheetFormatPr defaultColWidth="9" defaultRowHeight="15"/>
  <cols>
    <col min="1" max="1" width="34.7109375" customWidth="1"/>
    <col min="2" max="2" width="22.28515625" customWidth="1"/>
    <col min="3" max="3" width="8.28515625" customWidth="1"/>
    <col min="4" max="4" width="21.5703125" customWidth="1"/>
    <col min="5" max="5" width="20.42578125" style="47" customWidth="1"/>
    <col min="6" max="6" width="50.85546875" customWidth="1"/>
    <col min="7" max="7" width="28" style="47" customWidth="1"/>
    <col min="8" max="8" width="27.7109375" hidden="1" customWidth="1"/>
    <col min="9" max="9" width="31.85546875" hidden="1" customWidth="1"/>
    <col min="10" max="10" width="27.7109375" hidden="1" customWidth="1"/>
    <col min="11" max="11" width="27.7109375" customWidth="1"/>
    <col min="12" max="13" width="12" customWidth="1"/>
    <col min="15" max="15" width="11.42578125" customWidth="1"/>
    <col min="17" max="17" width="10" customWidth="1"/>
  </cols>
  <sheetData>
    <row r="1" spans="1:18" s="47" customForma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7</v>
      </c>
      <c r="K1" s="48" t="s">
        <v>8</v>
      </c>
      <c r="L1" s="106" t="s">
        <v>363</v>
      </c>
      <c r="M1" s="106" t="s">
        <v>194</v>
      </c>
      <c r="N1" s="107" t="s">
        <v>364</v>
      </c>
      <c r="O1" s="108" t="s">
        <v>365</v>
      </c>
      <c r="P1" s="109" t="s">
        <v>366</v>
      </c>
      <c r="Q1" s="107" t="s">
        <v>367</v>
      </c>
    </row>
    <row r="2" spans="1:18">
      <c r="A2" s="49" t="str">
        <f>$D$2</f>
        <v>SRDR12F30T</v>
      </c>
      <c r="B2" s="60" t="s">
        <v>254</v>
      </c>
      <c r="C2" s="49" t="s">
        <v>190</v>
      </c>
      <c r="D2" s="87" t="s">
        <v>276</v>
      </c>
      <c r="E2" s="93">
        <v>1</v>
      </c>
      <c r="F2" s="81" t="str">
        <f>'Backend data'!C6</f>
        <v>Trim-O-85  I-51 H-50mm White SRD-12/15/18W</v>
      </c>
      <c r="G2" s="93">
        <v>1</v>
      </c>
      <c r="H2" s="49" t="s">
        <v>189</v>
      </c>
      <c r="I2" s="49" t="s">
        <v>9</v>
      </c>
      <c r="J2" s="49"/>
      <c r="K2" s="49"/>
      <c r="L2" s="117">
        <v>7</v>
      </c>
      <c r="M2" s="117">
        <f>G2*L2</f>
        <v>7</v>
      </c>
      <c r="N2" s="110"/>
      <c r="O2" s="111"/>
      <c r="P2" s="112"/>
      <c r="Q2" s="113"/>
    </row>
    <row r="3" spans="1:18">
      <c r="A3" s="49"/>
      <c r="B3" s="49"/>
      <c r="C3" s="49"/>
      <c r="D3" s="72"/>
      <c r="E3" s="93"/>
      <c r="F3" s="88" t="str">
        <f>'Backend data'!D6</f>
        <v>HS 50x34.5mm (SR-DR-NR-12W)</v>
      </c>
      <c r="G3" s="93">
        <v>1</v>
      </c>
      <c r="H3" s="49" t="s">
        <v>189</v>
      </c>
      <c r="I3" s="49" t="s">
        <v>9</v>
      </c>
      <c r="J3" s="49"/>
      <c r="K3" s="49"/>
      <c r="L3" s="117">
        <f t="shared" ref="L3:L21" si="0">Q3*87</f>
        <v>60.291000000000004</v>
      </c>
      <c r="M3" s="117">
        <f t="shared" ref="M3:M21" si="1">G3*L3</f>
        <v>60.291000000000004</v>
      </c>
      <c r="N3" s="110">
        <v>0.46200000000000002</v>
      </c>
      <c r="O3" s="111">
        <v>0.5</v>
      </c>
      <c r="P3" s="112"/>
      <c r="Q3" s="113">
        <f t="shared" ref="Q3:Q20" si="2">N3+(N3*(O3+P3))</f>
        <v>0.69300000000000006</v>
      </c>
    </row>
    <row r="4" spans="1:18">
      <c r="A4" s="49"/>
      <c r="B4" s="49"/>
      <c r="C4" s="49"/>
      <c r="D4" s="72"/>
      <c r="E4" s="93"/>
      <c r="F4" s="49" t="s">
        <v>361</v>
      </c>
      <c r="G4" s="93">
        <v>1</v>
      </c>
      <c r="H4" s="49" t="s">
        <v>189</v>
      </c>
      <c r="I4" s="49" t="s">
        <v>9</v>
      </c>
      <c r="J4" s="49"/>
      <c r="K4" s="49"/>
      <c r="L4" s="136">
        <f t="shared" si="0"/>
        <v>7.4385000000000003</v>
      </c>
      <c r="M4" s="136">
        <f t="shared" si="1"/>
        <v>7.4385000000000003</v>
      </c>
      <c r="N4" s="138">
        <v>5.7000000000000002E-2</v>
      </c>
      <c r="O4" s="134">
        <v>0.5</v>
      </c>
      <c r="P4" s="132"/>
      <c r="Q4" s="130">
        <f t="shared" si="2"/>
        <v>8.5500000000000007E-2</v>
      </c>
      <c r="R4" s="129"/>
    </row>
    <row r="5" spans="1:18">
      <c r="A5" s="49"/>
      <c r="B5" s="49"/>
      <c r="C5" s="49"/>
      <c r="D5" s="101"/>
      <c r="E5" s="101"/>
      <c r="F5" s="49" t="s">
        <v>362</v>
      </c>
      <c r="G5" s="101">
        <v>1</v>
      </c>
      <c r="H5" s="49" t="s">
        <v>189</v>
      </c>
      <c r="I5" s="49" t="s">
        <v>9</v>
      </c>
      <c r="J5" s="49"/>
      <c r="K5" s="49"/>
      <c r="L5" s="137"/>
      <c r="M5" s="137"/>
      <c r="N5" s="139"/>
      <c r="O5" s="135"/>
      <c r="P5" s="133"/>
      <c r="Q5" s="131"/>
      <c r="R5" s="129"/>
    </row>
    <row r="6" spans="1:18">
      <c r="A6" s="49"/>
      <c r="B6" s="49"/>
      <c r="C6" s="49"/>
      <c r="D6" s="72"/>
      <c r="E6" s="93"/>
      <c r="F6" s="125" t="s">
        <v>242</v>
      </c>
      <c r="G6" s="93">
        <v>1</v>
      </c>
      <c r="H6" s="49" t="s">
        <v>189</v>
      </c>
      <c r="I6" s="49" t="s">
        <v>9</v>
      </c>
      <c r="J6" s="49"/>
      <c r="K6" s="49"/>
      <c r="L6" s="136">
        <f t="shared" si="0"/>
        <v>5.4809999999999999</v>
      </c>
      <c r="M6" s="136">
        <f t="shared" si="1"/>
        <v>5.4809999999999999</v>
      </c>
      <c r="N6" s="138">
        <v>4.2000000000000003E-2</v>
      </c>
      <c r="O6" s="134">
        <v>0.5</v>
      </c>
      <c r="P6" s="132"/>
      <c r="Q6" s="130">
        <f t="shared" si="2"/>
        <v>6.3E-2</v>
      </c>
      <c r="R6" s="129"/>
    </row>
    <row r="7" spans="1:18">
      <c r="A7" s="49"/>
      <c r="B7" s="49"/>
      <c r="C7" s="49"/>
      <c r="D7" s="72"/>
      <c r="E7" s="93"/>
      <c r="F7" s="60" t="s">
        <v>243</v>
      </c>
      <c r="G7" s="93">
        <v>1</v>
      </c>
      <c r="H7" s="49" t="s">
        <v>189</v>
      </c>
      <c r="I7" s="49" t="s">
        <v>9</v>
      </c>
      <c r="J7" s="49"/>
      <c r="K7" s="49"/>
      <c r="L7" s="137"/>
      <c r="M7" s="137"/>
      <c r="N7" s="139"/>
      <c r="O7" s="135"/>
      <c r="P7" s="133"/>
      <c r="Q7" s="131"/>
      <c r="R7" s="129"/>
    </row>
    <row r="8" spans="1:18">
      <c r="A8" s="49"/>
      <c r="B8" s="49"/>
      <c r="C8" s="49"/>
      <c r="D8" s="72"/>
      <c r="E8" s="93"/>
      <c r="F8" s="60" t="s">
        <v>244</v>
      </c>
      <c r="G8" s="93">
        <v>2</v>
      </c>
      <c r="H8" s="49" t="s">
        <v>189</v>
      </c>
      <c r="I8" s="49" t="s">
        <v>9</v>
      </c>
      <c r="J8" s="49"/>
      <c r="K8" s="49"/>
      <c r="L8" s="117">
        <f t="shared" si="0"/>
        <v>1.044</v>
      </c>
      <c r="M8" s="117">
        <f t="shared" si="1"/>
        <v>2.0880000000000001</v>
      </c>
      <c r="N8" s="110">
        <v>8.0000000000000002E-3</v>
      </c>
      <c r="O8" s="111">
        <v>0.5</v>
      </c>
      <c r="P8" s="112"/>
      <c r="Q8" s="113">
        <f t="shared" si="2"/>
        <v>1.2E-2</v>
      </c>
    </row>
    <row r="9" spans="1:18">
      <c r="A9" s="49"/>
      <c r="B9" s="49"/>
      <c r="C9" s="49"/>
      <c r="D9" s="72"/>
      <c r="E9" s="93"/>
      <c r="F9" s="60" t="s">
        <v>245</v>
      </c>
      <c r="G9" s="93">
        <v>2</v>
      </c>
      <c r="H9" s="49" t="s">
        <v>189</v>
      </c>
      <c r="I9" s="49" t="s">
        <v>9</v>
      </c>
      <c r="J9" s="49"/>
      <c r="K9" s="49"/>
      <c r="L9" s="117">
        <v>2</v>
      </c>
      <c r="M9" s="117">
        <f t="shared" si="1"/>
        <v>4</v>
      </c>
      <c r="N9" s="110"/>
      <c r="O9" s="111"/>
      <c r="P9" s="112"/>
      <c r="Q9" s="113"/>
    </row>
    <row r="10" spans="1:18">
      <c r="A10" s="49"/>
      <c r="B10" s="49"/>
      <c r="C10" s="49"/>
      <c r="D10" s="72"/>
      <c r="E10" s="93"/>
      <c r="F10" s="77" t="s">
        <v>252</v>
      </c>
      <c r="G10" s="93">
        <v>1</v>
      </c>
      <c r="H10" s="49" t="s">
        <v>189</v>
      </c>
      <c r="I10" s="49" t="s">
        <v>9</v>
      </c>
      <c r="J10" s="49"/>
      <c r="K10" s="49"/>
      <c r="L10" s="117">
        <v>8.5</v>
      </c>
      <c r="M10" s="117">
        <f t="shared" si="1"/>
        <v>8.5</v>
      </c>
      <c r="N10" s="110"/>
      <c r="O10" s="111"/>
      <c r="P10" s="112"/>
      <c r="Q10" s="113"/>
    </row>
    <row r="11" spans="1:18">
      <c r="A11" s="49"/>
      <c r="B11" s="49"/>
      <c r="C11" s="49"/>
      <c r="D11" s="72"/>
      <c r="E11" s="93"/>
      <c r="F11" s="71" t="s">
        <v>253</v>
      </c>
      <c r="G11" s="93">
        <v>0.08</v>
      </c>
      <c r="H11" s="49" t="s">
        <v>189</v>
      </c>
      <c r="I11" s="49" t="s">
        <v>9</v>
      </c>
      <c r="J11" s="49"/>
      <c r="K11" s="49"/>
      <c r="L11" s="117">
        <v>27</v>
      </c>
      <c r="M11" s="117">
        <f t="shared" si="1"/>
        <v>2.16</v>
      </c>
      <c r="N11" s="110"/>
      <c r="O11" s="111"/>
      <c r="P11" s="112"/>
      <c r="Q11" s="113"/>
    </row>
    <row r="12" spans="1:18">
      <c r="A12" s="49"/>
      <c r="B12" s="49"/>
      <c r="C12" s="49"/>
      <c r="D12" s="72"/>
      <c r="E12" s="93"/>
      <c r="F12" s="49" t="s">
        <v>246</v>
      </c>
      <c r="G12" s="93">
        <v>1</v>
      </c>
      <c r="H12" s="49" t="s">
        <v>189</v>
      </c>
      <c r="I12" s="49" t="s">
        <v>9</v>
      </c>
      <c r="J12" s="49"/>
      <c r="K12" s="49"/>
      <c r="L12" s="117">
        <f t="shared" si="0"/>
        <v>3.915</v>
      </c>
      <c r="M12" s="117">
        <f t="shared" si="1"/>
        <v>3.915</v>
      </c>
      <c r="N12" s="110">
        <v>0.03</v>
      </c>
      <c r="O12" s="111">
        <v>0.5</v>
      </c>
      <c r="P12" s="112"/>
      <c r="Q12" s="113">
        <f t="shared" si="2"/>
        <v>4.4999999999999998E-2</v>
      </c>
    </row>
    <row r="13" spans="1:18">
      <c r="A13" s="49"/>
      <c r="B13" s="49"/>
      <c r="C13" s="49"/>
      <c r="D13" s="72"/>
      <c r="E13" s="93"/>
      <c r="F13" s="49" t="s">
        <v>247</v>
      </c>
      <c r="G13" s="93">
        <v>0.12</v>
      </c>
      <c r="H13" s="49" t="s">
        <v>189</v>
      </c>
      <c r="I13" s="49" t="s">
        <v>9</v>
      </c>
      <c r="J13" s="49"/>
      <c r="K13" s="49"/>
      <c r="L13" s="126">
        <f>5.7/1000*120</f>
        <v>0.68400000000000005</v>
      </c>
      <c r="M13" s="117">
        <f t="shared" si="1"/>
        <v>8.208E-2</v>
      </c>
      <c r="N13" s="110"/>
      <c r="O13" s="111"/>
      <c r="P13" s="112"/>
      <c r="Q13" s="113"/>
    </row>
    <row r="14" spans="1:18">
      <c r="A14" s="49"/>
      <c r="B14" s="49"/>
      <c r="C14" s="49"/>
      <c r="D14" s="72" t="s">
        <v>249</v>
      </c>
      <c r="E14" s="93"/>
      <c r="F14" s="49" t="s">
        <v>248</v>
      </c>
      <c r="G14" s="93">
        <v>1</v>
      </c>
      <c r="H14" s="49" t="s">
        <v>189</v>
      </c>
      <c r="I14" s="49" t="s">
        <v>9</v>
      </c>
      <c r="J14" s="49"/>
      <c r="K14" s="49"/>
      <c r="L14" s="117">
        <v>0.6</v>
      </c>
      <c r="M14" s="117">
        <f t="shared" si="1"/>
        <v>0.6</v>
      </c>
      <c r="N14" s="110"/>
      <c r="O14" s="111"/>
      <c r="P14" s="112"/>
      <c r="Q14" s="113"/>
    </row>
    <row r="15" spans="1:18">
      <c r="A15" s="49"/>
      <c r="B15" s="49"/>
      <c r="C15" s="49"/>
      <c r="D15" s="72"/>
      <c r="E15" s="93"/>
      <c r="F15" s="100" t="s">
        <v>349</v>
      </c>
      <c r="G15" s="93">
        <v>1</v>
      </c>
      <c r="H15" s="49" t="s">
        <v>189</v>
      </c>
      <c r="I15" s="49" t="s">
        <v>9</v>
      </c>
      <c r="J15" s="49"/>
      <c r="K15" s="49"/>
      <c r="L15" s="117">
        <v>0.21</v>
      </c>
      <c r="M15" s="117">
        <f t="shared" si="1"/>
        <v>0.21</v>
      </c>
      <c r="N15" s="110"/>
      <c r="O15" s="111"/>
      <c r="P15" s="112"/>
      <c r="Q15" s="113"/>
    </row>
    <row r="16" spans="1:18">
      <c r="A16" s="49"/>
      <c r="B16" s="49"/>
      <c r="C16" s="49"/>
      <c r="D16" s="72"/>
      <c r="E16" s="93"/>
      <c r="F16" s="102" t="s">
        <v>348</v>
      </c>
      <c r="G16" s="93">
        <v>2</v>
      </c>
      <c r="H16" s="49" t="s">
        <v>189</v>
      </c>
      <c r="I16" s="49" t="s">
        <v>9</v>
      </c>
      <c r="J16" s="49"/>
      <c r="K16" s="49"/>
      <c r="L16" s="117">
        <v>0.5</v>
      </c>
      <c r="M16" s="117">
        <f t="shared" si="1"/>
        <v>1</v>
      </c>
      <c r="N16" s="110"/>
      <c r="O16" s="111"/>
      <c r="P16" s="112"/>
      <c r="Q16" s="113"/>
    </row>
    <row r="17" spans="1:18">
      <c r="A17" s="49"/>
      <c r="B17" s="49"/>
      <c r="C17" s="49"/>
      <c r="D17" s="72"/>
      <c r="E17" s="93"/>
      <c r="F17" s="49" t="s">
        <v>250</v>
      </c>
      <c r="G17" s="93">
        <v>2</v>
      </c>
      <c r="H17" s="49" t="s">
        <v>189</v>
      </c>
      <c r="I17" s="49" t="s">
        <v>9</v>
      </c>
      <c r="J17" s="49"/>
      <c r="K17" s="49"/>
      <c r="L17" s="117">
        <v>0.26</v>
      </c>
      <c r="M17" s="117">
        <f t="shared" si="1"/>
        <v>0.52</v>
      </c>
      <c r="N17" s="110"/>
      <c r="O17" s="111"/>
      <c r="P17" s="112"/>
      <c r="Q17" s="113"/>
    </row>
    <row r="18" spans="1:18">
      <c r="A18" s="49"/>
      <c r="B18" s="49"/>
      <c r="C18" s="49"/>
      <c r="D18" s="49"/>
      <c r="E18" s="93"/>
      <c r="F18" s="49" t="s">
        <v>251</v>
      </c>
      <c r="G18" s="93">
        <v>4</v>
      </c>
      <c r="H18" s="49" t="s">
        <v>189</v>
      </c>
      <c r="I18" s="49" t="s">
        <v>9</v>
      </c>
      <c r="J18" s="49"/>
      <c r="K18" s="49"/>
      <c r="L18" s="117">
        <v>0.32</v>
      </c>
      <c r="M18" s="117">
        <f t="shared" si="1"/>
        <v>1.28</v>
      </c>
      <c r="N18" s="110"/>
      <c r="O18" s="111"/>
      <c r="P18" s="112"/>
      <c r="Q18" s="113"/>
    </row>
    <row r="19" spans="1:18">
      <c r="A19" s="49"/>
      <c r="B19" s="49"/>
      <c r="C19" s="49"/>
      <c r="D19" s="49"/>
      <c r="E19" s="93"/>
      <c r="F19" s="95"/>
      <c r="G19" s="93">
        <v>1</v>
      </c>
      <c r="H19" s="49" t="s">
        <v>189</v>
      </c>
      <c r="I19" s="49" t="s">
        <v>9</v>
      </c>
      <c r="J19" s="49"/>
      <c r="K19" s="49"/>
      <c r="L19" s="117">
        <f t="shared" si="0"/>
        <v>0</v>
      </c>
      <c r="M19" s="117">
        <f t="shared" si="1"/>
        <v>0</v>
      </c>
      <c r="N19" s="110"/>
      <c r="O19" s="111"/>
      <c r="P19" s="112"/>
      <c r="Q19" s="113"/>
    </row>
    <row r="20" spans="1:18">
      <c r="A20" s="49"/>
      <c r="B20" s="49"/>
      <c r="C20" s="49"/>
      <c r="D20" s="49"/>
      <c r="E20" s="93"/>
      <c r="F20" s="96" t="str">
        <f>'Backend data'!G6</f>
        <v>COB 30-36W 3000K 12LED 34-38V 890mA 19x19mm CRI-90</v>
      </c>
      <c r="G20" s="93">
        <v>1</v>
      </c>
      <c r="H20" s="49" t="s">
        <v>330</v>
      </c>
      <c r="I20" s="49" t="s">
        <v>9</v>
      </c>
      <c r="J20" s="49"/>
      <c r="K20" s="49"/>
      <c r="L20" s="117">
        <f t="shared" si="0"/>
        <v>41.76</v>
      </c>
      <c r="M20" s="117">
        <f t="shared" si="1"/>
        <v>41.76</v>
      </c>
      <c r="N20" s="110">
        <v>0.32</v>
      </c>
      <c r="O20" s="111">
        <v>0.5</v>
      </c>
      <c r="P20" s="112"/>
      <c r="Q20" s="113">
        <f t="shared" si="2"/>
        <v>0.48</v>
      </c>
    </row>
    <row r="21" spans="1:18">
      <c r="A21" s="49"/>
      <c r="B21" s="49"/>
      <c r="C21" s="49"/>
      <c r="D21" s="49"/>
      <c r="E21" s="93"/>
      <c r="F21" s="81" t="str">
        <f>'Backend data'!H6</f>
        <v>PS 12W 300mA 36V Triac Dimming</v>
      </c>
      <c r="G21" s="94">
        <v>1</v>
      </c>
      <c r="H21" s="49" t="s">
        <v>189</v>
      </c>
      <c r="I21" s="49" t="s">
        <v>9</v>
      </c>
      <c r="J21" s="49"/>
      <c r="K21" s="49"/>
      <c r="L21" s="117">
        <f t="shared" si="0"/>
        <v>0</v>
      </c>
      <c r="M21" s="117">
        <f t="shared" si="1"/>
        <v>0</v>
      </c>
      <c r="N21" s="114" t="s">
        <v>368</v>
      </c>
      <c r="O21" s="115"/>
    </row>
    <row r="22" spans="1:18" ht="21.75" customHeight="1" thickBot="1">
      <c r="E22"/>
      <c r="G22"/>
      <c r="L22" s="118"/>
      <c r="M22" s="116">
        <f>SUM(M2:M21)</f>
        <v>146.32557999999997</v>
      </c>
      <c r="N22" s="115"/>
      <c r="O22" s="115"/>
    </row>
    <row r="23" spans="1:18" ht="15.75" thickTop="1">
      <c r="E23"/>
      <c r="G23"/>
    </row>
    <row r="24" spans="1:18" ht="21.75" customHeight="1">
      <c r="K24" s="127" t="s">
        <v>370</v>
      </c>
      <c r="L24" s="128"/>
      <c r="M24" s="119">
        <f>M22+98</f>
        <v>244.32557999999997</v>
      </c>
    </row>
    <row r="25" spans="1:18" ht="21.75" customHeight="1">
      <c r="K25" s="127" t="s">
        <v>371</v>
      </c>
      <c r="L25" s="128"/>
      <c r="M25" s="119">
        <f>M22+275</f>
        <v>421.32557999999995</v>
      </c>
      <c r="R25" s="124" t="s">
        <v>369</v>
      </c>
    </row>
    <row r="26" spans="1:18" ht="21.75" customHeight="1">
      <c r="K26" s="127" t="s">
        <v>372</v>
      </c>
      <c r="L26" s="128"/>
      <c r="M26" s="120">
        <f>((M22)+(Q26*87))</f>
        <v>804.04557999999997</v>
      </c>
      <c r="N26" s="121">
        <v>5.04</v>
      </c>
      <c r="O26" s="122">
        <v>0.5</v>
      </c>
      <c r="P26" s="122"/>
      <c r="Q26" s="123">
        <f>N26+(N26*(O26+P26))</f>
        <v>7.5600000000000005</v>
      </c>
      <c r="R26">
        <f>Q26*87</f>
        <v>657.72</v>
      </c>
    </row>
    <row r="27" spans="1:18" ht="21.75" customHeight="1">
      <c r="K27" s="127" t="s">
        <v>373</v>
      </c>
      <c r="L27" s="128"/>
      <c r="M27" s="119">
        <f>M22+330</f>
        <v>476.32557999999995</v>
      </c>
    </row>
    <row r="28" spans="1:18" ht="21.75" customHeight="1">
      <c r="K28" s="127" t="s">
        <v>374</v>
      </c>
      <c r="L28" s="128"/>
      <c r="M28" s="120">
        <f>((M22)+(Q28*87))</f>
        <v>860.81307999999979</v>
      </c>
      <c r="N28" s="121">
        <v>5.4749999999999996</v>
      </c>
      <c r="O28" s="122">
        <v>0.5</v>
      </c>
      <c r="P28" s="122"/>
      <c r="Q28" s="123">
        <f>N28+(N28*(O28+P28))</f>
        <v>8.2124999999999986</v>
      </c>
      <c r="R28">
        <f>Q28*87</f>
        <v>714.48749999999984</v>
      </c>
    </row>
    <row r="29" spans="1:18" ht="21.75" customHeight="1">
      <c r="K29" s="127" t="s">
        <v>375</v>
      </c>
      <c r="L29" s="128"/>
      <c r="M29" s="119">
        <f>M22+330</f>
        <v>476.32557999999995</v>
      </c>
    </row>
    <row r="31" spans="1:18">
      <c r="G31"/>
    </row>
    <row r="32" spans="1:18">
      <c r="G32"/>
    </row>
    <row r="33" spans="7:7">
      <c r="G33"/>
    </row>
    <row r="34" spans="7:7">
      <c r="G34"/>
    </row>
    <row r="35" spans="7:7">
      <c r="G35"/>
    </row>
    <row r="36" spans="7:7">
      <c r="G36"/>
    </row>
    <row r="37" spans="7:7">
      <c r="G37"/>
    </row>
    <row r="38" spans="7:7">
      <c r="G38"/>
    </row>
  </sheetData>
  <mergeCells count="20">
    <mergeCell ref="M6:M7"/>
    <mergeCell ref="L6:L7"/>
    <mergeCell ref="Q4:Q5"/>
    <mergeCell ref="P4:P5"/>
    <mergeCell ref="O4:O5"/>
    <mergeCell ref="N4:N5"/>
    <mergeCell ref="M4:M5"/>
    <mergeCell ref="L4:L5"/>
    <mergeCell ref="N6:N7"/>
    <mergeCell ref="R4:R5"/>
    <mergeCell ref="R6:R7"/>
    <mergeCell ref="Q6:Q7"/>
    <mergeCell ref="P6:P7"/>
    <mergeCell ref="O6:O7"/>
    <mergeCell ref="K29:L29"/>
    <mergeCell ref="K24:L24"/>
    <mergeCell ref="K25:L25"/>
    <mergeCell ref="K26:L26"/>
    <mergeCell ref="K27:L27"/>
    <mergeCell ref="K28:L28"/>
  </mergeCells>
  <conditionalFormatting sqref="F1 F24:F25 F37:F1048576 F28 F10:F15 F21 F17:F18">
    <cfRule type="containsText" dxfId="13" priority="13" operator="containsText" text="PS-">
      <formula>NOT(ISERROR(SEARCH("PS-",F1)))</formula>
    </cfRule>
    <cfRule type="containsText" dxfId="12" priority="16" operator="containsText" text="COB-">
      <formula>NOT(ISERROR(SEARCH("COB-",F1)))</formula>
    </cfRule>
    <cfRule type="containsText" dxfId="11" priority="18" operator="containsText" text="TRIM">
      <formula>NOT(ISERROR(SEARCH("TRIM",F1)))</formula>
    </cfRule>
  </conditionalFormatting>
  <conditionalFormatting sqref="F1:G1 G2:G9 F24:G25 F28:G28 F39:G1048576 F10:G15 G19:G20 F21 F17:G18 G16 F37:F38">
    <cfRule type="containsText" dxfId="10" priority="12" operator="containsText" text="REFLECTOR">
      <formula>NOT(ISERROR(SEARCH("REFLECTOR",F1)))</formula>
    </cfRule>
  </conditionalFormatting>
  <conditionalFormatting sqref="F16">
    <cfRule type="containsText" dxfId="9" priority="2" operator="containsText" text="PS-">
      <formula>NOT(ISERROR(SEARCH("PS-",F16)))</formula>
    </cfRule>
    <cfRule type="containsText" dxfId="8" priority="3" operator="containsText" text="COB-">
      <formula>NOT(ISERROR(SEARCH("COB-",F16)))</formula>
    </cfRule>
    <cfRule type="containsText" dxfId="7" priority="4" operator="containsText" text="TRIM">
      <formula>NOT(ISERROR(SEARCH("TRIM",F16)))</formula>
    </cfRule>
  </conditionalFormatting>
  <conditionalFormatting sqref="F16">
    <cfRule type="containsText" dxfId="6" priority="1" operator="containsText" text="REFLECTOR">
      <formula>NOT(ISERROR(SEARCH("REFLECTOR",F16)))</formula>
    </cfRule>
  </conditionalFormatting>
  <pageMargins left="0.69930555555555995" right="0.69930555555555995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" id="{083CFDB7-B029-45DB-A028-8E8ABB73F9A6}">
            <xm:f>$F:$F='Backend data'!$C$2:$H$2</xm:f>
            <x14:dxf>
              <fill>
                <patternFill>
                  <bgColor theme="7" tint="0.59996337778862885"/>
                </patternFill>
              </fill>
            </x14:dxf>
          </x14:cfRule>
          <xm:sqref>F24:G25 F28:G28 F39:G1048576 G16:G20 G12 F1:G1 G2:G10 F37:F38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'[1]SRDR12-15-18W-SKU'!#REF!</xm:f>
          </x14:formula1>
          <xm:sqref>E2</xm:sqref>
        </x14:dataValidation>
        <x14:dataValidation type="list" allowBlank="1" showInputMessage="1" showErrorMessage="1">
          <x14:formula1>
            <xm:f>'SRDR12-15-18W-SKU'!$C$2:$C$52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141" t="s">
        <v>20</v>
      </c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3"/>
    </row>
    <row r="6" spans="1:17" ht="12.6" customHeight="1">
      <c r="A6" s="16" t="s">
        <v>21</v>
      </c>
      <c r="B6" s="12" t="s">
        <v>15</v>
      </c>
      <c r="C6" s="13"/>
      <c r="E6" s="141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43"/>
    </row>
    <row r="7" spans="1:17" ht="12.6" customHeight="1">
      <c r="A7" s="16" t="s">
        <v>22</v>
      </c>
      <c r="B7" s="12" t="s">
        <v>15</v>
      </c>
      <c r="C7" s="13"/>
      <c r="E7" s="141"/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142"/>
      <c r="Q7" s="143"/>
    </row>
    <row r="8" spans="1:17" ht="12.6" customHeight="1">
      <c r="A8" s="16" t="s">
        <v>23</v>
      </c>
      <c r="B8" s="12" t="s">
        <v>15</v>
      </c>
      <c r="C8" s="13"/>
      <c r="E8" s="141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3"/>
    </row>
    <row r="9" spans="1:17" ht="12.95" customHeight="1">
      <c r="A9" s="16" t="s">
        <v>24</v>
      </c>
      <c r="B9" s="12" t="s">
        <v>15</v>
      </c>
      <c r="C9" s="13"/>
      <c r="E9" s="141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3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</row>
    <row r="20" spans="1:17" ht="25.5">
      <c r="A20" s="16" t="s">
        <v>40</v>
      </c>
      <c r="B20" s="12" t="s">
        <v>15</v>
      </c>
      <c r="C20" s="13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</row>
    <row r="21" spans="1:17">
      <c r="A21" s="16" t="s">
        <v>41</v>
      </c>
      <c r="B21" s="12" t="s">
        <v>15</v>
      </c>
      <c r="C21" s="13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</row>
    <row r="22" spans="1:17">
      <c r="A22" s="6" t="s">
        <v>42</v>
      </c>
      <c r="B22" s="30"/>
      <c r="C22" s="31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0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55"/>
  <sheetViews>
    <sheetView topLeftCell="X14" workbookViewId="0">
      <selection activeCell="X39" sqref="X39"/>
    </sheetView>
  </sheetViews>
  <sheetFormatPr defaultRowHeight="15"/>
  <cols>
    <col min="1" max="1" width="2" customWidth="1"/>
    <col min="2" max="2" width="11.5703125" customWidth="1"/>
    <col min="3" max="3" width="57.85546875" style="51" customWidth="1"/>
    <col min="4" max="4" width="10.85546875" customWidth="1"/>
    <col min="5" max="5" width="10.42578125" bestFit="1" customWidth="1"/>
    <col min="6" max="6" width="11.85546875" bestFit="1" customWidth="1"/>
    <col min="7" max="7" width="37.28515625" customWidth="1"/>
    <col min="8" max="8" width="46" style="51" customWidth="1"/>
    <col min="9" max="9" width="40.28515625" customWidth="1"/>
    <col min="11" max="11" width="2.7109375" customWidth="1"/>
    <col min="13" max="13" width="55.42578125" style="51" customWidth="1"/>
    <col min="16" max="16" width="2.28515625" customWidth="1"/>
    <col min="18" max="18" width="57.5703125" style="51" customWidth="1"/>
    <col min="21" max="21" width="1.42578125" customWidth="1"/>
    <col min="22" max="22" width="8.140625" customWidth="1"/>
    <col min="23" max="23" width="55.140625" customWidth="1"/>
    <col min="24" max="24" width="14.140625" customWidth="1"/>
    <col min="26" max="26" width="1.28515625" customWidth="1"/>
    <col min="28" max="28" width="56.7109375" style="51" bestFit="1" customWidth="1"/>
    <col min="31" max="31" width="1.7109375" customWidth="1"/>
    <col min="33" max="33" width="44" customWidth="1"/>
  </cols>
  <sheetData>
    <row r="1" spans="2:9">
      <c r="C1" s="52"/>
    </row>
    <row r="2" spans="2:9">
      <c r="C2" s="54" t="s">
        <v>195</v>
      </c>
      <c r="D2" s="61" t="s">
        <v>203</v>
      </c>
      <c r="E2" s="55" t="s">
        <v>196</v>
      </c>
      <c r="F2" s="55" t="s">
        <v>197</v>
      </c>
      <c r="G2" s="55" t="s">
        <v>199</v>
      </c>
      <c r="H2" s="54" t="s">
        <v>198</v>
      </c>
      <c r="I2" s="62" t="s">
        <v>232</v>
      </c>
    </row>
    <row r="3" spans="2:9">
      <c r="C3" s="63" t="str">
        <f>MID('Stock Item'!$D$2,4,1)</f>
        <v>R</v>
      </c>
      <c r="D3" s="52" t="str">
        <f>MID('Stock Item'!$D$2,5,2)</f>
        <v>12</v>
      </c>
      <c r="E3" s="63" t="str">
        <f>MID('Stock Item'!$D$2,3,1)</f>
        <v>D</v>
      </c>
      <c r="F3" s="63" t="str">
        <f>MID('Stock Item'!$D$2,7,1)</f>
        <v>F</v>
      </c>
      <c r="G3" s="51" t="str">
        <f>MID('Stock Item'!$D$2,8,2)</f>
        <v>30</v>
      </c>
      <c r="H3" s="63" t="str">
        <f>MID('Stock Item'!$D$2,10,11)</f>
        <v>T</v>
      </c>
      <c r="I3" t="str">
        <f>MID('Stock Item'!$D$2,2,1)</f>
        <v>R</v>
      </c>
    </row>
    <row r="4" spans="2:9">
      <c r="D4" s="64" t="str">
        <f>CONCATENATE($D$3,$F$3)</f>
        <v>12F</v>
      </c>
      <c r="G4" s="64" t="str">
        <f>CONCATENATE($G$3,H3,"-")</f>
        <v>30T-</v>
      </c>
      <c r="H4" s="51" t="str">
        <f>CONCATENATE($D$3,$H$3,"-")</f>
        <v>12T-</v>
      </c>
      <c r="I4" t="str">
        <f>CONCATENATE(C3,D3)</f>
        <v>R12</v>
      </c>
    </row>
    <row r="5" spans="2:9">
      <c r="H5" s="51" t="str">
        <f>CONCATENATE('Stock Item'!D2)</f>
        <v>SRDR12F30T</v>
      </c>
    </row>
    <row r="6" spans="2:9">
      <c r="B6" s="54" t="s">
        <v>200</v>
      </c>
      <c r="C6" s="58" t="str">
        <f>VLOOKUP($C$3,$B$23:$E$72,2,0)</f>
        <v>Trim-O-85  I-51 H-50mm White SRD-12/15/18W</v>
      </c>
      <c r="D6" s="57" t="str">
        <f>VLOOKUP($D$4,G23:$J$100,2,0)</f>
        <v>HS 50x34.5mm (SR-DR-NR-12W)</v>
      </c>
      <c r="E6" s="57" t="e">
        <f>VLOOKUP($E$3,$L$23:$O$72,2,0)</f>
        <v>#N/A</v>
      </c>
      <c r="F6" s="57" t="e">
        <f>VLOOKUP($F$3,$Q$23:$T$72,2,0)</f>
        <v>#N/A</v>
      </c>
      <c r="G6" s="57" t="str">
        <f>VLOOKUP($G$4,$V$23:$Y$72,2,0)</f>
        <v>COB 30-36W 3000K 12LED 34-38V 890mA 19x19mm CRI-90</v>
      </c>
      <c r="H6" s="56" t="str">
        <f>VLOOKUP($H$4,$AA$23:$AD$72,2,0)</f>
        <v>PS 12W 300mA 36V Triac Dimming</v>
      </c>
      <c r="I6" s="56" t="e">
        <f>VLOOKUP($I$3,AF23:$AI$100,2,0)</f>
        <v>#N/A</v>
      </c>
    </row>
    <row r="7" spans="2:9" ht="30">
      <c r="B7" s="54" t="s">
        <v>201</v>
      </c>
      <c r="C7" s="58">
        <f>VLOOKUP($C$3,$B$23:$E$72,4,0)</f>
        <v>0</v>
      </c>
      <c r="D7" s="57">
        <f>VLOOKUP($D$4,G23:$J$100,4,0)</f>
        <v>0</v>
      </c>
      <c r="E7" s="57" t="e">
        <f>VLOOKUP($E$3,$L$23:$O$72,4,0)</f>
        <v>#N/A</v>
      </c>
      <c r="F7" s="57" t="e">
        <f>VLOOKUP($F$3,$Q$23:$T$72,4,0)</f>
        <v>#N/A</v>
      </c>
      <c r="G7" s="57">
        <f>VLOOKUP($G$4,$V$23:$Y$72,4,0)</f>
        <v>0</v>
      </c>
      <c r="H7" s="56">
        <f>VLOOKUP($H$4,$AA$23:$AD$72,4,0)</f>
        <v>0</v>
      </c>
      <c r="I7" s="56" t="e">
        <f>VLOOKUP($I$3,$AF$23:$AI$100,4,0)</f>
        <v>#N/A</v>
      </c>
    </row>
    <row r="8" spans="2:9" ht="45">
      <c r="B8" s="59" t="s">
        <v>202</v>
      </c>
      <c r="C8" s="58">
        <f>VLOOKUP($C$3,$B$23:$E$72,3,0)</f>
        <v>0</v>
      </c>
      <c r="D8" s="57">
        <f>VLOOKUP($D$4,G23:$J$100,3,0)</f>
        <v>0</v>
      </c>
      <c r="E8" s="57" t="e">
        <f>VLOOKUP($E$3,$L$23:$O$72,3,0)</f>
        <v>#N/A</v>
      </c>
      <c r="F8" s="57" t="e">
        <f>VLOOKUP($F$3,$Q$23:$T$72,3,0)</f>
        <v>#N/A</v>
      </c>
      <c r="G8" s="57">
        <f>VLOOKUP($G$4,$V$23:$Y$72,3,0)</f>
        <v>0</v>
      </c>
      <c r="H8" s="56">
        <f>VLOOKUP($H$4,$AA$23:$AD$72,3,0)</f>
        <v>0</v>
      </c>
      <c r="I8" s="56" t="e">
        <f>VLOOKUP($I$3,$AF$23:$AI$100,3,0)</f>
        <v>#N/A</v>
      </c>
    </row>
    <row r="10" spans="2:9">
      <c r="H10" s="67" t="s">
        <v>205</v>
      </c>
    </row>
    <row r="19" spans="2:35" ht="13.9" customHeight="1"/>
    <row r="21" spans="2:35">
      <c r="B21" s="147" t="s">
        <v>195</v>
      </c>
      <c r="C21" s="148"/>
      <c r="D21" s="148"/>
      <c r="E21" s="148"/>
      <c r="G21" s="147" t="s">
        <v>203</v>
      </c>
      <c r="H21" s="148"/>
      <c r="I21" s="148"/>
      <c r="J21" s="148"/>
      <c r="L21" s="147" t="s">
        <v>196</v>
      </c>
      <c r="M21" s="148"/>
      <c r="N21" s="148"/>
      <c r="O21" s="148"/>
      <c r="Q21" s="147" t="s">
        <v>197</v>
      </c>
      <c r="R21" s="148"/>
      <c r="S21" s="148"/>
      <c r="T21" s="148"/>
      <c r="V21" s="147" t="s">
        <v>206</v>
      </c>
      <c r="W21" s="148"/>
      <c r="X21" s="148"/>
      <c r="Y21" s="148"/>
      <c r="AA21" s="144" t="s">
        <v>198</v>
      </c>
      <c r="AB21" s="145"/>
      <c r="AC21" s="145"/>
      <c r="AD21" s="146"/>
      <c r="AF21" s="144" t="s">
        <v>232</v>
      </c>
      <c r="AG21" s="145"/>
      <c r="AH21" s="145"/>
      <c r="AI21" s="146"/>
    </row>
    <row r="22" spans="2:35">
      <c r="B22" s="50" t="s">
        <v>191</v>
      </c>
      <c r="C22" s="53" t="s">
        <v>192</v>
      </c>
      <c r="D22" s="50" t="s">
        <v>193</v>
      </c>
      <c r="E22" s="50" t="s">
        <v>194</v>
      </c>
      <c r="G22" s="50" t="s">
        <v>191</v>
      </c>
      <c r="H22" s="53" t="s">
        <v>192</v>
      </c>
      <c r="I22" s="50" t="s">
        <v>193</v>
      </c>
      <c r="J22" s="50" t="s">
        <v>194</v>
      </c>
      <c r="L22" s="50" t="s">
        <v>191</v>
      </c>
      <c r="M22" s="53" t="s">
        <v>192</v>
      </c>
      <c r="N22" s="50" t="s">
        <v>193</v>
      </c>
      <c r="O22" s="50" t="s">
        <v>194</v>
      </c>
      <c r="Q22" s="50" t="s">
        <v>191</v>
      </c>
      <c r="R22" s="53" t="s">
        <v>192</v>
      </c>
      <c r="S22" s="50" t="s">
        <v>193</v>
      </c>
      <c r="T22" s="50" t="s">
        <v>194</v>
      </c>
      <c r="V22" s="50" t="s">
        <v>191</v>
      </c>
      <c r="W22" s="50" t="s">
        <v>192</v>
      </c>
      <c r="X22" s="50" t="s">
        <v>193</v>
      </c>
      <c r="Y22" s="50" t="s">
        <v>194</v>
      </c>
      <c r="AA22" s="50" t="s">
        <v>191</v>
      </c>
      <c r="AB22" s="53" t="s">
        <v>192</v>
      </c>
      <c r="AC22" s="50" t="s">
        <v>193</v>
      </c>
      <c r="AD22" s="50" t="s">
        <v>194</v>
      </c>
      <c r="AF22" s="50" t="s">
        <v>191</v>
      </c>
      <c r="AG22" s="50" t="s">
        <v>192</v>
      </c>
      <c r="AH22" s="50" t="s">
        <v>193</v>
      </c>
      <c r="AI22" s="50" t="s">
        <v>194</v>
      </c>
    </row>
    <row r="23" spans="2:35">
      <c r="B23" s="82" t="s">
        <v>204</v>
      </c>
      <c r="C23" s="68" t="s">
        <v>222</v>
      </c>
      <c r="D23" s="70"/>
      <c r="E23" s="70"/>
      <c r="G23" s="83" t="s">
        <v>225</v>
      </c>
      <c r="H23" s="68" t="s">
        <v>226</v>
      </c>
      <c r="L23" s="69"/>
      <c r="M23" s="68"/>
      <c r="Q23" s="74"/>
      <c r="R23" s="75"/>
      <c r="V23" s="49" t="s">
        <v>331</v>
      </c>
      <c r="W23" s="70" t="s">
        <v>350</v>
      </c>
      <c r="X23" s="49"/>
      <c r="AA23" s="83" t="s">
        <v>231</v>
      </c>
      <c r="AB23" s="49" t="s">
        <v>329</v>
      </c>
      <c r="AF23" s="60" t="s">
        <v>233</v>
      </c>
      <c r="AG23" s="60"/>
      <c r="AH23" s="60"/>
      <c r="AI23" s="60"/>
    </row>
    <row r="24" spans="2:35">
      <c r="B24" s="60" t="s">
        <v>19</v>
      </c>
      <c r="C24" s="49" t="s">
        <v>223</v>
      </c>
      <c r="D24" s="70"/>
      <c r="E24" s="70"/>
      <c r="G24" s="84" t="s">
        <v>227</v>
      </c>
      <c r="H24" s="49" t="s">
        <v>228</v>
      </c>
      <c r="L24" s="65"/>
      <c r="M24" s="49"/>
      <c r="Q24" s="74"/>
      <c r="R24" s="75"/>
      <c r="V24" s="49" t="s">
        <v>332</v>
      </c>
      <c r="W24" s="70" t="s">
        <v>351</v>
      </c>
      <c r="X24" s="49"/>
      <c r="AA24" s="84" t="s">
        <v>255</v>
      </c>
      <c r="AB24" s="49" t="s">
        <v>356</v>
      </c>
      <c r="AF24" s="60" t="s">
        <v>234</v>
      </c>
      <c r="AG24" s="60"/>
      <c r="AH24" s="60"/>
      <c r="AI24" s="60"/>
    </row>
    <row r="25" spans="2:35">
      <c r="B25" s="60" t="s">
        <v>207</v>
      </c>
      <c r="C25" s="49" t="s">
        <v>224</v>
      </c>
      <c r="D25" s="70"/>
      <c r="E25" s="70"/>
      <c r="G25" s="84" t="s">
        <v>229</v>
      </c>
      <c r="H25" s="49" t="s">
        <v>230</v>
      </c>
      <c r="L25" s="65"/>
      <c r="M25" s="66"/>
      <c r="V25" s="103" t="s">
        <v>333</v>
      </c>
      <c r="W25" s="70" t="s">
        <v>352</v>
      </c>
      <c r="X25" s="65"/>
      <c r="AA25" s="84" t="s">
        <v>256</v>
      </c>
      <c r="AB25" s="105" t="s">
        <v>357</v>
      </c>
      <c r="AF25" s="60" t="s">
        <v>235</v>
      </c>
      <c r="AG25" s="60"/>
      <c r="AH25" s="60"/>
      <c r="AI25" s="60"/>
    </row>
    <row r="26" spans="2:35">
      <c r="L26" s="65"/>
      <c r="M26" s="49"/>
      <c r="V26" s="103" t="s">
        <v>334</v>
      </c>
      <c r="W26" s="70" t="s">
        <v>353</v>
      </c>
      <c r="X26" s="65"/>
      <c r="AA26" s="84" t="s">
        <v>257</v>
      </c>
      <c r="AB26" s="49" t="s">
        <v>358</v>
      </c>
      <c r="AF26" s="60"/>
      <c r="AG26" s="60"/>
      <c r="AH26" s="60"/>
      <c r="AI26" s="60"/>
    </row>
    <row r="27" spans="2:35">
      <c r="H27"/>
      <c r="V27" s="103" t="s">
        <v>335</v>
      </c>
      <c r="W27" s="70" t="s">
        <v>354</v>
      </c>
      <c r="X27" s="65"/>
      <c r="AA27" s="84" t="s">
        <v>258</v>
      </c>
      <c r="AB27" s="105" t="s">
        <v>359</v>
      </c>
      <c r="AF27" s="60" t="s">
        <v>236</v>
      </c>
      <c r="AG27" s="60"/>
      <c r="AH27" s="60"/>
      <c r="AI27" s="60"/>
    </row>
    <row r="28" spans="2:35">
      <c r="V28" s="98"/>
      <c r="W28" s="73"/>
      <c r="X28" s="65"/>
      <c r="AA28" s="84" t="s">
        <v>259</v>
      </c>
      <c r="AB28" s="49" t="s">
        <v>360</v>
      </c>
      <c r="AF28" s="60" t="s">
        <v>237</v>
      </c>
      <c r="AG28" s="60"/>
      <c r="AH28" s="60"/>
      <c r="AI28" s="60"/>
    </row>
    <row r="29" spans="2:35">
      <c r="V29" s="97" t="s">
        <v>336</v>
      </c>
      <c r="W29" s="70" t="s">
        <v>350</v>
      </c>
      <c r="X29" s="65"/>
      <c r="AB29"/>
      <c r="AF29" s="60" t="s">
        <v>238</v>
      </c>
      <c r="AG29" s="60"/>
      <c r="AH29" s="60"/>
      <c r="AI29" s="60"/>
    </row>
    <row r="30" spans="2:35">
      <c r="V30" s="97" t="s">
        <v>337</v>
      </c>
      <c r="W30" s="70" t="s">
        <v>351</v>
      </c>
      <c r="X30" s="65"/>
      <c r="AA30" s="84"/>
      <c r="AB30" s="60"/>
      <c r="AF30" s="60"/>
      <c r="AG30" s="60"/>
      <c r="AH30" s="60"/>
      <c r="AI30" s="60"/>
    </row>
    <row r="31" spans="2:35">
      <c r="V31" s="97" t="s">
        <v>338</v>
      </c>
      <c r="W31" s="70" t="s">
        <v>352</v>
      </c>
      <c r="AA31" s="84"/>
      <c r="AB31" s="60"/>
      <c r="AF31" s="60" t="s">
        <v>239</v>
      </c>
      <c r="AG31" s="60"/>
      <c r="AH31" s="60"/>
      <c r="AI31" s="60"/>
    </row>
    <row r="32" spans="2:35">
      <c r="V32" s="97" t="s">
        <v>339</v>
      </c>
      <c r="W32" s="70" t="s">
        <v>353</v>
      </c>
      <c r="AA32" s="84"/>
      <c r="AB32" s="60"/>
      <c r="AF32" s="60" t="s">
        <v>240</v>
      </c>
      <c r="AG32" s="60"/>
      <c r="AH32" s="60"/>
      <c r="AI32" s="60"/>
    </row>
    <row r="33" spans="22:35">
      <c r="V33" s="97" t="s">
        <v>340</v>
      </c>
      <c r="W33" s="70" t="s">
        <v>354</v>
      </c>
      <c r="AA33" s="84"/>
      <c r="AB33" s="60"/>
      <c r="AF33" s="60" t="s">
        <v>241</v>
      </c>
      <c r="AG33" s="60"/>
      <c r="AH33" s="60"/>
      <c r="AI33" s="60"/>
    </row>
    <row r="34" spans="22:35">
      <c r="V34" s="99" t="s">
        <v>346</v>
      </c>
      <c r="W34" s="70" t="s">
        <v>355</v>
      </c>
      <c r="AA34" s="84"/>
      <c r="AB34" s="60"/>
    </row>
    <row r="35" spans="22:35">
      <c r="V35" s="104"/>
      <c r="W35" s="73"/>
      <c r="AA35" s="84"/>
      <c r="AB35" s="60"/>
    </row>
    <row r="36" spans="22:35">
      <c r="V36" s="97" t="s">
        <v>341</v>
      </c>
      <c r="W36" s="70" t="s">
        <v>350</v>
      </c>
      <c r="AB36"/>
    </row>
    <row r="37" spans="22:35">
      <c r="V37" s="97" t="s">
        <v>342</v>
      </c>
      <c r="W37" s="70" t="s">
        <v>351</v>
      </c>
      <c r="AA37" s="84"/>
      <c r="AB37" s="60"/>
    </row>
    <row r="38" spans="22:35">
      <c r="V38" s="97" t="s">
        <v>343</v>
      </c>
      <c r="W38" s="70" t="s">
        <v>352</v>
      </c>
      <c r="AA38" s="84"/>
      <c r="AB38" s="60"/>
    </row>
    <row r="39" spans="22:35">
      <c r="V39" s="97" t="s">
        <v>344</v>
      </c>
      <c r="W39" s="70" t="s">
        <v>353</v>
      </c>
      <c r="AA39" s="84"/>
      <c r="AB39" s="60"/>
    </row>
    <row r="40" spans="22:35">
      <c r="V40" s="97" t="s">
        <v>345</v>
      </c>
      <c r="W40" s="70" t="s">
        <v>354</v>
      </c>
      <c r="AA40" s="84"/>
      <c r="AB40" s="60"/>
    </row>
    <row r="41" spans="22:35">
      <c r="V41" s="99" t="s">
        <v>347</v>
      </c>
      <c r="W41" s="70" t="s">
        <v>355</v>
      </c>
      <c r="AA41" s="84"/>
      <c r="AB41" s="60"/>
    </row>
    <row r="42" spans="22:35">
      <c r="V42" s="49"/>
      <c r="W42" s="49"/>
      <c r="AA42" s="84"/>
      <c r="AB42" s="60"/>
    </row>
    <row r="43" spans="22:35">
      <c r="V43" s="49"/>
      <c r="W43" s="49"/>
      <c r="AB43"/>
    </row>
    <row r="44" spans="22:35">
      <c r="V44" s="49"/>
      <c r="W44" s="49"/>
      <c r="AB44"/>
    </row>
    <row r="45" spans="22:35">
      <c r="V45" s="49"/>
      <c r="W45" s="49"/>
      <c r="AB45"/>
    </row>
    <row r="46" spans="22:35">
      <c r="V46" s="49"/>
      <c r="W46" s="49"/>
      <c r="AB46"/>
    </row>
    <row r="47" spans="22:35">
      <c r="V47" s="49"/>
      <c r="W47" s="49"/>
      <c r="AB47"/>
    </row>
    <row r="48" spans="22:35">
      <c r="V48" s="49"/>
      <c r="W48" s="49"/>
      <c r="AB48"/>
    </row>
    <row r="49" spans="22:28">
      <c r="V49" s="76"/>
      <c r="W49" s="73"/>
      <c r="AB49"/>
    </row>
    <row r="51" spans="22:28">
      <c r="V51" s="85"/>
      <c r="W51" s="92"/>
    </row>
    <row r="52" spans="22:28">
      <c r="V52" s="85"/>
      <c r="W52" s="92"/>
    </row>
    <row r="53" spans="22:28">
      <c r="V53" s="85"/>
      <c r="W53" s="86"/>
    </row>
    <row r="54" spans="22:28">
      <c r="V54" s="85"/>
      <c r="W54" s="86"/>
    </row>
    <row r="55" spans="22:28">
      <c r="V55" s="85"/>
      <c r="W55" s="86"/>
    </row>
  </sheetData>
  <mergeCells count="7">
    <mergeCell ref="AF21:AI21"/>
    <mergeCell ref="B21:E21"/>
    <mergeCell ref="G21:J21"/>
    <mergeCell ref="L21:O21"/>
    <mergeCell ref="Q21:T21"/>
    <mergeCell ref="V21:Y21"/>
    <mergeCell ref="AA21:AD21"/>
  </mergeCells>
  <conditionalFormatting sqref="V51:W55">
    <cfRule type="duplicateValues" dxfId="4" priority="9"/>
  </conditionalFormatting>
  <conditionalFormatting sqref="V29:V33">
    <cfRule type="duplicateValues" dxfId="3" priority="8"/>
  </conditionalFormatting>
  <conditionalFormatting sqref="V35:V39">
    <cfRule type="duplicateValues" dxfId="2" priority="7"/>
  </conditionalFormatting>
  <conditionalFormatting sqref="W35">
    <cfRule type="duplicateValues" dxfId="1" priority="3"/>
  </conditionalFormatting>
  <conditionalFormatting sqref="W28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V52"/>
  <sheetViews>
    <sheetView topLeftCell="G1" zoomScale="84" zoomScaleNormal="84" workbookViewId="0">
      <selection activeCell="M16" sqref="M16"/>
    </sheetView>
  </sheetViews>
  <sheetFormatPr defaultRowHeight="15"/>
  <cols>
    <col min="1" max="1" width="7" style="78" bestFit="1" customWidth="1"/>
    <col min="2" max="2" width="14.140625" style="78" bestFit="1" customWidth="1"/>
    <col min="3" max="3" width="14.140625" style="79" bestFit="1" customWidth="1"/>
    <col min="4" max="4" width="9.7109375" style="78" bestFit="1" customWidth="1"/>
    <col min="5" max="5" width="11" style="78" bestFit="1" customWidth="1"/>
    <col min="6" max="6" width="11.85546875" style="78" bestFit="1" customWidth="1"/>
    <col min="7" max="7" width="7.42578125" style="78" bestFit="1" customWidth="1"/>
    <col min="8" max="8" width="6.42578125" style="78" bestFit="1" customWidth="1"/>
    <col min="9" max="9" width="6.85546875" style="78" bestFit="1" customWidth="1"/>
    <col min="10" max="10" width="6.42578125" style="78" bestFit="1" customWidth="1"/>
    <col min="11" max="11" width="21.5703125" style="78" bestFit="1" customWidth="1"/>
    <col min="12" max="12" width="11.5703125" style="78" bestFit="1" customWidth="1"/>
    <col min="13" max="13" width="49.140625" style="78" bestFit="1" customWidth="1"/>
    <col min="14" max="14" width="35.42578125" style="78" bestFit="1" customWidth="1"/>
    <col min="15" max="16" width="9.140625" style="78"/>
    <col min="17" max="21" width="9.140625" style="80"/>
    <col min="22" max="16384" width="9.140625" style="78"/>
  </cols>
  <sheetData>
    <row r="1" spans="1:22" s="89" customFormat="1">
      <c r="A1" s="89" t="s">
        <v>208</v>
      </c>
      <c r="B1" s="90" t="s">
        <v>209</v>
      </c>
      <c r="C1" s="89" t="s">
        <v>210</v>
      </c>
      <c r="D1" s="91" t="s">
        <v>211</v>
      </c>
      <c r="E1" s="89" t="s">
        <v>212</v>
      </c>
      <c r="F1" s="89" t="s">
        <v>213</v>
      </c>
      <c r="G1" s="89" t="s">
        <v>214</v>
      </c>
      <c r="H1" s="89" t="s">
        <v>215</v>
      </c>
      <c r="I1" s="89" t="s">
        <v>216</v>
      </c>
      <c r="J1" s="89" t="s">
        <v>217</v>
      </c>
      <c r="K1" s="89" t="s">
        <v>220</v>
      </c>
      <c r="L1" s="89" t="s">
        <v>218</v>
      </c>
      <c r="M1" s="89" t="s">
        <v>260</v>
      </c>
      <c r="N1" s="89" t="s">
        <v>219</v>
      </c>
      <c r="O1" s="89" t="s">
        <v>261</v>
      </c>
      <c r="P1" s="90"/>
      <c r="V1" s="91"/>
    </row>
    <row r="2" spans="1:22">
      <c r="A2" s="78">
        <v>134827</v>
      </c>
      <c r="B2" s="78" t="s">
        <v>272</v>
      </c>
      <c r="C2" s="79" t="str">
        <f t="shared" ref="C2:C16" si="0">CONCATENATE(Q2,R2,S2,T2,U2)</f>
        <v>SRDR12F60T</v>
      </c>
      <c r="D2" s="78">
        <v>0</v>
      </c>
      <c r="E2" s="78">
        <v>0</v>
      </c>
      <c r="F2" s="78">
        <v>1530</v>
      </c>
      <c r="G2" s="78">
        <v>0</v>
      </c>
      <c r="H2" s="78">
        <v>0</v>
      </c>
      <c r="I2" s="78">
        <v>0</v>
      </c>
      <c r="J2" s="78">
        <v>0</v>
      </c>
      <c r="K2" s="78" t="s">
        <v>262</v>
      </c>
      <c r="L2" s="78" t="s">
        <v>263</v>
      </c>
      <c r="M2" s="78" t="s">
        <v>264</v>
      </c>
      <c r="N2" s="78" t="s">
        <v>273</v>
      </c>
      <c r="O2" s="78" t="s">
        <v>265</v>
      </c>
      <c r="Q2" s="80" t="str">
        <f t="shared" ref="Q2:Q16" si="1">MID(B2,1,3)</f>
        <v>SRD</v>
      </c>
      <c r="R2" s="80" t="str">
        <f t="shared" ref="R2:R16" si="2">MID(B2,4,1)</f>
        <v>R</v>
      </c>
      <c r="S2" s="80" t="str">
        <f t="shared" ref="S2:S16" si="3">MID(B2,5,2)</f>
        <v>12</v>
      </c>
      <c r="T2" s="80" t="str">
        <f t="shared" ref="T2:T16" si="4">MID(B2,7,1)</f>
        <v>F</v>
      </c>
      <c r="U2" s="80" t="str">
        <f t="shared" ref="U2:U31" si="5">MID(B2,8,5)</f>
        <v>60T</v>
      </c>
    </row>
    <row r="3" spans="1:22">
      <c r="A3" s="78">
        <v>134828</v>
      </c>
      <c r="B3" s="78" t="s">
        <v>274</v>
      </c>
      <c r="C3" s="79" t="str">
        <f t="shared" si="0"/>
        <v>SRDR12F50T</v>
      </c>
      <c r="D3" s="78">
        <v>0</v>
      </c>
      <c r="E3" s="78">
        <v>0</v>
      </c>
      <c r="F3" s="78">
        <v>1530</v>
      </c>
      <c r="G3" s="78">
        <v>0</v>
      </c>
      <c r="H3" s="78">
        <v>0</v>
      </c>
      <c r="I3" s="78">
        <v>0</v>
      </c>
      <c r="J3" s="78">
        <v>0</v>
      </c>
      <c r="K3" s="78" t="s">
        <v>262</v>
      </c>
      <c r="L3" s="78" t="s">
        <v>263</v>
      </c>
      <c r="M3" s="78" t="s">
        <v>266</v>
      </c>
      <c r="N3" s="78" t="s">
        <v>273</v>
      </c>
      <c r="O3" s="78" t="s">
        <v>265</v>
      </c>
      <c r="Q3" s="80" t="str">
        <f t="shared" si="1"/>
        <v>SRD</v>
      </c>
      <c r="R3" s="80" t="str">
        <f t="shared" si="2"/>
        <v>R</v>
      </c>
      <c r="S3" s="80" t="str">
        <f t="shared" si="3"/>
        <v>12</v>
      </c>
      <c r="T3" s="80" t="str">
        <f t="shared" si="4"/>
        <v>F</v>
      </c>
      <c r="U3" s="80" t="str">
        <f t="shared" si="5"/>
        <v>50T</v>
      </c>
    </row>
    <row r="4" spans="1:22">
      <c r="A4" s="78">
        <v>134829</v>
      </c>
      <c r="B4" s="78" t="s">
        <v>275</v>
      </c>
      <c r="C4" s="79" t="str">
        <f t="shared" si="0"/>
        <v>SRDR12F40T</v>
      </c>
      <c r="D4" s="78">
        <v>0</v>
      </c>
      <c r="E4" s="78">
        <v>0</v>
      </c>
      <c r="F4" s="78">
        <v>1530</v>
      </c>
      <c r="G4" s="78">
        <v>0</v>
      </c>
      <c r="H4" s="78">
        <v>0</v>
      </c>
      <c r="I4" s="78">
        <v>0</v>
      </c>
      <c r="J4" s="78">
        <v>0</v>
      </c>
      <c r="K4" s="78" t="s">
        <v>262</v>
      </c>
      <c r="L4" s="78" t="s">
        <v>263</v>
      </c>
      <c r="M4" s="78" t="s">
        <v>267</v>
      </c>
      <c r="N4" s="78" t="s">
        <v>273</v>
      </c>
      <c r="O4" s="78" t="s">
        <v>265</v>
      </c>
      <c r="Q4" s="80" t="str">
        <f t="shared" si="1"/>
        <v>SRD</v>
      </c>
      <c r="R4" s="80" t="str">
        <f t="shared" si="2"/>
        <v>R</v>
      </c>
      <c r="S4" s="80" t="str">
        <f t="shared" si="3"/>
        <v>12</v>
      </c>
      <c r="T4" s="80" t="str">
        <f t="shared" si="4"/>
        <v>F</v>
      </c>
      <c r="U4" s="80" t="str">
        <f t="shared" si="5"/>
        <v>40T</v>
      </c>
    </row>
    <row r="5" spans="1:22">
      <c r="A5" s="78">
        <v>134830</v>
      </c>
      <c r="B5" s="78" t="s">
        <v>276</v>
      </c>
      <c r="C5" s="79" t="str">
        <f t="shared" si="0"/>
        <v>SRDR12F30T</v>
      </c>
      <c r="D5" s="78">
        <v>0</v>
      </c>
      <c r="E5" s="78">
        <v>0</v>
      </c>
      <c r="F5" s="78">
        <v>1530</v>
      </c>
      <c r="G5" s="78">
        <v>0</v>
      </c>
      <c r="H5" s="78">
        <v>0</v>
      </c>
      <c r="I5" s="78">
        <v>0</v>
      </c>
      <c r="J5" s="78">
        <v>0</v>
      </c>
      <c r="K5" s="78" t="s">
        <v>262</v>
      </c>
      <c r="L5" s="78" t="s">
        <v>263</v>
      </c>
      <c r="M5" s="78" t="s">
        <v>268</v>
      </c>
      <c r="N5" s="78" t="s">
        <v>273</v>
      </c>
      <c r="O5" s="78" t="s">
        <v>265</v>
      </c>
      <c r="Q5" s="80" t="str">
        <f t="shared" si="1"/>
        <v>SRD</v>
      </c>
      <c r="R5" s="80" t="str">
        <f t="shared" si="2"/>
        <v>R</v>
      </c>
      <c r="S5" s="80" t="str">
        <f t="shared" si="3"/>
        <v>12</v>
      </c>
      <c r="T5" s="80" t="str">
        <f t="shared" si="4"/>
        <v>F</v>
      </c>
      <c r="U5" s="80" t="str">
        <f t="shared" si="5"/>
        <v>30T</v>
      </c>
    </row>
    <row r="6" spans="1:22">
      <c r="A6" s="78">
        <v>134831</v>
      </c>
      <c r="B6" s="78" t="s">
        <v>277</v>
      </c>
      <c r="C6" s="79" t="str">
        <f t="shared" si="0"/>
        <v>SRDR12F27T</v>
      </c>
      <c r="D6" s="78">
        <v>0</v>
      </c>
      <c r="E6" s="78">
        <v>0</v>
      </c>
      <c r="F6" s="78">
        <v>1530</v>
      </c>
      <c r="G6" s="78">
        <v>0</v>
      </c>
      <c r="H6" s="78">
        <v>0</v>
      </c>
      <c r="I6" s="78">
        <v>0</v>
      </c>
      <c r="J6" s="78">
        <v>0</v>
      </c>
      <c r="K6" s="78" t="s">
        <v>262</v>
      </c>
      <c r="L6" s="78" t="s">
        <v>263</v>
      </c>
      <c r="M6" s="78" t="s">
        <v>269</v>
      </c>
      <c r="N6" s="78" t="s">
        <v>273</v>
      </c>
      <c r="O6" s="78" t="s">
        <v>265</v>
      </c>
      <c r="Q6" s="80" t="str">
        <f t="shared" si="1"/>
        <v>SRD</v>
      </c>
      <c r="R6" s="80" t="str">
        <f t="shared" si="2"/>
        <v>R</v>
      </c>
      <c r="S6" s="80" t="str">
        <f t="shared" si="3"/>
        <v>12</v>
      </c>
      <c r="T6" s="80" t="str">
        <f t="shared" si="4"/>
        <v>F</v>
      </c>
      <c r="U6" s="80" t="str">
        <f t="shared" si="5"/>
        <v>27T</v>
      </c>
    </row>
    <row r="7" spans="1:22">
      <c r="A7" s="78">
        <v>134835</v>
      </c>
      <c r="B7" s="78" t="s">
        <v>278</v>
      </c>
      <c r="C7" s="79" t="str">
        <f t="shared" si="0"/>
        <v>SRDB12F60T</v>
      </c>
      <c r="D7" s="78">
        <v>0</v>
      </c>
      <c r="E7" s="78">
        <v>0</v>
      </c>
      <c r="F7" s="78">
        <v>1587</v>
      </c>
      <c r="G7" s="78">
        <v>0</v>
      </c>
      <c r="H7" s="78">
        <v>0</v>
      </c>
      <c r="I7" s="78">
        <v>0</v>
      </c>
      <c r="J7" s="78">
        <v>0</v>
      </c>
      <c r="K7" s="78" t="s">
        <v>270</v>
      </c>
      <c r="L7" s="78" t="s">
        <v>263</v>
      </c>
      <c r="M7" s="78" t="s">
        <v>264</v>
      </c>
      <c r="N7" s="78" t="s">
        <v>273</v>
      </c>
      <c r="O7" s="78" t="s">
        <v>265</v>
      </c>
      <c r="Q7" s="80" t="str">
        <f t="shared" si="1"/>
        <v>SRD</v>
      </c>
      <c r="R7" s="80" t="str">
        <f t="shared" si="2"/>
        <v>B</v>
      </c>
      <c r="S7" s="80" t="str">
        <f t="shared" si="3"/>
        <v>12</v>
      </c>
      <c r="T7" s="80" t="str">
        <f t="shared" si="4"/>
        <v>F</v>
      </c>
      <c r="U7" s="80" t="str">
        <f t="shared" si="5"/>
        <v>60T</v>
      </c>
    </row>
    <row r="8" spans="1:22">
      <c r="A8" s="78">
        <v>134836</v>
      </c>
      <c r="B8" s="78" t="s">
        <v>279</v>
      </c>
      <c r="C8" s="79" t="str">
        <f t="shared" si="0"/>
        <v>SRDB12F50T</v>
      </c>
      <c r="D8" s="78">
        <v>0</v>
      </c>
      <c r="E8" s="78">
        <v>0</v>
      </c>
      <c r="F8" s="78">
        <v>1587</v>
      </c>
      <c r="G8" s="78">
        <v>0</v>
      </c>
      <c r="H8" s="78">
        <v>0</v>
      </c>
      <c r="I8" s="78">
        <v>0</v>
      </c>
      <c r="J8" s="78">
        <v>0</v>
      </c>
      <c r="K8" s="78" t="s">
        <v>270</v>
      </c>
      <c r="L8" s="78" t="s">
        <v>263</v>
      </c>
      <c r="M8" s="78" t="s">
        <v>266</v>
      </c>
      <c r="N8" s="78" t="s">
        <v>273</v>
      </c>
      <c r="O8" s="78" t="s">
        <v>265</v>
      </c>
      <c r="Q8" s="80" t="str">
        <f t="shared" si="1"/>
        <v>SRD</v>
      </c>
      <c r="R8" s="80" t="str">
        <f t="shared" si="2"/>
        <v>B</v>
      </c>
      <c r="S8" s="80" t="str">
        <f t="shared" si="3"/>
        <v>12</v>
      </c>
      <c r="T8" s="80" t="str">
        <f t="shared" si="4"/>
        <v>F</v>
      </c>
      <c r="U8" s="80" t="str">
        <f t="shared" si="5"/>
        <v>50T</v>
      </c>
    </row>
    <row r="9" spans="1:22">
      <c r="A9" s="78">
        <v>134837</v>
      </c>
      <c r="B9" s="78" t="s">
        <v>280</v>
      </c>
      <c r="C9" s="79" t="str">
        <f t="shared" si="0"/>
        <v>SRDB12F40T</v>
      </c>
      <c r="D9" s="78">
        <v>0</v>
      </c>
      <c r="E9" s="78">
        <v>0</v>
      </c>
      <c r="F9" s="78">
        <v>1587</v>
      </c>
      <c r="G9" s="78">
        <v>0</v>
      </c>
      <c r="H9" s="78">
        <v>0</v>
      </c>
      <c r="I9" s="78">
        <v>0</v>
      </c>
      <c r="J9" s="78">
        <v>0</v>
      </c>
      <c r="K9" s="78" t="s">
        <v>270</v>
      </c>
      <c r="L9" s="78" t="s">
        <v>263</v>
      </c>
      <c r="M9" s="78" t="s">
        <v>267</v>
      </c>
      <c r="N9" s="78" t="s">
        <v>273</v>
      </c>
      <c r="O9" s="78" t="s">
        <v>265</v>
      </c>
      <c r="Q9" s="80" t="str">
        <f t="shared" si="1"/>
        <v>SRD</v>
      </c>
      <c r="R9" s="80" t="str">
        <f t="shared" si="2"/>
        <v>B</v>
      </c>
      <c r="S9" s="80" t="str">
        <f t="shared" si="3"/>
        <v>12</v>
      </c>
      <c r="T9" s="80" t="str">
        <f t="shared" si="4"/>
        <v>F</v>
      </c>
      <c r="U9" s="80" t="str">
        <f t="shared" si="5"/>
        <v>40T</v>
      </c>
    </row>
    <row r="10" spans="1:22">
      <c r="A10" s="78">
        <v>134838</v>
      </c>
      <c r="B10" s="78" t="s">
        <v>281</v>
      </c>
      <c r="C10" s="79" t="str">
        <f t="shared" si="0"/>
        <v>SRDB12F30T</v>
      </c>
      <c r="D10" s="78">
        <v>0</v>
      </c>
      <c r="E10" s="78">
        <v>0</v>
      </c>
      <c r="F10" s="78">
        <v>1587</v>
      </c>
      <c r="G10" s="78">
        <v>0</v>
      </c>
      <c r="H10" s="78">
        <v>0</v>
      </c>
      <c r="I10" s="78">
        <v>0</v>
      </c>
      <c r="J10" s="78">
        <v>0</v>
      </c>
      <c r="K10" s="78" t="s">
        <v>270</v>
      </c>
      <c r="L10" s="78" t="s">
        <v>263</v>
      </c>
      <c r="M10" s="78" t="s">
        <v>268</v>
      </c>
      <c r="N10" s="78" t="s">
        <v>273</v>
      </c>
      <c r="O10" s="78" t="s">
        <v>265</v>
      </c>
      <c r="Q10" s="80" t="str">
        <f t="shared" si="1"/>
        <v>SRD</v>
      </c>
      <c r="R10" s="80" t="str">
        <f t="shared" si="2"/>
        <v>B</v>
      </c>
      <c r="S10" s="80" t="str">
        <f t="shared" si="3"/>
        <v>12</v>
      </c>
      <c r="T10" s="80" t="str">
        <f t="shared" si="4"/>
        <v>F</v>
      </c>
      <c r="U10" s="80" t="str">
        <f t="shared" si="5"/>
        <v>30T</v>
      </c>
    </row>
    <row r="11" spans="1:22">
      <c r="A11" s="78">
        <v>134839</v>
      </c>
      <c r="B11" s="78" t="s">
        <v>282</v>
      </c>
      <c r="C11" s="79" t="str">
        <f t="shared" si="0"/>
        <v>SRDB12F27T</v>
      </c>
      <c r="D11" s="78">
        <v>0</v>
      </c>
      <c r="E11" s="78">
        <v>0</v>
      </c>
      <c r="F11" s="78">
        <v>1587</v>
      </c>
      <c r="G11" s="78">
        <v>0</v>
      </c>
      <c r="H11" s="78">
        <v>0</v>
      </c>
      <c r="I11" s="78">
        <v>0</v>
      </c>
      <c r="J11" s="78">
        <v>0</v>
      </c>
      <c r="K11" s="78" t="s">
        <v>270</v>
      </c>
      <c r="L11" s="78" t="s">
        <v>263</v>
      </c>
      <c r="M11" s="78" t="s">
        <v>269</v>
      </c>
      <c r="N11" s="78" t="s">
        <v>273</v>
      </c>
      <c r="O11" s="78" t="s">
        <v>265</v>
      </c>
      <c r="Q11" s="80" t="str">
        <f t="shared" si="1"/>
        <v>SRD</v>
      </c>
      <c r="R11" s="80" t="str">
        <f t="shared" si="2"/>
        <v>B</v>
      </c>
      <c r="S11" s="80" t="str">
        <f t="shared" si="3"/>
        <v>12</v>
      </c>
      <c r="T11" s="80" t="str">
        <f t="shared" si="4"/>
        <v>F</v>
      </c>
      <c r="U11" s="80" t="str">
        <f t="shared" si="5"/>
        <v>27T</v>
      </c>
    </row>
    <row r="12" spans="1:22">
      <c r="A12" s="78">
        <v>134843</v>
      </c>
      <c r="B12" s="78" t="s">
        <v>283</v>
      </c>
      <c r="C12" s="79" t="str">
        <f t="shared" si="0"/>
        <v>SRDT12F60T</v>
      </c>
      <c r="D12" s="78">
        <v>0</v>
      </c>
      <c r="E12" s="78">
        <v>0</v>
      </c>
      <c r="F12" s="78">
        <v>1649</v>
      </c>
      <c r="G12" s="78">
        <v>0</v>
      </c>
      <c r="H12" s="78">
        <v>0</v>
      </c>
      <c r="I12" s="78">
        <v>0</v>
      </c>
      <c r="J12" s="78">
        <v>0</v>
      </c>
      <c r="K12" s="78" t="s">
        <v>271</v>
      </c>
      <c r="L12" s="78" t="s">
        <v>263</v>
      </c>
      <c r="M12" s="78" t="s">
        <v>264</v>
      </c>
      <c r="N12" s="78" t="s">
        <v>273</v>
      </c>
      <c r="O12" s="78" t="s">
        <v>265</v>
      </c>
      <c r="Q12" s="80" t="str">
        <f t="shared" si="1"/>
        <v>SRD</v>
      </c>
      <c r="R12" s="80" t="str">
        <f t="shared" si="2"/>
        <v>T</v>
      </c>
      <c r="S12" s="80" t="str">
        <f t="shared" si="3"/>
        <v>12</v>
      </c>
      <c r="T12" s="80" t="str">
        <f t="shared" si="4"/>
        <v>F</v>
      </c>
      <c r="U12" s="80" t="str">
        <f t="shared" si="5"/>
        <v>60T</v>
      </c>
    </row>
    <row r="13" spans="1:22">
      <c r="A13" s="78">
        <v>134844</v>
      </c>
      <c r="B13" s="78" t="s">
        <v>284</v>
      </c>
      <c r="C13" s="79" t="str">
        <f t="shared" si="0"/>
        <v>SRDT12F50T</v>
      </c>
      <c r="D13" s="78">
        <v>0</v>
      </c>
      <c r="E13" s="78">
        <v>0</v>
      </c>
      <c r="F13" s="78">
        <v>1649</v>
      </c>
      <c r="G13" s="78">
        <v>0</v>
      </c>
      <c r="H13" s="78">
        <v>0</v>
      </c>
      <c r="I13" s="78">
        <v>0</v>
      </c>
      <c r="J13" s="78">
        <v>0</v>
      </c>
      <c r="K13" s="78" t="s">
        <v>271</v>
      </c>
      <c r="L13" s="78" t="s">
        <v>263</v>
      </c>
      <c r="M13" s="78" t="s">
        <v>266</v>
      </c>
      <c r="N13" s="78" t="s">
        <v>273</v>
      </c>
      <c r="O13" s="78" t="s">
        <v>265</v>
      </c>
      <c r="Q13" s="80" t="str">
        <f t="shared" si="1"/>
        <v>SRD</v>
      </c>
      <c r="R13" s="80" t="str">
        <f t="shared" si="2"/>
        <v>T</v>
      </c>
      <c r="S13" s="80" t="str">
        <f t="shared" si="3"/>
        <v>12</v>
      </c>
      <c r="T13" s="80" t="str">
        <f t="shared" si="4"/>
        <v>F</v>
      </c>
      <c r="U13" s="80" t="str">
        <f t="shared" si="5"/>
        <v>50T</v>
      </c>
    </row>
    <row r="14" spans="1:22">
      <c r="A14" s="78">
        <v>134845</v>
      </c>
      <c r="B14" s="78" t="s">
        <v>285</v>
      </c>
      <c r="C14" s="79" t="str">
        <f t="shared" si="0"/>
        <v>SRDT12F40T</v>
      </c>
      <c r="D14" s="78">
        <v>0</v>
      </c>
      <c r="E14" s="78">
        <v>0</v>
      </c>
      <c r="F14" s="78">
        <v>1649</v>
      </c>
      <c r="G14" s="78">
        <v>0</v>
      </c>
      <c r="H14" s="78">
        <v>0</v>
      </c>
      <c r="I14" s="78">
        <v>0</v>
      </c>
      <c r="J14" s="78">
        <v>0</v>
      </c>
      <c r="K14" s="78" t="s">
        <v>271</v>
      </c>
      <c r="L14" s="78" t="s">
        <v>263</v>
      </c>
      <c r="M14" s="78" t="s">
        <v>267</v>
      </c>
      <c r="N14" s="78" t="s">
        <v>273</v>
      </c>
      <c r="O14" s="78" t="s">
        <v>265</v>
      </c>
      <c r="Q14" s="80" t="str">
        <f t="shared" si="1"/>
        <v>SRD</v>
      </c>
      <c r="R14" s="80" t="str">
        <f t="shared" si="2"/>
        <v>T</v>
      </c>
      <c r="S14" s="80" t="str">
        <f t="shared" si="3"/>
        <v>12</v>
      </c>
      <c r="T14" s="80" t="str">
        <f t="shared" si="4"/>
        <v>F</v>
      </c>
      <c r="U14" s="80" t="str">
        <f t="shared" si="5"/>
        <v>40T</v>
      </c>
    </row>
    <row r="15" spans="1:22">
      <c r="A15" s="78">
        <v>134846</v>
      </c>
      <c r="B15" s="78" t="s">
        <v>286</v>
      </c>
      <c r="C15" s="79" t="str">
        <f t="shared" si="0"/>
        <v>SRDT12F30T</v>
      </c>
      <c r="D15" s="78">
        <v>0</v>
      </c>
      <c r="E15" s="78">
        <v>0</v>
      </c>
      <c r="F15" s="78">
        <v>1649</v>
      </c>
      <c r="G15" s="78">
        <v>0</v>
      </c>
      <c r="H15" s="78">
        <v>0</v>
      </c>
      <c r="I15" s="78">
        <v>0</v>
      </c>
      <c r="J15" s="78">
        <v>0</v>
      </c>
      <c r="K15" s="78" t="s">
        <v>271</v>
      </c>
      <c r="L15" s="78" t="s">
        <v>263</v>
      </c>
      <c r="M15" s="78" t="s">
        <v>268</v>
      </c>
      <c r="N15" s="78" t="s">
        <v>273</v>
      </c>
      <c r="O15" s="78" t="s">
        <v>265</v>
      </c>
      <c r="Q15" s="80" t="str">
        <f t="shared" si="1"/>
        <v>SRD</v>
      </c>
      <c r="R15" s="80" t="str">
        <f t="shared" si="2"/>
        <v>T</v>
      </c>
      <c r="S15" s="80" t="str">
        <f t="shared" si="3"/>
        <v>12</v>
      </c>
      <c r="T15" s="80" t="str">
        <f t="shared" si="4"/>
        <v>F</v>
      </c>
      <c r="U15" s="80" t="str">
        <f t="shared" si="5"/>
        <v>30T</v>
      </c>
    </row>
    <row r="16" spans="1:22">
      <c r="A16" s="78">
        <v>134847</v>
      </c>
      <c r="B16" s="78" t="s">
        <v>287</v>
      </c>
      <c r="C16" s="79" t="str">
        <f t="shared" si="0"/>
        <v>SRDT12F27T</v>
      </c>
      <c r="D16" s="78">
        <v>0</v>
      </c>
      <c r="E16" s="78">
        <v>0</v>
      </c>
      <c r="F16" s="78">
        <v>1649</v>
      </c>
      <c r="G16" s="78">
        <v>0</v>
      </c>
      <c r="H16" s="78">
        <v>0</v>
      </c>
      <c r="I16" s="78">
        <v>0</v>
      </c>
      <c r="J16" s="78">
        <v>0</v>
      </c>
      <c r="K16" s="78" t="s">
        <v>271</v>
      </c>
      <c r="L16" s="78" t="s">
        <v>263</v>
      </c>
      <c r="M16" s="78" t="s">
        <v>269</v>
      </c>
      <c r="N16" s="78" t="s">
        <v>273</v>
      </c>
      <c r="O16" s="78" t="s">
        <v>265</v>
      </c>
      <c r="Q16" s="80" t="str">
        <f t="shared" si="1"/>
        <v>SRD</v>
      </c>
      <c r="R16" s="80" t="str">
        <f t="shared" si="2"/>
        <v>T</v>
      </c>
      <c r="S16" s="80" t="str">
        <f t="shared" si="3"/>
        <v>12</v>
      </c>
      <c r="T16" s="80" t="str">
        <f t="shared" si="4"/>
        <v>F</v>
      </c>
      <c r="U16" s="80" t="str">
        <f t="shared" si="5"/>
        <v>27T</v>
      </c>
    </row>
    <row r="17" spans="1:21">
      <c r="A17" s="78">
        <v>134971</v>
      </c>
      <c r="B17" s="78" t="s">
        <v>288</v>
      </c>
      <c r="C17" s="79" t="str">
        <f t="shared" ref="C17:C31" si="6">CONCATENATE(Q17,R17,S17,T17,U17)</f>
        <v>SRDR12F60I</v>
      </c>
      <c r="D17" s="78">
        <v>0</v>
      </c>
      <c r="E17" s="78">
        <v>0</v>
      </c>
      <c r="F17" s="78">
        <v>2669</v>
      </c>
      <c r="G17" s="78">
        <v>0</v>
      </c>
      <c r="H17" s="78">
        <v>0</v>
      </c>
      <c r="I17" s="78">
        <v>0</v>
      </c>
      <c r="J17" s="78">
        <v>0</v>
      </c>
      <c r="K17" s="78" t="s">
        <v>262</v>
      </c>
      <c r="L17" s="78" t="s">
        <v>263</v>
      </c>
      <c r="M17" s="78" t="s">
        <v>264</v>
      </c>
      <c r="N17" s="78" t="s">
        <v>221</v>
      </c>
      <c r="O17" s="78" t="s">
        <v>265</v>
      </c>
      <c r="Q17" s="80" t="str">
        <f t="shared" ref="Q17:Q31" si="7">MID(B17,1,3)</f>
        <v>SRD</v>
      </c>
      <c r="R17" s="80" t="str">
        <f t="shared" ref="R17:R31" si="8">MID(B17,4,1)</f>
        <v>R</v>
      </c>
      <c r="S17" s="80" t="str">
        <f t="shared" ref="S17:S31" si="9">MID(B17,5,2)</f>
        <v>12</v>
      </c>
      <c r="T17" s="80" t="str">
        <f t="shared" ref="T17:T31" si="10">MID(B17,7,1)</f>
        <v>F</v>
      </c>
      <c r="U17" s="80" t="str">
        <f t="shared" si="5"/>
        <v>60I</v>
      </c>
    </row>
    <row r="18" spans="1:21">
      <c r="A18" s="78">
        <v>134972</v>
      </c>
      <c r="B18" s="78" t="s">
        <v>289</v>
      </c>
      <c r="C18" s="79" t="str">
        <f t="shared" si="6"/>
        <v>SRDR12F50I</v>
      </c>
      <c r="D18" s="78">
        <v>0</v>
      </c>
      <c r="E18" s="78">
        <v>0</v>
      </c>
      <c r="F18" s="78">
        <v>2669</v>
      </c>
      <c r="G18" s="78">
        <v>0</v>
      </c>
      <c r="H18" s="78">
        <v>0</v>
      </c>
      <c r="I18" s="78">
        <v>0</v>
      </c>
      <c r="J18" s="78">
        <v>0</v>
      </c>
      <c r="K18" s="78" t="s">
        <v>262</v>
      </c>
      <c r="L18" s="78" t="s">
        <v>263</v>
      </c>
      <c r="M18" s="78" t="s">
        <v>266</v>
      </c>
      <c r="N18" s="78" t="s">
        <v>221</v>
      </c>
      <c r="O18" s="78" t="s">
        <v>265</v>
      </c>
      <c r="Q18" s="80" t="str">
        <f t="shared" si="7"/>
        <v>SRD</v>
      </c>
      <c r="R18" s="80" t="str">
        <f t="shared" si="8"/>
        <v>R</v>
      </c>
      <c r="S18" s="80" t="str">
        <f t="shared" si="9"/>
        <v>12</v>
      </c>
      <c r="T18" s="80" t="str">
        <f t="shared" si="10"/>
        <v>F</v>
      </c>
      <c r="U18" s="80" t="str">
        <f t="shared" si="5"/>
        <v>50I</v>
      </c>
    </row>
    <row r="19" spans="1:21">
      <c r="A19" s="78">
        <v>134973</v>
      </c>
      <c r="B19" s="78" t="s">
        <v>290</v>
      </c>
      <c r="C19" s="79" t="str">
        <f t="shared" si="6"/>
        <v>SRDR12F40I</v>
      </c>
      <c r="D19" s="78">
        <v>0</v>
      </c>
      <c r="E19" s="78">
        <v>0</v>
      </c>
      <c r="F19" s="78">
        <v>2669</v>
      </c>
      <c r="G19" s="78">
        <v>0</v>
      </c>
      <c r="H19" s="78">
        <v>0</v>
      </c>
      <c r="I19" s="78">
        <v>0</v>
      </c>
      <c r="J19" s="78">
        <v>0</v>
      </c>
      <c r="K19" s="78" t="s">
        <v>262</v>
      </c>
      <c r="L19" s="78" t="s">
        <v>263</v>
      </c>
      <c r="M19" s="78" t="s">
        <v>267</v>
      </c>
      <c r="N19" s="78" t="s">
        <v>221</v>
      </c>
      <c r="O19" s="78" t="s">
        <v>265</v>
      </c>
      <c r="Q19" s="80" t="str">
        <f t="shared" si="7"/>
        <v>SRD</v>
      </c>
      <c r="R19" s="80" t="str">
        <f t="shared" si="8"/>
        <v>R</v>
      </c>
      <c r="S19" s="80" t="str">
        <f t="shared" si="9"/>
        <v>12</v>
      </c>
      <c r="T19" s="80" t="str">
        <f t="shared" si="10"/>
        <v>F</v>
      </c>
      <c r="U19" s="80" t="str">
        <f t="shared" si="5"/>
        <v>40I</v>
      </c>
    </row>
    <row r="20" spans="1:21">
      <c r="A20" s="78">
        <v>134974</v>
      </c>
      <c r="B20" s="78" t="s">
        <v>291</v>
      </c>
      <c r="C20" s="79" t="str">
        <f t="shared" si="6"/>
        <v>SRDR12F30I</v>
      </c>
      <c r="D20" s="78">
        <v>0</v>
      </c>
      <c r="E20" s="78">
        <v>0</v>
      </c>
      <c r="F20" s="78">
        <v>2669</v>
      </c>
      <c r="G20" s="78">
        <v>0</v>
      </c>
      <c r="H20" s="78">
        <v>0</v>
      </c>
      <c r="I20" s="78">
        <v>0</v>
      </c>
      <c r="J20" s="78">
        <v>0</v>
      </c>
      <c r="K20" s="78" t="s">
        <v>262</v>
      </c>
      <c r="L20" s="78" t="s">
        <v>263</v>
      </c>
      <c r="M20" s="78" t="s">
        <v>268</v>
      </c>
      <c r="N20" s="78" t="s">
        <v>221</v>
      </c>
      <c r="O20" s="78" t="s">
        <v>265</v>
      </c>
      <c r="Q20" s="80" t="str">
        <f t="shared" si="7"/>
        <v>SRD</v>
      </c>
      <c r="R20" s="80" t="str">
        <f t="shared" si="8"/>
        <v>R</v>
      </c>
      <c r="S20" s="80" t="str">
        <f t="shared" si="9"/>
        <v>12</v>
      </c>
      <c r="T20" s="80" t="str">
        <f t="shared" si="10"/>
        <v>F</v>
      </c>
      <c r="U20" s="80" t="str">
        <f t="shared" si="5"/>
        <v>30I</v>
      </c>
    </row>
    <row r="21" spans="1:21">
      <c r="A21" s="78">
        <v>134975</v>
      </c>
      <c r="B21" s="78" t="s">
        <v>292</v>
      </c>
      <c r="C21" s="79" t="str">
        <f t="shared" si="6"/>
        <v>SRDR12F27I</v>
      </c>
      <c r="D21" s="78">
        <v>0</v>
      </c>
      <c r="E21" s="78">
        <v>0</v>
      </c>
      <c r="F21" s="78">
        <v>2669</v>
      </c>
      <c r="G21" s="78">
        <v>0</v>
      </c>
      <c r="H21" s="78">
        <v>0</v>
      </c>
      <c r="I21" s="78">
        <v>0</v>
      </c>
      <c r="J21" s="78">
        <v>0</v>
      </c>
      <c r="K21" s="78" t="s">
        <v>262</v>
      </c>
      <c r="L21" s="78" t="s">
        <v>263</v>
      </c>
      <c r="M21" s="78" t="s">
        <v>269</v>
      </c>
      <c r="N21" s="78" t="s">
        <v>221</v>
      </c>
      <c r="O21" s="78" t="s">
        <v>265</v>
      </c>
      <c r="Q21" s="80" t="str">
        <f t="shared" si="7"/>
        <v>SRD</v>
      </c>
      <c r="R21" s="80" t="str">
        <f t="shared" si="8"/>
        <v>R</v>
      </c>
      <c r="S21" s="80" t="str">
        <f t="shared" si="9"/>
        <v>12</v>
      </c>
      <c r="T21" s="80" t="str">
        <f t="shared" si="10"/>
        <v>F</v>
      </c>
      <c r="U21" s="80" t="str">
        <f t="shared" si="5"/>
        <v>27I</v>
      </c>
    </row>
    <row r="22" spans="1:21">
      <c r="A22" s="78">
        <v>134979</v>
      </c>
      <c r="B22" s="78" t="s">
        <v>293</v>
      </c>
      <c r="C22" s="79" t="str">
        <f t="shared" si="6"/>
        <v>SRDB12F60I</v>
      </c>
      <c r="D22" s="78">
        <v>0</v>
      </c>
      <c r="E22" s="78">
        <v>0</v>
      </c>
      <c r="F22" s="78">
        <v>2726</v>
      </c>
      <c r="G22" s="78">
        <v>0</v>
      </c>
      <c r="H22" s="78">
        <v>0</v>
      </c>
      <c r="I22" s="78">
        <v>0</v>
      </c>
      <c r="J22" s="78">
        <v>0</v>
      </c>
      <c r="K22" s="78" t="s">
        <v>270</v>
      </c>
      <c r="L22" s="78" t="s">
        <v>263</v>
      </c>
      <c r="M22" s="78" t="s">
        <v>264</v>
      </c>
      <c r="N22" s="78" t="s">
        <v>221</v>
      </c>
      <c r="O22" s="78" t="s">
        <v>265</v>
      </c>
      <c r="Q22" s="80" t="str">
        <f t="shared" si="7"/>
        <v>SRD</v>
      </c>
      <c r="R22" s="80" t="str">
        <f t="shared" si="8"/>
        <v>B</v>
      </c>
      <c r="S22" s="80" t="str">
        <f t="shared" si="9"/>
        <v>12</v>
      </c>
      <c r="T22" s="80" t="str">
        <f t="shared" si="10"/>
        <v>F</v>
      </c>
      <c r="U22" s="80" t="str">
        <f t="shared" si="5"/>
        <v>60I</v>
      </c>
    </row>
    <row r="23" spans="1:21">
      <c r="A23" s="78">
        <v>134980</v>
      </c>
      <c r="B23" s="78" t="s">
        <v>294</v>
      </c>
      <c r="C23" s="79" t="str">
        <f t="shared" si="6"/>
        <v>SRDB12F50I</v>
      </c>
      <c r="D23" s="78">
        <v>0</v>
      </c>
      <c r="E23" s="78">
        <v>0</v>
      </c>
      <c r="F23" s="78">
        <v>2726</v>
      </c>
      <c r="G23" s="78">
        <v>0</v>
      </c>
      <c r="H23" s="78">
        <v>0</v>
      </c>
      <c r="I23" s="78">
        <v>0</v>
      </c>
      <c r="J23" s="78">
        <v>0</v>
      </c>
      <c r="K23" s="78" t="s">
        <v>270</v>
      </c>
      <c r="L23" s="78" t="s">
        <v>263</v>
      </c>
      <c r="M23" s="78" t="s">
        <v>266</v>
      </c>
      <c r="N23" s="78" t="s">
        <v>221</v>
      </c>
      <c r="O23" s="78" t="s">
        <v>265</v>
      </c>
      <c r="Q23" s="80" t="str">
        <f t="shared" si="7"/>
        <v>SRD</v>
      </c>
      <c r="R23" s="80" t="str">
        <f t="shared" si="8"/>
        <v>B</v>
      </c>
      <c r="S23" s="80" t="str">
        <f t="shared" si="9"/>
        <v>12</v>
      </c>
      <c r="T23" s="80" t="str">
        <f t="shared" si="10"/>
        <v>F</v>
      </c>
      <c r="U23" s="80" t="str">
        <f t="shared" si="5"/>
        <v>50I</v>
      </c>
    </row>
    <row r="24" spans="1:21">
      <c r="A24" s="78">
        <v>134981</v>
      </c>
      <c r="B24" s="78" t="s">
        <v>295</v>
      </c>
      <c r="C24" s="79" t="str">
        <f t="shared" si="6"/>
        <v>SRDB12F40I</v>
      </c>
      <c r="D24" s="78">
        <v>0</v>
      </c>
      <c r="E24" s="78">
        <v>0</v>
      </c>
      <c r="F24" s="78">
        <v>2726</v>
      </c>
      <c r="G24" s="78">
        <v>0</v>
      </c>
      <c r="H24" s="78">
        <v>0</v>
      </c>
      <c r="I24" s="78">
        <v>0</v>
      </c>
      <c r="J24" s="78">
        <v>0</v>
      </c>
      <c r="K24" s="78" t="s">
        <v>270</v>
      </c>
      <c r="L24" s="78" t="s">
        <v>263</v>
      </c>
      <c r="M24" s="78" t="s">
        <v>267</v>
      </c>
      <c r="N24" s="78" t="s">
        <v>221</v>
      </c>
      <c r="O24" s="78" t="s">
        <v>265</v>
      </c>
      <c r="Q24" s="80" t="str">
        <f t="shared" si="7"/>
        <v>SRD</v>
      </c>
      <c r="R24" s="80" t="str">
        <f t="shared" si="8"/>
        <v>B</v>
      </c>
      <c r="S24" s="80" t="str">
        <f t="shared" si="9"/>
        <v>12</v>
      </c>
      <c r="T24" s="80" t="str">
        <f t="shared" si="10"/>
        <v>F</v>
      </c>
      <c r="U24" s="80" t="str">
        <f t="shared" si="5"/>
        <v>40I</v>
      </c>
    </row>
    <row r="25" spans="1:21">
      <c r="A25" s="78">
        <v>134982</v>
      </c>
      <c r="B25" s="78" t="s">
        <v>296</v>
      </c>
      <c r="C25" s="79" t="str">
        <f t="shared" si="6"/>
        <v>SRDB12F30I</v>
      </c>
      <c r="D25" s="78">
        <v>0</v>
      </c>
      <c r="E25" s="78">
        <v>0</v>
      </c>
      <c r="F25" s="78">
        <v>2726</v>
      </c>
      <c r="G25" s="78">
        <v>0</v>
      </c>
      <c r="H25" s="78">
        <v>0</v>
      </c>
      <c r="I25" s="78">
        <v>0</v>
      </c>
      <c r="J25" s="78">
        <v>0</v>
      </c>
      <c r="K25" s="78" t="s">
        <v>270</v>
      </c>
      <c r="L25" s="78" t="s">
        <v>263</v>
      </c>
      <c r="M25" s="78" t="s">
        <v>268</v>
      </c>
      <c r="N25" s="78" t="s">
        <v>221</v>
      </c>
      <c r="O25" s="78" t="s">
        <v>265</v>
      </c>
      <c r="Q25" s="80" t="str">
        <f t="shared" si="7"/>
        <v>SRD</v>
      </c>
      <c r="R25" s="80" t="str">
        <f t="shared" si="8"/>
        <v>B</v>
      </c>
      <c r="S25" s="80" t="str">
        <f t="shared" si="9"/>
        <v>12</v>
      </c>
      <c r="T25" s="80" t="str">
        <f t="shared" si="10"/>
        <v>F</v>
      </c>
      <c r="U25" s="80" t="str">
        <f t="shared" si="5"/>
        <v>30I</v>
      </c>
    </row>
    <row r="26" spans="1:21">
      <c r="A26" s="78">
        <v>134983</v>
      </c>
      <c r="B26" s="78" t="s">
        <v>297</v>
      </c>
      <c r="C26" s="79" t="str">
        <f t="shared" si="6"/>
        <v>SRDB12F27I</v>
      </c>
      <c r="D26" s="78">
        <v>0</v>
      </c>
      <c r="E26" s="78">
        <v>0</v>
      </c>
      <c r="F26" s="78">
        <v>2726</v>
      </c>
      <c r="G26" s="78">
        <v>0</v>
      </c>
      <c r="H26" s="78">
        <v>0</v>
      </c>
      <c r="I26" s="78">
        <v>0</v>
      </c>
      <c r="J26" s="78">
        <v>0</v>
      </c>
      <c r="K26" s="78" t="s">
        <v>270</v>
      </c>
      <c r="L26" s="78" t="s">
        <v>263</v>
      </c>
      <c r="M26" s="78" t="s">
        <v>269</v>
      </c>
      <c r="N26" s="78" t="s">
        <v>221</v>
      </c>
      <c r="O26" s="78" t="s">
        <v>265</v>
      </c>
      <c r="Q26" s="80" t="str">
        <f t="shared" si="7"/>
        <v>SRD</v>
      </c>
      <c r="R26" s="80" t="str">
        <f t="shared" si="8"/>
        <v>B</v>
      </c>
      <c r="S26" s="80" t="str">
        <f t="shared" si="9"/>
        <v>12</v>
      </c>
      <c r="T26" s="80" t="str">
        <f t="shared" si="10"/>
        <v>F</v>
      </c>
      <c r="U26" s="80" t="str">
        <f t="shared" si="5"/>
        <v>27I</v>
      </c>
    </row>
    <row r="27" spans="1:21">
      <c r="A27" s="78">
        <v>134987</v>
      </c>
      <c r="B27" s="78" t="s">
        <v>298</v>
      </c>
      <c r="C27" s="79" t="str">
        <f t="shared" si="6"/>
        <v>SRDT12F60I</v>
      </c>
      <c r="D27" s="78">
        <v>0</v>
      </c>
      <c r="E27" s="78">
        <v>0</v>
      </c>
      <c r="F27" s="78">
        <v>2787</v>
      </c>
      <c r="G27" s="78">
        <v>0</v>
      </c>
      <c r="H27" s="78">
        <v>0</v>
      </c>
      <c r="I27" s="78">
        <v>0</v>
      </c>
      <c r="J27" s="78">
        <v>0</v>
      </c>
      <c r="K27" s="78" t="s">
        <v>271</v>
      </c>
      <c r="L27" s="78" t="s">
        <v>263</v>
      </c>
      <c r="M27" s="78" t="s">
        <v>264</v>
      </c>
      <c r="N27" s="78" t="s">
        <v>221</v>
      </c>
      <c r="O27" s="78" t="s">
        <v>265</v>
      </c>
      <c r="Q27" s="80" t="str">
        <f t="shared" si="7"/>
        <v>SRD</v>
      </c>
      <c r="R27" s="80" t="str">
        <f t="shared" si="8"/>
        <v>T</v>
      </c>
      <c r="S27" s="80" t="str">
        <f t="shared" si="9"/>
        <v>12</v>
      </c>
      <c r="T27" s="80" t="str">
        <f t="shared" si="10"/>
        <v>F</v>
      </c>
      <c r="U27" s="80" t="str">
        <f t="shared" si="5"/>
        <v>60I</v>
      </c>
    </row>
    <row r="28" spans="1:21">
      <c r="A28" s="78">
        <v>134988</v>
      </c>
      <c r="B28" s="78" t="s">
        <v>299</v>
      </c>
      <c r="C28" s="79" t="str">
        <f t="shared" si="6"/>
        <v>SRDT12F50I</v>
      </c>
      <c r="D28" s="78">
        <v>0</v>
      </c>
      <c r="E28" s="78">
        <v>0</v>
      </c>
      <c r="F28" s="78">
        <v>2787</v>
      </c>
      <c r="G28" s="78">
        <v>0</v>
      </c>
      <c r="H28" s="78">
        <v>0</v>
      </c>
      <c r="I28" s="78">
        <v>0</v>
      </c>
      <c r="J28" s="78">
        <v>0</v>
      </c>
      <c r="K28" s="78" t="s">
        <v>271</v>
      </c>
      <c r="L28" s="78" t="s">
        <v>263</v>
      </c>
      <c r="M28" s="78" t="s">
        <v>266</v>
      </c>
      <c r="N28" s="78" t="s">
        <v>221</v>
      </c>
      <c r="O28" s="78" t="s">
        <v>265</v>
      </c>
      <c r="Q28" s="80" t="str">
        <f t="shared" si="7"/>
        <v>SRD</v>
      </c>
      <c r="R28" s="80" t="str">
        <f t="shared" si="8"/>
        <v>T</v>
      </c>
      <c r="S28" s="80" t="str">
        <f t="shared" si="9"/>
        <v>12</v>
      </c>
      <c r="T28" s="80" t="str">
        <f t="shared" si="10"/>
        <v>F</v>
      </c>
      <c r="U28" s="80" t="str">
        <f t="shared" si="5"/>
        <v>50I</v>
      </c>
    </row>
    <row r="29" spans="1:21">
      <c r="A29" s="78">
        <v>134989</v>
      </c>
      <c r="B29" s="78" t="s">
        <v>300</v>
      </c>
      <c r="C29" s="79" t="str">
        <f t="shared" si="6"/>
        <v>SRDT12F40I</v>
      </c>
      <c r="D29" s="78">
        <v>0</v>
      </c>
      <c r="E29" s="78">
        <v>0</v>
      </c>
      <c r="F29" s="78">
        <v>2787</v>
      </c>
      <c r="G29" s="78">
        <v>0</v>
      </c>
      <c r="H29" s="78">
        <v>0</v>
      </c>
      <c r="I29" s="78">
        <v>0</v>
      </c>
      <c r="J29" s="78">
        <v>0</v>
      </c>
      <c r="K29" s="78" t="s">
        <v>271</v>
      </c>
      <c r="L29" s="78" t="s">
        <v>263</v>
      </c>
      <c r="M29" s="78" t="s">
        <v>267</v>
      </c>
      <c r="N29" s="78" t="s">
        <v>221</v>
      </c>
      <c r="O29" s="78" t="s">
        <v>265</v>
      </c>
      <c r="Q29" s="80" t="str">
        <f t="shared" si="7"/>
        <v>SRD</v>
      </c>
      <c r="R29" s="80" t="str">
        <f t="shared" si="8"/>
        <v>T</v>
      </c>
      <c r="S29" s="80" t="str">
        <f t="shared" si="9"/>
        <v>12</v>
      </c>
      <c r="T29" s="80" t="str">
        <f t="shared" si="10"/>
        <v>F</v>
      </c>
      <c r="U29" s="80" t="str">
        <f t="shared" si="5"/>
        <v>40I</v>
      </c>
    </row>
    <row r="30" spans="1:21">
      <c r="A30" s="78">
        <v>134990</v>
      </c>
      <c r="B30" s="78" t="s">
        <v>301</v>
      </c>
      <c r="C30" s="79" t="str">
        <f t="shared" si="6"/>
        <v>SRDT12F30I</v>
      </c>
      <c r="D30" s="78">
        <v>0</v>
      </c>
      <c r="E30" s="78">
        <v>0</v>
      </c>
      <c r="F30" s="78">
        <v>2787</v>
      </c>
      <c r="G30" s="78">
        <v>0</v>
      </c>
      <c r="H30" s="78">
        <v>0</v>
      </c>
      <c r="I30" s="78">
        <v>0</v>
      </c>
      <c r="J30" s="78">
        <v>0</v>
      </c>
      <c r="K30" s="78" t="s">
        <v>271</v>
      </c>
      <c r="L30" s="78" t="s">
        <v>263</v>
      </c>
      <c r="M30" s="78" t="s">
        <v>268</v>
      </c>
      <c r="N30" s="78" t="s">
        <v>221</v>
      </c>
      <c r="O30" s="78" t="s">
        <v>265</v>
      </c>
      <c r="Q30" s="80" t="str">
        <f t="shared" si="7"/>
        <v>SRD</v>
      </c>
      <c r="R30" s="80" t="str">
        <f t="shared" si="8"/>
        <v>T</v>
      </c>
      <c r="S30" s="80" t="str">
        <f t="shared" si="9"/>
        <v>12</v>
      </c>
      <c r="T30" s="80" t="str">
        <f t="shared" si="10"/>
        <v>F</v>
      </c>
      <c r="U30" s="80" t="str">
        <f t="shared" si="5"/>
        <v>30I</v>
      </c>
    </row>
    <row r="31" spans="1:21">
      <c r="A31" s="78">
        <v>134991</v>
      </c>
      <c r="B31" s="78" t="s">
        <v>302</v>
      </c>
      <c r="C31" s="79" t="str">
        <f t="shared" si="6"/>
        <v>SRDT12F27I</v>
      </c>
      <c r="D31" s="78">
        <v>0</v>
      </c>
      <c r="E31" s="78">
        <v>0</v>
      </c>
      <c r="F31" s="78">
        <v>2787</v>
      </c>
      <c r="G31" s="78">
        <v>0</v>
      </c>
      <c r="H31" s="78">
        <v>0</v>
      </c>
      <c r="I31" s="78">
        <v>0</v>
      </c>
      <c r="J31" s="78">
        <v>0</v>
      </c>
      <c r="K31" s="78" t="s">
        <v>271</v>
      </c>
      <c r="L31" s="78" t="s">
        <v>263</v>
      </c>
      <c r="M31" s="78" t="s">
        <v>269</v>
      </c>
      <c r="N31" s="78" t="s">
        <v>221</v>
      </c>
      <c r="O31" s="78" t="s">
        <v>265</v>
      </c>
      <c r="Q31" s="80" t="str">
        <f t="shared" si="7"/>
        <v>SRD</v>
      </c>
      <c r="R31" s="80" t="str">
        <f t="shared" si="8"/>
        <v>T</v>
      </c>
      <c r="S31" s="80" t="str">
        <f t="shared" si="9"/>
        <v>12</v>
      </c>
      <c r="T31" s="80" t="str">
        <f t="shared" si="10"/>
        <v>F</v>
      </c>
      <c r="U31" s="80" t="str">
        <f t="shared" si="5"/>
        <v>27I</v>
      </c>
    </row>
    <row r="32" spans="1:21">
      <c r="A32" s="78">
        <v>135121</v>
      </c>
      <c r="B32" s="78" t="s">
        <v>303</v>
      </c>
      <c r="C32" s="79" t="str">
        <f t="shared" ref="C32:C52" si="11">CONCATENATE(Q32,R32,S32,T32,U32)</f>
        <v>SRDR12F25ID</v>
      </c>
      <c r="D32" s="78">
        <v>0</v>
      </c>
      <c r="E32" s="78">
        <v>0</v>
      </c>
      <c r="F32" s="78">
        <v>3168</v>
      </c>
      <c r="G32" s="78">
        <v>0</v>
      </c>
      <c r="H32" s="78">
        <v>0</v>
      </c>
      <c r="I32" s="78">
        <v>0</v>
      </c>
      <c r="J32" s="78">
        <v>0</v>
      </c>
      <c r="K32" s="78" t="s">
        <v>262</v>
      </c>
      <c r="L32" s="78" t="s">
        <v>263</v>
      </c>
      <c r="M32" s="78" t="s">
        <v>304</v>
      </c>
      <c r="N32" s="78" t="s">
        <v>305</v>
      </c>
      <c r="O32" s="78" t="s">
        <v>265</v>
      </c>
      <c r="Q32" s="80" t="str">
        <f t="shared" ref="Q32:Q52" si="12">MID(B32,1,3)</f>
        <v>SRD</v>
      </c>
      <c r="R32" s="80" t="str">
        <f t="shared" ref="R32:R52" si="13">MID(B32,4,1)</f>
        <v>R</v>
      </c>
      <c r="S32" s="80" t="str">
        <f t="shared" ref="S32:S52" si="14">MID(B32,5,2)</f>
        <v>12</v>
      </c>
      <c r="T32" s="80" t="str">
        <f t="shared" ref="T32:T52" si="15">MID(B32,7,1)</f>
        <v>F</v>
      </c>
      <c r="U32" s="80" t="str">
        <f t="shared" ref="U32:U49" si="16">MID(B32,8,5)</f>
        <v>25ID</v>
      </c>
    </row>
    <row r="33" spans="1:21">
      <c r="A33" s="78">
        <v>135129</v>
      </c>
      <c r="B33" s="78" t="s">
        <v>306</v>
      </c>
      <c r="C33" s="79" t="str">
        <f t="shared" si="11"/>
        <v>SRDB12F25ID</v>
      </c>
      <c r="D33" s="78">
        <v>0</v>
      </c>
      <c r="E33" s="78">
        <v>0</v>
      </c>
      <c r="F33" s="78">
        <v>3284</v>
      </c>
      <c r="G33" s="78">
        <v>0</v>
      </c>
      <c r="H33" s="78">
        <v>0</v>
      </c>
      <c r="I33" s="78">
        <v>0</v>
      </c>
      <c r="J33" s="78">
        <v>0</v>
      </c>
      <c r="K33" s="78" t="s">
        <v>270</v>
      </c>
      <c r="L33" s="78" t="s">
        <v>263</v>
      </c>
      <c r="M33" s="78" t="s">
        <v>304</v>
      </c>
      <c r="N33" s="78" t="s">
        <v>305</v>
      </c>
      <c r="O33" s="78" t="s">
        <v>265</v>
      </c>
      <c r="Q33" s="80" t="str">
        <f t="shared" si="12"/>
        <v>SRD</v>
      </c>
      <c r="R33" s="80" t="str">
        <f t="shared" si="13"/>
        <v>B</v>
      </c>
      <c r="S33" s="80" t="str">
        <f t="shared" si="14"/>
        <v>12</v>
      </c>
      <c r="T33" s="80" t="str">
        <f t="shared" si="15"/>
        <v>F</v>
      </c>
      <c r="U33" s="80" t="str">
        <f t="shared" si="16"/>
        <v>25ID</v>
      </c>
    </row>
    <row r="34" spans="1:21">
      <c r="A34" s="78">
        <v>135137</v>
      </c>
      <c r="B34" s="78" t="s">
        <v>307</v>
      </c>
      <c r="C34" s="79" t="str">
        <f t="shared" si="11"/>
        <v>SRDT12F25ID</v>
      </c>
      <c r="D34" s="78">
        <v>0</v>
      </c>
      <c r="E34" s="78">
        <v>0</v>
      </c>
      <c r="F34" s="78">
        <v>3414</v>
      </c>
      <c r="G34" s="78">
        <v>0</v>
      </c>
      <c r="H34" s="78">
        <v>0</v>
      </c>
      <c r="I34" s="78">
        <v>0</v>
      </c>
      <c r="J34" s="78">
        <v>0</v>
      </c>
      <c r="K34" s="78" t="s">
        <v>271</v>
      </c>
      <c r="L34" s="78" t="s">
        <v>263</v>
      </c>
      <c r="M34" s="78" t="s">
        <v>304</v>
      </c>
      <c r="N34" s="78" t="s">
        <v>305</v>
      </c>
      <c r="O34" s="78" t="s">
        <v>265</v>
      </c>
      <c r="Q34" s="80" t="str">
        <f t="shared" si="12"/>
        <v>SRD</v>
      </c>
      <c r="R34" s="80" t="str">
        <f t="shared" si="13"/>
        <v>T</v>
      </c>
      <c r="S34" s="80" t="str">
        <f t="shared" si="14"/>
        <v>12</v>
      </c>
      <c r="T34" s="80" t="str">
        <f t="shared" si="15"/>
        <v>F</v>
      </c>
      <c r="U34" s="80" t="str">
        <f t="shared" si="16"/>
        <v>25ID</v>
      </c>
    </row>
    <row r="35" spans="1:21">
      <c r="A35" s="78">
        <v>135187</v>
      </c>
      <c r="B35" s="78" t="s">
        <v>308</v>
      </c>
      <c r="C35" s="79" t="str">
        <f t="shared" si="11"/>
        <v>SRDR12F60BT</v>
      </c>
      <c r="D35" s="78">
        <v>0</v>
      </c>
      <c r="E35" s="78">
        <v>0</v>
      </c>
      <c r="F35" s="78">
        <v>1791</v>
      </c>
      <c r="G35" s="78">
        <v>0</v>
      </c>
      <c r="H35" s="78">
        <v>0</v>
      </c>
      <c r="I35" s="78">
        <v>0</v>
      </c>
      <c r="J35" s="78">
        <v>0</v>
      </c>
      <c r="K35" s="78" t="s">
        <v>262</v>
      </c>
      <c r="L35" s="78" t="s">
        <v>263</v>
      </c>
      <c r="M35" s="78" t="s">
        <v>264</v>
      </c>
      <c r="N35" s="78" t="s">
        <v>309</v>
      </c>
      <c r="O35" s="78" t="s">
        <v>265</v>
      </c>
      <c r="Q35" s="80" t="str">
        <f t="shared" si="12"/>
        <v>SRD</v>
      </c>
      <c r="R35" s="80" t="str">
        <f t="shared" si="13"/>
        <v>R</v>
      </c>
      <c r="S35" s="80" t="str">
        <f t="shared" si="14"/>
        <v>12</v>
      </c>
      <c r="T35" s="80" t="str">
        <f t="shared" si="15"/>
        <v>F</v>
      </c>
      <c r="U35" s="80" t="str">
        <f t="shared" si="16"/>
        <v>60BT</v>
      </c>
    </row>
    <row r="36" spans="1:21">
      <c r="A36" s="78">
        <v>135188</v>
      </c>
      <c r="B36" s="78" t="s">
        <v>310</v>
      </c>
      <c r="C36" s="79" t="str">
        <f t="shared" si="11"/>
        <v>SRDR12F50BT</v>
      </c>
      <c r="D36" s="78">
        <v>0</v>
      </c>
      <c r="E36" s="78">
        <v>0</v>
      </c>
      <c r="F36" s="78">
        <v>1791</v>
      </c>
      <c r="G36" s="78">
        <v>0</v>
      </c>
      <c r="H36" s="78">
        <v>0</v>
      </c>
      <c r="I36" s="78">
        <v>0</v>
      </c>
      <c r="J36" s="78">
        <v>0</v>
      </c>
      <c r="K36" s="78" t="s">
        <v>262</v>
      </c>
      <c r="L36" s="78" t="s">
        <v>263</v>
      </c>
      <c r="M36" s="78" t="s">
        <v>266</v>
      </c>
      <c r="N36" s="78" t="s">
        <v>309</v>
      </c>
      <c r="O36" s="78" t="s">
        <v>265</v>
      </c>
      <c r="Q36" s="80" t="str">
        <f t="shared" si="12"/>
        <v>SRD</v>
      </c>
      <c r="R36" s="80" t="str">
        <f t="shared" si="13"/>
        <v>R</v>
      </c>
      <c r="S36" s="80" t="str">
        <f t="shared" si="14"/>
        <v>12</v>
      </c>
      <c r="T36" s="80" t="str">
        <f t="shared" si="15"/>
        <v>F</v>
      </c>
      <c r="U36" s="80" t="str">
        <f t="shared" si="16"/>
        <v>50BT</v>
      </c>
    </row>
    <row r="37" spans="1:21">
      <c r="A37" s="78">
        <v>135189</v>
      </c>
      <c r="B37" s="78" t="s">
        <v>311</v>
      </c>
      <c r="C37" s="79" t="str">
        <f t="shared" si="11"/>
        <v>SRDR12F40BT</v>
      </c>
      <c r="D37" s="78">
        <v>0</v>
      </c>
      <c r="E37" s="78">
        <v>0</v>
      </c>
      <c r="F37" s="78">
        <v>1791</v>
      </c>
      <c r="G37" s="78">
        <v>0</v>
      </c>
      <c r="H37" s="78">
        <v>0</v>
      </c>
      <c r="I37" s="78">
        <v>0</v>
      </c>
      <c r="J37" s="78">
        <v>0</v>
      </c>
      <c r="K37" s="78" t="s">
        <v>262</v>
      </c>
      <c r="L37" s="78" t="s">
        <v>263</v>
      </c>
      <c r="M37" s="78" t="s">
        <v>267</v>
      </c>
      <c r="N37" s="78" t="s">
        <v>309</v>
      </c>
      <c r="O37" s="78" t="s">
        <v>265</v>
      </c>
      <c r="Q37" s="80" t="str">
        <f t="shared" si="12"/>
        <v>SRD</v>
      </c>
      <c r="R37" s="80" t="str">
        <f t="shared" si="13"/>
        <v>R</v>
      </c>
      <c r="S37" s="80" t="str">
        <f t="shared" si="14"/>
        <v>12</v>
      </c>
      <c r="T37" s="80" t="str">
        <f t="shared" si="15"/>
        <v>F</v>
      </c>
      <c r="U37" s="80" t="str">
        <f t="shared" si="16"/>
        <v>40BT</v>
      </c>
    </row>
    <row r="38" spans="1:21">
      <c r="A38" s="78">
        <v>135190</v>
      </c>
      <c r="B38" s="78" t="s">
        <v>312</v>
      </c>
      <c r="C38" s="79" t="str">
        <f t="shared" si="11"/>
        <v>SRDR12F30BT</v>
      </c>
      <c r="D38" s="78">
        <v>0</v>
      </c>
      <c r="E38" s="78">
        <v>0</v>
      </c>
      <c r="F38" s="78">
        <v>1791</v>
      </c>
      <c r="G38" s="78">
        <v>0</v>
      </c>
      <c r="H38" s="78">
        <v>0</v>
      </c>
      <c r="I38" s="78">
        <v>0</v>
      </c>
      <c r="J38" s="78">
        <v>0</v>
      </c>
      <c r="K38" s="78" t="s">
        <v>262</v>
      </c>
      <c r="L38" s="78" t="s">
        <v>263</v>
      </c>
      <c r="M38" s="78" t="s">
        <v>268</v>
      </c>
      <c r="N38" s="78" t="s">
        <v>309</v>
      </c>
      <c r="O38" s="78" t="s">
        <v>265</v>
      </c>
      <c r="Q38" s="80" t="str">
        <f t="shared" si="12"/>
        <v>SRD</v>
      </c>
      <c r="R38" s="80" t="str">
        <f t="shared" si="13"/>
        <v>R</v>
      </c>
      <c r="S38" s="80" t="str">
        <f t="shared" si="14"/>
        <v>12</v>
      </c>
      <c r="T38" s="80" t="str">
        <f t="shared" si="15"/>
        <v>F</v>
      </c>
      <c r="U38" s="80" t="str">
        <f t="shared" si="16"/>
        <v>30BT</v>
      </c>
    </row>
    <row r="39" spans="1:21">
      <c r="A39" s="78">
        <v>135191</v>
      </c>
      <c r="B39" s="78" t="s">
        <v>313</v>
      </c>
      <c r="C39" s="79" t="str">
        <f t="shared" si="11"/>
        <v>SRDR12F27BT</v>
      </c>
      <c r="D39" s="78">
        <v>0</v>
      </c>
      <c r="E39" s="78">
        <v>0</v>
      </c>
      <c r="F39" s="78">
        <v>1791</v>
      </c>
      <c r="G39" s="78">
        <v>0</v>
      </c>
      <c r="H39" s="78">
        <v>0</v>
      </c>
      <c r="I39" s="78">
        <v>0</v>
      </c>
      <c r="J39" s="78">
        <v>0</v>
      </c>
      <c r="K39" s="78" t="s">
        <v>262</v>
      </c>
      <c r="L39" s="78" t="s">
        <v>263</v>
      </c>
      <c r="M39" s="78" t="s">
        <v>269</v>
      </c>
      <c r="N39" s="78" t="s">
        <v>309</v>
      </c>
      <c r="O39" s="78" t="s">
        <v>265</v>
      </c>
      <c r="Q39" s="80" t="str">
        <f t="shared" si="12"/>
        <v>SRD</v>
      </c>
      <c r="R39" s="80" t="str">
        <f t="shared" si="13"/>
        <v>R</v>
      </c>
      <c r="S39" s="80" t="str">
        <f t="shared" si="14"/>
        <v>12</v>
      </c>
      <c r="T39" s="80" t="str">
        <f t="shared" si="15"/>
        <v>F</v>
      </c>
      <c r="U39" s="80" t="str">
        <f t="shared" si="16"/>
        <v>27BT</v>
      </c>
    </row>
    <row r="40" spans="1:21">
      <c r="A40" s="78">
        <v>135195</v>
      </c>
      <c r="B40" s="78" t="s">
        <v>314</v>
      </c>
      <c r="C40" s="79" t="str">
        <f t="shared" si="11"/>
        <v>SRDB12F60BT</v>
      </c>
      <c r="D40" s="78">
        <v>0</v>
      </c>
      <c r="E40" s="78">
        <v>0</v>
      </c>
      <c r="F40" s="78">
        <v>1987</v>
      </c>
      <c r="G40" s="78">
        <v>0</v>
      </c>
      <c r="H40" s="78">
        <v>0</v>
      </c>
      <c r="I40" s="78">
        <v>0</v>
      </c>
      <c r="J40" s="78">
        <v>0</v>
      </c>
      <c r="K40" s="78" t="s">
        <v>270</v>
      </c>
      <c r="L40" s="78" t="s">
        <v>263</v>
      </c>
      <c r="M40" s="78" t="s">
        <v>264</v>
      </c>
      <c r="N40" s="78" t="s">
        <v>309</v>
      </c>
      <c r="O40" s="78" t="s">
        <v>265</v>
      </c>
      <c r="Q40" s="80" t="str">
        <f t="shared" si="12"/>
        <v>SRD</v>
      </c>
      <c r="R40" s="80" t="str">
        <f t="shared" si="13"/>
        <v>B</v>
      </c>
      <c r="S40" s="80" t="str">
        <f t="shared" si="14"/>
        <v>12</v>
      </c>
      <c r="T40" s="80" t="str">
        <f t="shared" si="15"/>
        <v>F</v>
      </c>
      <c r="U40" s="80" t="str">
        <f t="shared" si="16"/>
        <v>60BT</v>
      </c>
    </row>
    <row r="41" spans="1:21">
      <c r="A41" s="78">
        <v>135196</v>
      </c>
      <c r="B41" s="78" t="s">
        <v>315</v>
      </c>
      <c r="C41" s="79" t="str">
        <f t="shared" si="11"/>
        <v>SRDB12F50BT</v>
      </c>
      <c r="D41" s="78">
        <v>0</v>
      </c>
      <c r="E41" s="78">
        <v>0</v>
      </c>
      <c r="F41" s="78">
        <v>1987</v>
      </c>
      <c r="G41" s="78">
        <v>0</v>
      </c>
      <c r="H41" s="78">
        <v>0</v>
      </c>
      <c r="I41" s="78">
        <v>0</v>
      </c>
      <c r="J41" s="78">
        <v>0</v>
      </c>
      <c r="K41" s="78" t="s">
        <v>270</v>
      </c>
      <c r="L41" s="78" t="s">
        <v>263</v>
      </c>
      <c r="M41" s="78" t="s">
        <v>266</v>
      </c>
      <c r="N41" s="78" t="s">
        <v>309</v>
      </c>
      <c r="O41" s="78" t="s">
        <v>265</v>
      </c>
      <c r="Q41" s="80" t="str">
        <f t="shared" si="12"/>
        <v>SRD</v>
      </c>
      <c r="R41" s="80" t="str">
        <f t="shared" si="13"/>
        <v>B</v>
      </c>
      <c r="S41" s="80" t="str">
        <f t="shared" si="14"/>
        <v>12</v>
      </c>
      <c r="T41" s="80" t="str">
        <f t="shared" si="15"/>
        <v>F</v>
      </c>
      <c r="U41" s="80" t="str">
        <f t="shared" si="16"/>
        <v>50BT</v>
      </c>
    </row>
    <row r="42" spans="1:21">
      <c r="A42" s="78">
        <v>135197</v>
      </c>
      <c r="B42" s="78" t="s">
        <v>316</v>
      </c>
      <c r="C42" s="79" t="str">
        <f t="shared" si="11"/>
        <v>SRDB12F40BT</v>
      </c>
      <c r="D42" s="78">
        <v>0</v>
      </c>
      <c r="E42" s="78">
        <v>0</v>
      </c>
      <c r="F42" s="78">
        <v>1987</v>
      </c>
      <c r="G42" s="78">
        <v>0</v>
      </c>
      <c r="H42" s="78">
        <v>0</v>
      </c>
      <c r="I42" s="78">
        <v>0</v>
      </c>
      <c r="J42" s="78">
        <v>0</v>
      </c>
      <c r="K42" s="78" t="s">
        <v>270</v>
      </c>
      <c r="L42" s="78" t="s">
        <v>263</v>
      </c>
      <c r="M42" s="78" t="s">
        <v>267</v>
      </c>
      <c r="N42" s="78" t="s">
        <v>309</v>
      </c>
      <c r="O42" s="78" t="s">
        <v>265</v>
      </c>
      <c r="Q42" s="80" t="str">
        <f t="shared" si="12"/>
        <v>SRD</v>
      </c>
      <c r="R42" s="80" t="str">
        <f t="shared" si="13"/>
        <v>B</v>
      </c>
      <c r="S42" s="80" t="str">
        <f t="shared" si="14"/>
        <v>12</v>
      </c>
      <c r="T42" s="80" t="str">
        <f t="shared" si="15"/>
        <v>F</v>
      </c>
      <c r="U42" s="80" t="str">
        <f t="shared" si="16"/>
        <v>40BT</v>
      </c>
    </row>
    <row r="43" spans="1:21">
      <c r="A43" s="78">
        <v>135198</v>
      </c>
      <c r="B43" s="78" t="s">
        <v>317</v>
      </c>
      <c r="C43" s="79" t="str">
        <f t="shared" si="11"/>
        <v>SRDB12F30BT</v>
      </c>
      <c r="D43" s="78">
        <v>0</v>
      </c>
      <c r="E43" s="78">
        <v>0</v>
      </c>
      <c r="F43" s="78">
        <v>1987</v>
      </c>
      <c r="G43" s="78">
        <v>0</v>
      </c>
      <c r="H43" s="78">
        <v>0</v>
      </c>
      <c r="I43" s="78">
        <v>0</v>
      </c>
      <c r="J43" s="78">
        <v>0</v>
      </c>
      <c r="K43" s="78" t="s">
        <v>270</v>
      </c>
      <c r="L43" s="78" t="s">
        <v>263</v>
      </c>
      <c r="M43" s="78" t="s">
        <v>268</v>
      </c>
      <c r="N43" s="78" t="s">
        <v>309</v>
      </c>
      <c r="O43" s="78" t="s">
        <v>265</v>
      </c>
      <c r="Q43" s="80" t="str">
        <f t="shared" si="12"/>
        <v>SRD</v>
      </c>
      <c r="R43" s="80" t="str">
        <f t="shared" si="13"/>
        <v>B</v>
      </c>
      <c r="S43" s="80" t="str">
        <f t="shared" si="14"/>
        <v>12</v>
      </c>
      <c r="T43" s="80" t="str">
        <f t="shared" si="15"/>
        <v>F</v>
      </c>
      <c r="U43" s="80" t="str">
        <f t="shared" si="16"/>
        <v>30BT</v>
      </c>
    </row>
    <row r="44" spans="1:21">
      <c r="A44" s="78">
        <v>135199</v>
      </c>
      <c r="B44" s="78" t="s">
        <v>318</v>
      </c>
      <c r="C44" s="79" t="str">
        <f t="shared" si="11"/>
        <v>SRDB12F27BT</v>
      </c>
      <c r="D44" s="78">
        <v>0</v>
      </c>
      <c r="E44" s="78">
        <v>0</v>
      </c>
      <c r="F44" s="78">
        <v>1987</v>
      </c>
      <c r="G44" s="78">
        <v>0</v>
      </c>
      <c r="H44" s="78">
        <v>0</v>
      </c>
      <c r="I44" s="78">
        <v>0</v>
      </c>
      <c r="J44" s="78">
        <v>0</v>
      </c>
      <c r="K44" s="78" t="s">
        <v>270</v>
      </c>
      <c r="L44" s="78" t="s">
        <v>263</v>
      </c>
      <c r="M44" s="78" t="s">
        <v>269</v>
      </c>
      <c r="N44" s="78" t="s">
        <v>309</v>
      </c>
      <c r="O44" s="78" t="s">
        <v>265</v>
      </c>
      <c r="Q44" s="80" t="str">
        <f t="shared" si="12"/>
        <v>SRD</v>
      </c>
      <c r="R44" s="80" t="str">
        <f t="shared" si="13"/>
        <v>B</v>
      </c>
      <c r="S44" s="80" t="str">
        <f t="shared" si="14"/>
        <v>12</v>
      </c>
      <c r="T44" s="80" t="str">
        <f t="shared" si="15"/>
        <v>F</v>
      </c>
      <c r="U44" s="80" t="str">
        <f t="shared" si="16"/>
        <v>27BT</v>
      </c>
    </row>
    <row r="45" spans="1:21">
      <c r="A45" s="78">
        <v>135203</v>
      </c>
      <c r="B45" s="78" t="s">
        <v>319</v>
      </c>
      <c r="C45" s="79" t="str">
        <f t="shared" si="11"/>
        <v>SRDT12F60BT</v>
      </c>
      <c r="D45" s="78">
        <v>0</v>
      </c>
      <c r="E45" s="78">
        <v>0</v>
      </c>
      <c r="F45" s="78">
        <v>2048</v>
      </c>
      <c r="G45" s="78">
        <v>0</v>
      </c>
      <c r="H45" s="78">
        <v>0</v>
      </c>
      <c r="I45" s="78">
        <v>0</v>
      </c>
      <c r="J45" s="78">
        <v>0</v>
      </c>
      <c r="K45" s="78" t="s">
        <v>271</v>
      </c>
      <c r="L45" s="78" t="s">
        <v>263</v>
      </c>
      <c r="M45" s="78" t="s">
        <v>264</v>
      </c>
      <c r="N45" s="78" t="s">
        <v>309</v>
      </c>
      <c r="O45" s="78" t="s">
        <v>265</v>
      </c>
      <c r="Q45" s="80" t="str">
        <f t="shared" si="12"/>
        <v>SRD</v>
      </c>
      <c r="R45" s="80" t="str">
        <f t="shared" si="13"/>
        <v>T</v>
      </c>
      <c r="S45" s="80" t="str">
        <f t="shared" si="14"/>
        <v>12</v>
      </c>
      <c r="T45" s="80" t="str">
        <f t="shared" si="15"/>
        <v>F</v>
      </c>
      <c r="U45" s="80" t="str">
        <f t="shared" si="16"/>
        <v>60BT</v>
      </c>
    </row>
    <row r="46" spans="1:21">
      <c r="A46" s="78">
        <v>135204</v>
      </c>
      <c r="B46" s="78" t="s">
        <v>320</v>
      </c>
      <c r="C46" s="79" t="str">
        <f t="shared" si="11"/>
        <v>SRDT12F50BT</v>
      </c>
      <c r="D46" s="78">
        <v>0</v>
      </c>
      <c r="E46" s="78">
        <v>0</v>
      </c>
      <c r="F46" s="78">
        <v>2048</v>
      </c>
      <c r="G46" s="78">
        <v>0</v>
      </c>
      <c r="H46" s="78">
        <v>0</v>
      </c>
      <c r="I46" s="78">
        <v>0</v>
      </c>
      <c r="J46" s="78">
        <v>0</v>
      </c>
      <c r="K46" s="78" t="s">
        <v>271</v>
      </c>
      <c r="L46" s="78" t="s">
        <v>263</v>
      </c>
      <c r="M46" s="78" t="s">
        <v>266</v>
      </c>
      <c r="N46" s="78" t="s">
        <v>309</v>
      </c>
      <c r="O46" s="78" t="s">
        <v>265</v>
      </c>
      <c r="Q46" s="80" t="str">
        <f t="shared" si="12"/>
        <v>SRD</v>
      </c>
      <c r="R46" s="80" t="str">
        <f t="shared" si="13"/>
        <v>T</v>
      </c>
      <c r="S46" s="80" t="str">
        <f t="shared" si="14"/>
        <v>12</v>
      </c>
      <c r="T46" s="80" t="str">
        <f t="shared" si="15"/>
        <v>F</v>
      </c>
      <c r="U46" s="80" t="str">
        <f t="shared" si="16"/>
        <v>50BT</v>
      </c>
    </row>
    <row r="47" spans="1:21">
      <c r="A47" s="78">
        <v>135205</v>
      </c>
      <c r="B47" s="78" t="s">
        <v>321</v>
      </c>
      <c r="C47" s="79" t="str">
        <f t="shared" si="11"/>
        <v>SRDT12F40BT</v>
      </c>
      <c r="D47" s="78">
        <v>0</v>
      </c>
      <c r="E47" s="78">
        <v>0</v>
      </c>
      <c r="F47" s="78">
        <v>2048</v>
      </c>
      <c r="G47" s="78">
        <v>0</v>
      </c>
      <c r="H47" s="78">
        <v>0</v>
      </c>
      <c r="I47" s="78">
        <v>0</v>
      </c>
      <c r="J47" s="78">
        <v>0</v>
      </c>
      <c r="K47" s="78" t="s">
        <v>271</v>
      </c>
      <c r="L47" s="78" t="s">
        <v>263</v>
      </c>
      <c r="M47" s="78" t="s">
        <v>267</v>
      </c>
      <c r="N47" s="78" t="s">
        <v>309</v>
      </c>
      <c r="O47" s="78" t="s">
        <v>265</v>
      </c>
      <c r="Q47" s="80" t="str">
        <f t="shared" si="12"/>
        <v>SRD</v>
      </c>
      <c r="R47" s="80" t="str">
        <f t="shared" si="13"/>
        <v>T</v>
      </c>
      <c r="S47" s="80" t="str">
        <f t="shared" si="14"/>
        <v>12</v>
      </c>
      <c r="T47" s="80" t="str">
        <f t="shared" si="15"/>
        <v>F</v>
      </c>
      <c r="U47" s="80" t="str">
        <f t="shared" si="16"/>
        <v>40BT</v>
      </c>
    </row>
    <row r="48" spans="1:21">
      <c r="A48" s="78">
        <v>135206</v>
      </c>
      <c r="B48" s="78" t="s">
        <v>322</v>
      </c>
      <c r="C48" s="79" t="str">
        <f t="shared" si="11"/>
        <v>SRDT12F30BT</v>
      </c>
      <c r="D48" s="78">
        <v>0</v>
      </c>
      <c r="E48" s="78">
        <v>0</v>
      </c>
      <c r="F48" s="78">
        <v>2048</v>
      </c>
      <c r="G48" s="78">
        <v>0</v>
      </c>
      <c r="H48" s="78">
        <v>0</v>
      </c>
      <c r="I48" s="78">
        <v>0</v>
      </c>
      <c r="J48" s="78">
        <v>0</v>
      </c>
      <c r="K48" s="78" t="s">
        <v>271</v>
      </c>
      <c r="L48" s="78" t="s">
        <v>263</v>
      </c>
      <c r="M48" s="78" t="s">
        <v>268</v>
      </c>
      <c r="N48" s="78" t="s">
        <v>309</v>
      </c>
      <c r="O48" s="78" t="s">
        <v>265</v>
      </c>
      <c r="Q48" s="80" t="str">
        <f t="shared" si="12"/>
        <v>SRD</v>
      </c>
      <c r="R48" s="80" t="str">
        <f t="shared" si="13"/>
        <v>T</v>
      </c>
      <c r="S48" s="80" t="str">
        <f t="shared" si="14"/>
        <v>12</v>
      </c>
      <c r="T48" s="80" t="str">
        <f t="shared" si="15"/>
        <v>F</v>
      </c>
      <c r="U48" s="80" t="str">
        <f t="shared" si="16"/>
        <v>30BT</v>
      </c>
    </row>
    <row r="49" spans="1:21">
      <c r="A49" s="78">
        <v>135207</v>
      </c>
      <c r="B49" s="78" t="s">
        <v>323</v>
      </c>
      <c r="C49" s="79" t="str">
        <f t="shared" si="11"/>
        <v>SRDT12F27BT</v>
      </c>
      <c r="D49" s="78">
        <v>0</v>
      </c>
      <c r="E49" s="78">
        <v>0</v>
      </c>
      <c r="F49" s="78">
        <v>2048</v>
      </c>
      <c r="G49" s="78">
        <v>0</v>
      </c>
      <c r="H49" s="78">
        <v>0</v>
      </c>
      <c r="I49" s="78">
        <v>0</v>
      </c>
      <c r="J49" s="78">
        <v>0</v>
      </c>
      <c r="K49" s="78" t="s">
        <v>271</v>
      </c>
      <c r="L49" s="78" t="s">
        <v>263</v>
      </c>
      <c r="M49" s="78" t="s">
        <v>269</v>
      </c>
      <c r="N49" s="78" t="s">
        <v>309</v>
      </c>
      <c r="O49" s="78" t="s">
        <v>265</v>
      </c>
      <c r="Q49" s="80" t="str">
        <f t="shared" si="12"/>
        <v>SRD</v>
      </c>
      <c r="R49" s="80" t="str">
        <f t="shared" si="13"/>
        <v>T</v>
      </c>
      <c r="S49" s="80" t="str">
        <f t="shared" si="14"/>
        <v>12</v>
      </c>
      <c r="T49" s="80" t="str">
        <f t="shared" si="15"/>
        <v>F</v>
      </c>
      <c r="U49" s="80" t="str">
        <f t="shared" si="16"/>
        <v>27BT</v>
      </c>
    </row>
    <row r="50" spans="1:21">
      <c r="A50" s="78">
        <v>135266</v>
      </c>
      <c r="B50" s="78" t="s">
        <v>324</v>
      </c>
      <c r="C50" s="79" t="str">
        <f t="shared" si="11"/>
        <v>SRDR12F25BTD</v>
      </c>
      <c r="D50" s="78">
        <v>0</v>
      </c>
      <c r="E50" s="78">
        <v>0</v>
      </c>
      <c r="F50" s="78">
        <v>2429</v>
      </c>
      <c r="G50" s="78">
        <v>0</v>
      </c>
      <c r="H50" s="78">
        <v>0</v>
      </c>
      <c r="I50" s="78">
        <v>0</v>
      </c>
      <c r="J50" s="78">
        <v>0</v>
      </c>
      <c r="K50" s="78" t="s">
        <v>262</v>
      </c>
      <c r="L50" s="78" t="s">
        <v>263</v>
      </c>
      <c r="M50" s="78" t="s">
        <v>325</v>
      </c>
      <c r="N50" s="78" t="s">
        <v>326</v>
      </c>
      <c r="O50" s="78" t="s">
        <v>265</v>
      </c>
      <c r="Q50" s="80" t="str">
        <f t="shared" si="12"/>
        <v>SRD</v>
      </c>
      <c r="R50" s="80" t="str">
        <f t="shared" si="13"/>
        <v>R</v>
      </c>
      <c r="S50" s="80" t="str">
        <f t="shared" si="14"/>
        <v>12</v>
      </c>
      <c r="T50" s="80" t="str">
        <f t="shared" si="15"/>
        <v>F</v>
      </c>
      <c r="U50" s="80" t="str">
        <f t="shared" ref="U50:U52" si="17">MID(B50,8,5)</f>
        <v>25BTD</v>
      </c>
    </row>
    <row r="51" spans="1:21">
      <c r="A51" s="78">
        <v>135274</v>
      </c>
      <c r="B51" s="78" t="s">
        <v>327</v>
      </c>
      <c r="C51" s="79" t="str">
        <f t="shared" si="11"/>
        <v>SRDB12F25BTD</v>
      </c>
      <c r="D51" s="78">
        <v>0</v>
      </c>
      <c r="E51" s="78">
        <v>0</v>
      </c>
      <c r="F51" s="78">
        <v>2546</v>
      </c>
      <c r="G51" s="78">
        <v>0</v>
      </c>
      <c r="H51" s="78">
        <v>0</v>
      </c>
      <c r="I51" s="78">
        <v>0</v>
      </c>
      <c r="J51" s="78">
        <v>0</v>
      </c>
      <c r="K51" s="78" t="s">
        <v>270</v>
      </c>
      <c r="L51" s="78" t="s">
        <v>263</v>
      </c>
      <c r="M51" s="78" t="s">
        <v>325</v>
      </c>
      <c r="N51" s="78" t="s">
        <v>326</v>
      </c>
      <c r="O51" s="78" t="s">
        <v>265</v>
      </c>
      <c r="Q51" s="80" t="str">
        <f t="shared" si="12"/>
        <v>SRD</v>
      </c>
      <c r="R51" s="80" t="str">
        <f t="shared" si="13"/>
        <v>B</v>
      </c>
      <c r="S51" s="80" t="str">
        <f t="shared" si="14"/>
        <v>12</v>
      </c>
      <c r="T51" s="80" t="str">
        <f t="shared" si="15"/>
        <v>F</v>
      </c>
      <c r="U51" s="80" t="str">
        <f t="shared" si="17"/>
        <v>25BTD</v>
      </c>
    </row>
    <row r="52" spans="1:21">
      <c r="A52" s="78">
        <v>135282</v>
      </c>
      <c r="B52" s="78" t="s">
        <v>328</v>
      </c>
      <c r="C52" s="79" t="str">
        <f t="shared" si="11"/>
        <v>SRDT12F25BTD</v>
      </c>
      <c r="D52" s="78">
        <v>0</v>
      </c>
      <c r="E52" s="78">
        <v>0</v>
      </c>
      <c r="F52" s="78">
        <v>2676</v>
      </c>
      <c r="G52" s="78">
        <v>0</v>
      </c>
      <c r="H52" s="78">
        <v>0</v>
      </c>
      <c r="I52" s="78">
        <v>0</v>
      </c>
      <c r="J52" s="78">
        <v>0</v>
      </c>
      <c r="K52" s="78" t="s">
        <v>271</v>
      </c>
      <c r="L52" s="78" t="s">
        <v>263</v>
      </c>
      <c r="M52" s="78" t="s">
        <v>325</v>
      </c>
      <c r="N52" s="78" t="s">
        <v>326</v>
      </c>
      <c r="O52" s="78" t="s">
        <v>265</v>
      </c>
      <c r="Q52" s="80" t="str">
        <f t="shared" si="12"/>
        <v>SRD</v>
      </c>
      <c r="R52" s="80" t="str">
        <f t="shared" si="13"/>
        <v>T</v>
      </c>
      <c r="S52" s="80" t="str">
        <f t="shared" si="14"/>
        <v>12</v>
      </c>
      <c r="T52" s="80" t="str">
        <f t="shared" si="15"/>
        <v>F</v>
      </c>
      <c r="U52" s="80" t="str">
        <f t="shared" si="17"/>
        <v>25BTD</v>
      </c>
    </row>
  </sheetData>
  <autoFilter ref="A1:O5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A7A392F-F524-4A60-8A38-C11F214F628B}">
  <ds:schemaRefs/>
</ds:datastoreItem>
</file>

<file path=customXml/itemProps2.xml><?xml version="1.0" encoding="utf-8"?>
<ds:datastoreItem xmlns:ds="http://schemas.openxmlformats.org/officeDocument/2006/customXml" ds:itemID="{E0CA5442-C2DA-43F1-A162-45733585A7FC}">
  <ds:schemaRefs/>
</ds:datastoreItem>
</file>

<file path=customXml/itemProps3.xml><?xml version="1.0" encoding="utf-8"?>
<ds:datastoreItem xmlns:ds="http://schemas.openxmlformats.org/officeDocument/2006/customXml" ds:itemID="{02797C48-CC81-4B8D-8032-B370D450D1ED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19f101f2-dc01-4042-8e40-12d7763a2d52"/>
    <ds:schemaRef ds:uri="b26cac7a-f046-4518-bb94-83afcd16cb5c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Stock Item (Read Me)</vt:lpstr>
      <vt:lpstr>Backend data</vt:lpstr>
      <vt:lpstr>SRDR12-15-18W-SKU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2025-03-25T23:20:01Z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
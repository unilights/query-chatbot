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0" windowWidth="15600" windowHeight="11040"/>
  </bookViews>
  <sheets>
    <sheet name="Stock Item" sheetId="23" r:id="rId1"/>
    <sheet name="SBDR07-16-24W-DATA" sheetId="25" r:id="rId2"/>
    <sheet name="Stock Item (Read Me)" sheetId="10" r:id="rId3"/>
    <sheet name="SBDR07-16-24W-SKU" sheetId="26" r:id="rId4"/>
  </sheets>
  <definedNames>
    <definedName name="_xlnm._FilterDatabase" localSheetId="3" hidden="1">'SBDR07-16-24W-SKU'!$A$1:$W$21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0" i="23" l="1"/>
  <c r="K6" i="23" l="1"/>
  <c r="P16" i="23" l="1"/>
  <c r="K16" i="23" s="1"/>
  <c r="L16" i="23" s="1"/>
  <c r="L14" i="23"/>
  <c r="L13" i="23"/>
  <c r="K11" i="23"/>
  <c r="L11" i="23" s="1"/>
  <c r="L10" i="23"/>
  <c r="L9" i="23"/>
  <c r="L8" i="23"/>
  <c r="L7" i="23"/>
  <c r="L6" i="23"/>
  <c r="P5" i="23"/>
  <c r="K5" i="23"/>
  <c r="L5" i="23" s="1"/>
  <c r="P4" i="23"/>
  <c r="K4" i="23"/>
  <c r="L4" i="23" s="1"/>
  <c r="P2" i="23"/>
  <c r="K2" i="23" s="1"/>
  <c r="L2" i="23" s="1"/>
  <c r="D15" i="23" l="1"/>
  <c r="F11" i="23" s="1"/>
  <c r="AH26" i="25" l="1"/>
  <c r="AC26" i="25" s="1"/>
  <c r="AD26" i="25" s="1"/>
  <c r="AH24" i="25"/>
  <c r="AC24" i="25" s="1"/>
  <c r="AD24" i="25" s="1"/>
  <c r="AH25" i="25"/>
  <c r="AC25" i="25" s="1"/>
  <c r="AD25" i="25" s="1"/>
  <c r="U2" i="25" l="1"/>
  <c r="U4" i="25"/>
  <c r="U3" i="25"/>
  <c r="AH23" i="25"/>
  <c r="AC23" i="25" s="1"/>
  <c r="AD23" i="25" s="1"/>
  <c r="AH20" i="25" l="1"/>
  <c r="AC20" i="25" s="1"/>
  <c r="AH21" i="25"/>
  <c r="AC21" i="25" s="1"/>
  <c r="AD20" i="25" l="1"/>
  <c r="C3" i="25" s="1"/>
  <c r="G3" i="25"/>
  <c r="AD21" i="25"/>
  <c r="C4" i="25" s="1"/>
  <c r="G4" i="25"/>
  <c r="AH22" i="25"/>
  <c r="AC22" i="25" s="1"/>
  <c r="AD22" i="25" s="1"/>
  <c r="AH19" i="25"/>
  <c r="AC19" i="25" s="1"/>
  <c r="AD19" i="25" l="1"/>
  <c r="C2" i="25" s="1"/>
  <c r="G2" i="25"/>
  <c r="AF2" i="25"/>
  <c r="A15" i="23" l="1"/>
  <c r="A2" i="23" l="1"/>
  <c r="R2" i="26" l="1"/>
  <c r="S2" i="26"/>
  <c r="T2" i="26"/>
  <c r="U2" i="26"/>
  <c r="V2" i="26"/>
  <c r="R3" i="26"/>
  <c r="S3" i="26"/>
  <c r="T3" i="26"/>
  <c r="U3" i="26"/>
  <c r="V3" i="26"/>
  <c r="R4" i="26"/>
  <c r="S4" i="26"/>
  <c r="T4" i="26"/>
  <c r="U4" i="26"/>
  <c r="V4" i="26"/>
  <c r="R5" i="26"/>
  <c r="S5" i="26"/>
  <c r="T5" i="26"/>
  <c r="U5" i="26"/>
  <c r="V5" i="26"/>
  <c r="R6" i="26"/>
  <c r="S6" i="26"/>
  <c r="T6" i="26"/>
  <c r="U6" i="26"/>
  <c r="V6" i="26"/>
  <c r="R7" i="26"/>
  <c r="S7" i="26"/>
  <c r="T7" i="26"/>
  <c r="U7" i="26"/>
  <c r="V7" i="26"/>
  <c r="R8" i="26"/>
  <c r="S8" i="26"/>
  <c r="T8" i="26"/>
  <c r="U8" i="26"/>
  <c r="V8" i="26"/>
  <c r="R9" i="26"/>
  <c r="S9" i="26"/>
  <c r="T9" i="26"/>
  <c r="U9" i="26"/>
  <c r="V9" i="26"/>
  <c r="R10" i="26"/>
  <c r="S10" i="26"/>
  <c r="T10" i="26"/>
  <c r="U10" i="26"/>
  <c r="V10" i="26"/>
  <c r="R11" i="26"/>
  <c r="S11" i="26"/>
  <c r="T11" i="26"/>
  <c r="U11" i="26"/>
  <c r="V11" i="26"/>
  <c r="R12" i="26"/>
  <c r="S12" i="26"/>
  <c r="T12" i="26"/>
  <c r="U12" i="26"/>
  <c r="V12" i="26"/>
  <c r="R13" i="26"/>
  <c r="S13" i="26"/>
  <c r="T13" i="26"/>
  <c r="U13" i="26"/>
  <c r="V13" i="26"/>
  <c r="R14" i="26"/>
  <c r="S14" i="26"/>
  <c r="T14" i="26"/>
  <c r="U14" i="26"/>
  <c r="V14" i="26"/>
  <c r="R15" i="26"/>
  <c r="S15" i="26"/>
  <c r="T15" i="26"/>
  <c r="U15" i="26"/>
  <c r="V15" i="26"/>
  <c r="R16" i="26"/>
  <c r="S16" i="26"/>
  <c r="T16" i="26"/>
  <c r="U16" i="26"/>
  <c r="V16" i="26"/>
  <c r="R17" i="26"/>
  <c r="S17" i="26"/>
  <c r="T17" i="26"/>
  <c r="U17" i="26"/>
  <c r="V17" i="26"/>
  <c r="R18" i="26"/>
  <c r="S18" i="26"/>
  <c r="T18" i="26"/>
  <c r="U18" i="26"/>
  <c r="V18" i="26"/>
  <c r="R19" i="26"/>
  <c r="S19" i="26"/>
  <c r="T19" i="26"/>
  <c r="U19" i="26"/>
  <c r="V19" i="26"/>
  <c r="R20" i="26"/>
  <c r="S20" i="26"/>
  <c r="T20" i="26"/>
  <c r="U20" i="26"/>
  <c r="V20" i="26"/>
  <c r="R21" i="26"/>
  <c r="S21" i="26"/>
  <c r="T21" i="26"/>
  <c r="U21" i="26"/>
  <c r="V21" i="26"/>
  <c r="C11" i="26" l="1"/>
  <c r="C5" i="26"/>
  <c r="C9" i="26"/>
  <c r="C3" i="26"/>
  <c r="C21" i="26"/>
  <c r="C15" i="26"/>
  <c r="C18" i="26"/>
  <c r="C12" i="26"/>
  <c r="C6" i="26"/>
  <c r="C19" i="26"/>
  <c r="C13" i="26"/>
  <c r="C7" i="26"/>
  <c r="C16" i="26"/>
  <c r="C10" i="26"/>
  <c r="C4" i="26"/>
  <c r="C17" i="26"/>
  <c r="C20" i="26"/>
  <c r="C14" i="26"/>
  <c r="C8" i="26"/>
  <c r="C2" i="26"/>
  <c r="AC3" i="25"/>
  <c r="AC5" i="25" s="1"/>
  <c r="AB3" i="25"/>
  <c r="AB7" i="25" s="1"/>
  <c r="AA3" i="25"/>
  <c r="AA5" i="25" s="1"/>
  <c r="AD7" i="25" s="1"/>
  <c r="Z3" i="25"/>
  <c r="Z5" i="25" s="1"/>
  <c r="F13" i="23" l="1"/>
  <c r="AE7" i="25"/>
  <c r="F14" i="23" s="1"/>
  <c r="AA13" i="25"/>
  <c r="AA14" i="25"/>
  <c r="AA12" i="25"/>
  <c r="AA16" i="25"/>
  <c r="AB5" i="25"/>
  <c r="AA15" i="25" s="1"/>
  <c r="F2" i="23" l="1"/>
  <c r="F12" i="23"/>
  <c r="F3" i="23"/>
  <c r="G17" i="23"/>
  <c r="L17" i="23" s="1"/>
  <c r="L18" i="23" s="1"/>
  <c r="F17" i="23"/>
  <c r="F16" i="23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<sst xmlns="http://schemas.openxmlformats.org/spreadsheetml/2006/main" count="658" uniqueCount="346">
  <si>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</si>
  <si>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</si>
  <si>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</si>
  <si>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</si>
  <si>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</si>
  <si>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</si>
  <si>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</si>
  <si>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</si>
  <si>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</si>
  <si>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</si>
  <si>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</si>
  <si>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</si>
  <si>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</si>
  <si>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</si>
  <si>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</si>
  <si>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</si>
  <si>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</si>
  <si>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</si>
  <si>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</si>
  <si>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</si>
  <si>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</si>
  <si>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</si>
  <si>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</si>
  <si>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</si>
  <si>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</si>
  <si>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</si>
  <si>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</si>
  <si>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</si>
  <si>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</si>
  <si>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</si>
  <si>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</si>
  <si>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</si>
  <si>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</si>
  <si>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</si>
  <si>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</si>
  <si>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</si>
  <si>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</si>
  <si>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</si>
  <si>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</si>
  <si>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</si>
  <si>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</si>
  <si>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</si>
  <si>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</si>
  <si>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</si>
  <si>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</si>
  <si>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</si>
  <si>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</si>
  <si>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</si>
  <si>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</si>
  <si>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</si>
  <si>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</si>
  <si>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</si>
  <si>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</si>
  <si>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</si>
  <si>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</si>
  <si>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</si>
  <si>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</si>
  <si>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</si>
  <si>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</si>
  <si>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</si>
  <si>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</si>
  <si>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</si>
  <si>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</si>
  <si>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</si>
  <si>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</si>
  <si>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</si>
  <si>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</si>
  <si>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</si>
  <si>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</si>
  <si>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</si>
  <si>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</si>
  <si>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</si>
  <si>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</si>
  <si>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</si>
  <si>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</si>
  <si>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</si>
  <si>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</si>
  <si>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</si>
  <si>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</si>
  <si>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</si>
  <si>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</si>
  <si>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</si>
  <si>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</si>
  <si>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</si>
  <si>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</si>
  <si>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</si>
  <si>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</si>
  <si>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</si>
  <si>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</si>
  <si>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</si>
  <si>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</si>
  <si>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</si>
  <si>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</si>
  <si>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</si>
  <si>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</si>
  <si>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</si>
  <si>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</si>
  <si>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</si>
  <si>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</si>
  <si>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</si>
  <si>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</si>
  <si>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</si>
  <si>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</si>
  <si>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</si>
  <si>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</si>
  <si>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</si>
  <si>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</si>
  <si>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</si>
  <si>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</si>
  <si>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</si>
  <si>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</si>
  <si>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</si>
  <si>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</si>
  <si>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</si>
  <si>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</si>
  <si>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</si>
  <si>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</si>
  <si>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</si>
  <si>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</si>
  <si>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</si>
  <si>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</si>
  <si>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</si>
  <si>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</si>
  <si>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</si>
  <si>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</si>
  <si>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</si>
  <si>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</si>
  <si>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</si>
  <si>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</si>
  <si>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</si>
  <si>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</si>
  <si>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</si>
  <si>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</si>
  <si>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</si>
  <si>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</si>
  <si>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</si>
  <si>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</si>
  <si>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</si>
  <si>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</si>
  <si>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</si>
  <si>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</si>
  <si>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</si>
  <si>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</si>
  <si>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</si>
  <si>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</si>
  <si>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</si>
  <si>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</si>
  <si>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</si>
  <si>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</si>
  <si>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</si>
  <si>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</si>
  <si>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</si>
  <si>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</si>
  <si>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</si>
  <si>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</si>
  <si>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</si>
  <si>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</si>
  <si>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</si>
  <si>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</si>
  <si>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</si>
  <si>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</si>
  <si>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</si>
  <si>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</si>
  <si>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</si>
  <si>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</si>
  <si>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</si>
  <si>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</si>
  <si>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</si>
  <si>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</si>
  <si>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</si>
  <si>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</si>
  <si>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</si>
  <si>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</si>
  <si>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</si>
  <si>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</si>
  <si>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</si>
  <si>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</si>
  <si>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</si>
  <si>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</si>
  <si>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</si>
  <si>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</si>
  <si>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</si>
  <si>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</si>
  <si>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</si>
  <si>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</si>
  <si>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</si>
  <si>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</si>
  <si>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</si>
  <si>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</si>
  <si>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</si>
  <si>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Down Light Series</t>
  </si>
  <si>
    <t>Nos.</t>
  </si>
  <si>
    <t>Electronics Store</t>
  </si>
  <si>
    <t>CODE</t>
  </si>
  <si>
    <t>COST</t>
  </si>
  <si>
    <t>DRIVER</t>
  </si>
  <si>
    <t xml:space="preserve">CODE </t>
  </si>
  <si>
    <t>-</t>
  </si>
  <si>
    <t>Temperature</t>
  </si>
  <si>
    <t>Driver</t>
  </si>
  <si>
    <t>Housing</t>
  </si>
  <si>
    <t>Diffuser</t>
  </si>
  <si>
    <t>PCB</t>
  </si>
  <si>
    <t>QTY</t>
  </si>
  <si>
    <t>PS-7W 21V 300mA-TRIAC</t>
  </si>
  <si>
    <t>PS-7W 21V 300mA-DALI</t>
  </si>
  <si>
    <t>PS-7W 21V 300mA-BT</t>
  </si>
  <si>
    <t>R07</t>
  </si>
  <si>
    <t>R16</t>
  </si>
  <si>
    <t>R24</t>
  </si>
  <si>
    <t>Housing-O-119.5 H-28 L-95mm White SBDR16W</t>
  </si>
  <si>
    <t>Diff-O-94.5 H-6 L-89mm-PC SBDR16W</t>
  </si>
  <si>
    <t>16-</t>
  </si>
  <si>
    <t>PS-16W 48V 300mA-TRIAC</t>
  </si>
  <si>
    <t>PS-16W 48V 300mA-DALI</t>
  </si>
  <si>
    <t>PS-16W 48V 300mA-BT</t>
  </si>
  <si>
    <t>24-</t>
  </si>
  <si>
    <t>Housing-O-170 H-28 L-143mm White SBDR24W</t>
  </si>
  <si>
    <t>Diff-O-142.5 H-6 L-138.5mm-PC SBDR24W</t>
  </si>
  <si>
    <t>PS-24W 72V 300mA-TRIAC</t>
  </si>
  <si>
    <t>PS-24W 72V 300mA-DALI</t>
  </si>
  <si>
    <t>PS-24W 72V 300mA-BT</t>
  </si>
  <si>
    <t>Watt</t>
  </si>
  <si>
    <t>07-</t>
  </si>
  <si>
    <t>07F60</t>
  </si>
  <si>
    <t>07F50</t>
  </si>
  <si>
    <t>07F40</t>
  </si>
  <si>
    <t>07F30</t>
  </si>
  <si>
    <t>07F27</t>
  </si>
  <si>
    <t>16F60</t>
  </si>
  <si>
    <t>16F50</t>
  </si>
  <si>
    <t>16F40</t>
  </si>
  <si>
    <t>16F30</t>
  </si>
  <si>
    <t>16F27</t>
  </si>
  <si>
    <t>24F60</t>
  </si>
  <si>
    <t>24F50</t>
  </si>
  <si>
    <t>24F40</t>
  </si>
  <si>
    <t>24F30</t>
  </si>
  <si>
    <t>24F27</t>
  </si>
  <si>
    <t>Bluetooth Dimming</t>
  </si>
  <si>
    <t>5000K</t>
  </si>
  <si>
    <t>Flood - 100°</t>
  </si>
  <si>
    <t>Round White Trim</t>
  </si>
  <si>
    <t>2700K</t>
  </si>
  <si>
    <t>3000k</t>
  </si>
  <si>
    <t>4000k</t>
  </si>
  <si>
    <t>6000K</t>
  </si>
  <si>
    <t>07 Watt</t>
  </si>
  <si>
    <t>SBDR07F50BT</t>
  </si>
  <si>
    <t>SBDR07F27BT</t>
  </si>
  <si>
    <t>SBDR07F30BT</t>
  </si>
  <si>
    <t>SBDR07F40BT</t>
  </si>
  <si>
    <t>SBDR07F60BT</t>
  </si>
  <si>
    <t>DALI Dimming</t>
  </si>
  <si>
    <t>SBDR07F50I</t>
  </si>
  <si>
    <t>SBDR07F27I</t>
  </si>
  <si>
    <t>SBDR07F30I</t>
  </si>
  <si>
    <t>SBDR07F40I</t>
  </si>
  <si>
    <t>SBDR07F60I</t>
  </si>
  <si>
    <t>TRIAC Dimming</t>
  </si>
  <si>
    <t>SBDR07F50T</t>
  </si>
  <si>
    <t>SBDR07F27T</t>
  </si>
  <si>
    <t>SBDR07F30T</t>
  </si>
  <si>
    <t>SBDR07F40T</t>
  </si>
  <si>
    <t>SBDR07F60T</t>
  </si>
  <si>
    <t>Constant Current</t>
  </si>
  <si>
    <t>SBDR07F50-</t>
  </si>
  <si>
    <t>SBDR07F27-</t>
  </si>
  <si>
    <t>SBDR07F30-</t>
  </si>
  <si>
    <t>SBDR07F40-</t>
  </si>
  <si>
    <t>SBDR07F60-</t>
  </si>
  <si>
    <t>Driving System</t>
  </si>
  <si>
    <t>Color Temp</t>
  </si>
  <si>
    <t>Beam Angle</t>
  </si>
  <si>
    <t>Trim</t>
  </si>
  <si>
    <t>Input Power</t>
  </si>
  <si>
    <t>Depth</t>
  </si>
  <si>
    <t>Height</t>
  </si>
  <si>
    <t>Width</t>
  </si>
  <si>
    <t>Weight</t>
  </si>
  <si>
    <t>Selling Price</t>
  </si>
  <si>
    <t>Retail Price</t>
  </si>
  <si>
    <t>Cost Price</t>
  </si>
  <si>
    <t>Product Name</t>
  </si>
  <si>
    <t>SKU Code</t>
  </si>
  <si>
    <t>SKU Id</t>
  </si>
  <si>
    <t>07-T</t>
  </si>
  <si>
    <t>07-I</t>
  </si>
  <si>
    <t>07-BT</t>
  </si>
  <si>
    <t>16-T</t>
  </si>
  <si>
    <t>16-I</t>
  </si>
  <si>
    <t>16-BT</t>
  </si>
  <si>
    <t>24-T</t>
  </si>
  <si>
    <t>24-I</t>
  </si>
  <si>
    <t>24-BT</t>
  </si>
  <si>
    <t>Housing-O-89.5 H-28 L-61.8mm White SBDR7W</t>
  </si>
  <si>
    <t>Diff-O-61.8 H-6 L-57.8mm-PC SBDR7W</t>
  </si>
  <si>
    <t>Torsion Spring - L-49 W-18mm Coil D-1mm D-8 Black</t>
  </si>
  <si>
    <t>Sleeve M4mm Fiber Glass White</t>
  </si>
  <si>
    <t>Screw M3x6 Pan+ Head SS</t>
  </si>
  <si>
    <t>Screw M3X4 Pan + Head SS</t>
  </si>
  <si>
    <t>PCB-2835-5B7C (55X0.8mm) SBDR07W</t>
  </si>
  <si>
    <t>PCB-2835-5B16C (85.8X0.8mm) SBDR16W</t>
  </si>
  <si>
    <t>PCB-2835-5B24C (134X0.8mm) SBDR24W</t>
  </si>
  <si>
    <t>BOM LED PCB</t>
  </si>
  <si>
    <t>Conn. 2 Pin Ass. Wire Black Male (Small)</t>
  </si>
  <si>
    <t>Wire Clip-M3-MS</t>
  </si>
  <si>
    <t>CC</t>
  </si>
  <si>
    <t>I</t>
  </si>
  <si>
    <t>T</t>
  </si>
  <si>
    <t>BT</t>
  </si>
  <si>
    <t>ID</t>
  </si>
  <si>
    <t>BTD</t>
  </si>
  <si>
    <t>MODEL NAME</t>
  </si>
  <si>
    <t>Part Number</t>
  </si>
  <si>
    <t>Qty</t>
  </si>
  <si>
    <t>Unit Price</t>
  </si>
  <si>
    <t>Cost</t>
  </si>
  <si>
    <t>USD</t>
  </si>
  <si>
    <t>INS&amp;FRED</t>
  </si>
  <si>
    <t>BCD</t>
  </si>
  <si>
    <t>Total Cost</t>
  </si>
  <si>
    <t xml:space="preserve">FITTING SBDR07W ALL SET </t>
  </si>
  <si>
    <t xml:space="preserve">FITTING SBDR16W ALL SET </t>
  </si>
  <si>
    <t xml:space="preserve">FITTING SBDR24W ALL SET </t>
  </si>
  <si>
    <t>PS 24W 300mA 24LED 72V Maxic (Mx-50W)</t>
  </si>
  <si>
    <t>LED 2835-60mA-4000K (NW)</t>
  </si>
  <si>
    <t>LED 2835-60mA-5000K (PW)</t>
  </si>
  <si>
    <t>LED 2835-60mA-6000K (PW)</t>
  </si>
  <si>
    <t>LED 2835-60mA-3000K (WW)</t>
  </si>
  <si>
    <t>LED SMD 2835 60mA 2700K (WW)</t>
  </si>
  <si>
    <t>PS 7W 270mA 21V LPF</t>
  </si>
  <si>
    <t>BOX</t>
  </si>
  <si>
    <t>PBX</t>
  </si>
  <si>
    <t>SBX</t>
  </si>
  <si>
    <t>Screw M2X6.5mm CSK Self Pan + Head MS</t>
  </si>
  <si>
    <t>PBX - SBDR7W</t>
  </si>
  <si>
    <t>PBX - SBDR24W</t>
  </si>
  <si>
    <t>PBX-FRDR15W &amp; SBDR16W</t>
  </si>
  <si>
    <t>SBX - COB 8-18W (12Nos)</t>
  </si>
  <si>
    <t>SBX FRDR15-20W (12Nos)</t>
  </si>
  <si>
    <t>SBX - SBDR24W</t>
  </si>
  <si>
    <t>PS 16W  48V 270mA MAXIC</t>
  </si>
  <si>
    <t>SBDR07W -CC</t>
  </si>
  <si>
    <t>SBDR07F30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</si>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</sst>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00"/>
    <numFmt numFmtId="165" formatCode="_ [$Rs.-4009]\ * #,##0.00_ ;_ [$Rs.-4009]\ * \-#,##0.00_ ;_ [$Rs.-4009]\ * &quot;-&quot;??_ ;_ @_ "/>
    <numFmt numFmtId="166" formatCode="&quot;$&quot;#,##0.000"/>
    <numFmt numFmtId="167" formatCode="_-[$Rs-420]* #,##0.00_-;_-[$Rs-420]* #,##0.00\-;_-[$Rs-420]* &quot;-&quot;??_-;_-@_-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sz val="10"/>
      <color rgb="FF000000"/>
      <name val="Afacad-Regula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EAEA"/>
        <bgColor rgb="FFEAEAEA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4" fillId="0" borderId="0" applyNumberForma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  <xf numFmtId="0" fontId="21" fillId="0" borderId="0"/>
  </cellStyleXfs>
  <cellXfs count="168">
    <xf numFmtId="0" fontId="0" fillId="0" borderId="0" xfId="0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wrapText="1"/>
    </xf>
    <xf numFmtId="0" fontId="7" fillId="2" borderId="0" xfId="0" applyFont="1" applyFill="1"/>
    <xf numFmtId="0" fontId="0" fillId="2" borderId="0" xfId="0" applyFill="1"/>
    <xf numFmtId="0" fontId="6" fillId="4" borderId="1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wrapText="1"/>
    </xf>
    <xf numFmtId="0" fontId="8" fillId="2" borderId="4" xfId="0" applyFont="1" applyFill="1" applyBorder="1"/>
    <xf numFmtId="0" fontId="4" fillId="2" borderId="5" xfId="0" applyFont="1" applyFill="1" applyBorder="1"/>
    <xf numFmtId="0" fontId="6" fillId="0" borderId="6" xfId="0" applyFont="1" applyBorder="1" applyAlignment="1">
      <alignment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/>
    <xf numFmtId="0" fontId="9" fillId="2" borderId="7" xfId="0" applyFont="1" applyFill="1" applyBorder="1" applyAlignment="1">
      <alignment horizontal="left" indent="2"/>
    </xf>
    <xf numFmtId="0" fontId="4" fillId="2" borderId="0" xfId="0" applyFont="1" applyFill="1" applyAlignment="1">
      <alignment horizontal="left" indent="2"/>
    </xf>
    <xf numFmtId="0" fontId="4" fillId="0" borderId="1" xfId="0" applyFont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indent="2"/>
    </xf>
    <xf numFmtId="0" fontId="4" fillId="2" borderId="7" xfId="0" applyFont="1" applyFill="1" applyBorder="1" applyAlignment="1">
      <alignment horizontal="left" indent="2"/>
    </xf>
    <xf numFmtId="0" fontId="10" fillId="2" borderId="7" xfId="0" applyFont="1" applyFill="1" applyBorder="1" applyAlignment="1">
      <alignment horizontal="left" indent="2"/>
    </xf>
    <xf numFmtId="0" fontId="10" fillId="2" borderId="0" xfId="0" applyFont="1" applyFill="1" applyAlignment="1">
      <alignment horizontal="left" indent="2"/>
    </xf>
    <xf numFmtId="0" fontId="10" fillId="2" borderId="7" xfId="0" applyFont="1" applyFill="1" applyBorder="1" applyAlignment="1">
      <alignment horizontal="left" indent="3"/>
    </xf>
    <xf numFmtId="0" fontId="11" fillId="2" borderId="7" xfId="0" applyFont="1" applyFill="1" applyBorder="1" applyAlignment="1">
      <alignment horizontal="left" indent="3"/>
    </xf>
    <xf numFmtId="0" fontId="12" fillId="2" borderId="0" xfId="0" applyFont="1" applyFill="1" applyAlignment="1">
      <alignment horizontal="left" indent="3"/>
    </xf>
    <xf numFmtId="0" fontId="13" fillId="0" borderId="3" xfId="0" applyFont="1" applyBorder="1" applyAlignment="1">
      <alignment wrapText="1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9" fillId="2" borderId="0" xfId="0" applyFont="1" applyFill="1"/>
    <xf numFmtId="0" fontId="6" fillId="2" borderId="0" xfId="0" applyFont="1" applyFill="1"/>
    <xf numFmtId="0" fontId="6" fillId="4" borderId="2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wrapText="1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left" indent="1"/>
    </xf>
    <xf numFmtId="0" fontId="4" fillId="0" borderId="3" xfId="0" applyFont="1" applyBorder="1" applyAlignment="1">
      <alignment wrapText="1"/>
    </xf>
    <xf numFmtId="0" fontId="8" fillId="2" borderId="5" xfId="0" applyFont="1" applyFill="1" applyBorder="1"/>
    <xf numFmtId="0" fontId="14" fillId="2" borderId="0" xfId="1" applyFill="1" applyBorder="1" applyAlignment="1"/>
    <xf numFmtId="0" fontId="14" fillId="2" borderId="0" xfId="1" applyFill="1" applyBorder="1"/>
    <xf numFmtId="0" fontId="8" fillId="2" borderId="10" xfId="0" applyFont="1" applyFill="1" applyBorder="1"/>
    <xf numFmtId="0" fontId="4" fillId="2" borderId="11" xfId="0" applyFont="1" applyFill="1" applyBorder="1" applyAlignment="1">
      <alignment horizontal="left" indent="2"/>
    </xf>
    <xf numFmtId="0" fontId="10" fillId="2" borderId="11" xfId="0" applyFont="1" applyFill="1" applyBorder="1" applyAlignment="1">
      <alignment horizontal="left" indent="2"/>
    </xf>
    <xf numFmtId="0" fontId="4" fillId="2" borderId="11" xfId="0" applyFont="1" applyFill="1" applyBorder="1"/>
    <xf numFmtId="0" fontId="4" fillId="2" borderId="12" xfId="0" applyFont="1" applyFill="1" applyBorder="1"/>
    <xf numFmtId="0" fontId="5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5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6" borderId="1" xfId="0" applyFill="1" applyBorder="1"/>
    <xf numFmtId="0" fontId="17" fillId="7" borderId="0" xfId="0" applyFont="1" applyFill="1" applyAlignment="1">
      <alignment horizontal="left" vertical="center" wrapText="1"/>
    </xf>
    <xf numFmtId="0" fontId="18" fillId="0" borderId="23" xfId="2" applyFill="1" applyBorder="1"/>
    <xf numFmtId="0" fontId="18" fillId="0" borderId="0" xfId="2"/>
    <xf numFmtId="0" fontId="18" fillId="6" borderId="13" xfId="2" applyFill="1" applyBorder="1" applyAlignment="1">
      <alignment horizontal="center" vertical="center"/>
    </xf>
    <xf numFmtId="0" fontId="18" fillId="6" borderId="14" xfId="2" applyFill="1" applyBorder="1" applyAlignment="1">
      <alignment horizontal="center" vertical="center"/>
    </xf>
    <xf numFmtId="0" fontId="18" fillId="6" borderId="15" xfId="2" applyFill="1" applyBorder="1" applyAlignment="1">
      <alignment horizontal="center" vertical="center"/>
    </xf>
    <xf numFmtId="0" fontId="18" fillId="6" borderId="16" xfId="2" applyFill="1" applyBorder="1" applyAlignment="1">
      <alignment horizontal="center" vertical="center"/>
    </xf>
    <xf numFmtId="0" fontId="18" fillId="6" borderId="17" xfId="2" applyFill="1" applyBorder="1" applyAlignment="1">
      <alignment horizontal="center" vertical="center"/>
    </xf>
    <xf numFmtId="0" fontId="18" fillId="6" borderId="18" xfId="2" applyFill="1" applyBorder="1" applyAlignment="1">
      <alignment horizontal="center" vertical="center"/>
    </xf>
    <xf numFmtId="0" fontId="18" fillId="6" borderId="19" xfId="2" applyFill="1" applyBorder="1" applyAlignment="1">
      <alignment horizontal="center" vertical="center"/>
    </xf>
    <xf numFmtId="0" fontId="18" fillId="0" borderId="20" xfId="2" applyBorder="1" applyAlignment="1">
      <alignment horizontal="center" vertical="center"/>
    </xf>
    <xf numFmtId="0" fontId="18" fillId="0" borderId="1" xfId="2" applyBorder="1"/>
    <xf numFmtId="0" fontId="18" fillId="0" borderId="2" xfId="2" applyBorder="1"/>
    <xf numFmtId="0" fontId="18" fillId="6" borderId="21" xfId="2" applyFill="1" applyBorder="1"/>
    <xf numFmtId="0" fontId="18" fillId="0" borderId="22" xfId="2" applyBorder="1"/>
    <xf numFmtId="0" fontId="18" fillId="0" borderId="23" xfId="2" applyBorder="1"/>
    <xf numFmtId="0" fontId="18" fillId="0" borderId="21" xfId="2" applyBorder="1"/>
    <xf numFmtId="0" fontId="18" fillId="0" borderId="0" xfId="2" applyAlignment="1">
      <alignment wrapText="1"/>
    </xf>
    <xf numFmtId="0" fontId="18" fillId="0" borderId="24" xfId="2" applyBorder="1"/>
    <xf numFmtId="0" fontId="18" fillId="0" borderId="25" xfId="2" applyBorder="1"/>
    <xf numFmtId="0" fontId="18" fillId="0" borderId="0" xfId="2" applyBorder="1"/>
    <xf numFmtId="0" fontId="18" fillId="0" borderId="18" xfId="2" applyBorder="1" applyAlignment="1">
      <alignment horizontal="center" vertical="center"/>
    </xf>
    <xf numFmtId="0" fontId="18" fillId="9" borderId="1" xfId="2" applyFill="1" applyBorder="1"/>
    <xf numFmtId="0" fontId="18" fillId="0" borderId="0" xfId="2" applyFill="1" applyBorder="1"/>
    <xf numFmtId="0" fontId="18" fillId="0" borderId="28" xfId="2" applyBorder="1" applyAlignment="1">
      <alignment horizontal="center" vertical="center"/>
    </xf>
    <xf numFmtId="0" fontId="18" fillId="8" borderId="1" xfId="2" applyFill="1" applyBorder="1"/>
    <xf numFmtId="0" fontId="18" fillId="0" borderId="29" xfId="2" applyBorder="1"/>
    <xf numFmtId="0" fontId="18" fillId="0" borderId="1" xfId="2" applyBorder="1" applyAlignment="1">
      <alignment horizontal="left"/>
    </xf>
    <xf numFmtId="0" fontId="18" fillId="0" borderId="0" xfId="2" applyBorder="1" applyAlignment="1">
      <alignment horizontal="left"/>
    </xf>
    <xf numFmtId="0" fontId="18" fillId="6" borderId="2" xfId="2" applyFill="1" applyBorder="1" applyAlignment="1">
      <alignment horizontal="center" vertical="center"/>
    </xf>
    <xf numFmtId="0" fontId="18" fillId="0" borderId="2" xfId="2" applyBorder="1" applyAlignment="1">
      <alignment horizontal="left"/>
    </xf>
    <xf numFmtId="0" fontId="18" fillId="8" borderId="22" xfId="2" applyFill="1" applyBorder="1"/>
    <xf numFmtId="49" fontId="18" fillId="0" borderId="22" xfId="2" applyNumberFormat="1" applyBorder="1"/>
    <xf numFmtId="0" fontId="18" fillId="0" borderId="26" xfId="2" applyBorder="1"/>
    <xf numFmtId="0" fontId="18" fillId="0" borderId="31" xfId="2" applyBorder="1"/>
    <xf numFmtId="0" fontId="18" fillId="9" borderId="27" xfId="2" applyFill="1" applyBorder="1"/>
    <xf numFmtId="0" fontId="18" fillId="9" borderId="30" xfId="2" applyFill="1" applyBorder="1"/>
    <xf numFmtId="0" fontId="18" fillId="9" borderId="32" xfId="2" applyFill="1" applyBorder="1"/>
    <xf numFmtId="49" fontId="18" fillId="0" borderId="22" xfId="2" applyNumberFormat="1" applyBorder="1" applyAlignment="1">
      <alignment horizontal="left"/>
    </xf>
    <xf numFmtId="49" fontId="18" fillId="0" borderId="0" xfId="2" applyNumberFormat="1" applyBorder="1" applyAlignment="1">
      <alignment horizontal="left"/>
    </xf>
    <xf numFmtId="0" fontId="21" fillId="0" borderId="0" xfId="5"/>
    <xf numFmtId="0" fontId="21" fillId="7" borderId="1" xfId="5" applyFill="1" applyBorder="1"/>
    <xf numFmtId="0" fontId="21" fillId="6" borderId="1" xfId="5" applyFill="1" applyBorder="1"/>
    <xf numFmtId="0" fontId="21" fillId="8" borderId="1" xfId="5" applyFill="1" applyBorder="1"/>
    <xf numFmtId="0" fontId="21" fillId="8" borderId="22" xfId="5" applyFill="1" applyBorder="1"/>
    <xf numFmtId="0" fontId="21" fillId="8" borderId="2" xfId="5" applyFill="1" applyBorder="1"/>
    <xf numFmtId="0" fontId="22" fillId="10" borderId="1" xfId="0" applyFont="1" applyFill="1" applyBorder="1"/>
    <xf numFmtId="0" fontId="22" fillId="0" borderId="1" xfId="0" applyFont="1" applyBorder="1"/>
    <xf numFmtId="0" fontId="22" fillId="0" borderId="22" xfId="0" applyFont="1" applyBorder="1"/>
    <xf numFmtId="0" fontId="22" fillId="0" borderId="1" xfId="0" applyFont="1" applyBorder="1" applyAlignment="1">
      <alignment horizontal="left"/>
    </xf>
    <xf numFmtId="0" fontId="18" fillId="0" borderId="0" xfId="0" applyFont="1"/>
    <xf numFmtId="0" fontId="0" fillId="10" borderId="1" xfId="0" applyFill="1" applyBorder="1"/>
    <xf numFmtId="0" fontId="0" fillId="11" borderId="1" xfId="0" applyFill="1" applyBorder="1"/>
    <xf numFmtId="0" fontId="18" fillId="12" borderId="0" xfId="2" applyFill="1" applyBorder="1"/>
    <xf numFmtId="0" fontId="23" fillId="13" borderId="1" xfId="0" applyFont="1" applyFill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18" fillId="0" borderId="34" xfId="2" applyBorder="1"/>
    <xf numFmtId="0" fontId="18" fillId="0" borderId="1" xfId="2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8" fillId="0" borderId="1" xfId="2" applyBorder="1" applyAlignment="1">
      <alignment horizontal="center" vertical="center"/>
    </xf>
    <xf numFmtId="0" fontId="22" fillId="1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/>
    <xf numFmtId="0" fontId="1" fillId="0" borderId="2" xfId="2" applyFont="1" applyBorder="1" applyAlignment="1">
      <alignment horizontal="left"/>
    </xf>
    <xf numFmtId="0" fontId="1" fillId="0" borderId="1" xfId="2" applyFont="1" applyBorder="1"/>
    <xf numFmtId="0" fontId="1" fillId="0" borderId="22" xfId="2" applyFont="1" applyBorder="1"/>
    <xf numFmtId="0" fontId="18" fillId="0" borderId="2" xfId="2" applyBorder="1" applyAlignment="1">
      <alignment horizontal="center"/>
    </xf>
    <xf numFmtId="0" fontId="18" fillId="0" borderId="0" xfId="2" applyBorder="1" applyAlignment="1">
      <alignment horizontal="center"/>
    </xf>
    <xf numFmtId="0" fontId="18" fillId="0" borderId="0" xfId="2" applyAlignment="1">
      <alignment horizontal="center"/>
    </xf>
    <xf numFmtId="0" fontId="1" fillId="6" borderId="18" xfId="2" applyFont="1" applyFill="1" applyBorder="1" applyAlignment="1">
      <alignment horizontal="center" vertical="center"/>
    </xf>
    <xf numFmtId="0" fontId="18" fillId="0" borderId="35" xfId="2" applyBorder="1"/>
    <xf numFmtId="0" fontId="1" fillId="8" borderId="1" xfId="2" applyFont="1" applyFill="1" applyBorder="1"/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165" fontId="26" fillId="10" borderId="36" xfId="0" applyNumberFormat="1" applyFont="1" applyFill="1" applyBorder="1" applyAlignment="1">
      <alignment horizontal="center" vertical="center"/>
    </xf>
    <xf numFmtId="167" fontId="25" fillId="0" borderId="1" xfId="0" applyNumberFormat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165" fontId="25" fillId="0" borderId="1" xfId="0" applyNumberFormat="1" applyFont="1" applyFill="1" applyBorder="1" applyAlignment="1">
      <alignment horizontal="center" vertical="center"/>
    </xf>
    <xf numFmtId="9" fontId="25" fillId="0" borderId="37" xfId="0" applyNumberFormat="1" applyFont="1" applyBorder="1" applyAlignment="1">
      <alignment horizontal="center" vertical="center"/>
    </xf>
    <xf numFmtId="9" fontId="25" fillId="0" borderId="6" xfId="0" applyNumberFormat="1" applyFont="1" applyBorder="1" applyAlignment="1">
      <alignment horizontal="center" vertical="center"/>
    </xf>
    <xf numFmtId="164" fontId="25" fillId="0" borderId="37" xfId="0" applyNumberFormat="1" applyFont="1" applyBorder="1" applyAlignment="1">
      <alignment horizontal="center" vertical="center"/>
    </xf>
    <xf numFmtId="164" fontId="25" fillId="0" borderId="6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right" vertical="center"/>
    </xf>
    <xf numFmtId="0" fontId="7" fillId="14" borderId="22" xfId="0" applyFont="1" applyFill="1" applyBorder="1" applyAlignment="1">
      <alignment horizontal="right" vertical="center"/>
    </xf>
    <xf numFmtId="165" fontId="25" fillId="0" borderId="37" xfId="0" applyNumberFormat="1" applyFont="1" applyBorder="1" applyAlignment="1">
      <alignment horizontal="center" vertical="center"/>
    </xf>
    <xf numFmtId="165" fontId="25" fillId="0" borderId="6" xfId="0" applyNumberFormat="1" applyFont="1" applyBorder="1" applyAlignment="1">
      <alignment horizontal="center" vertical="center"/>
    </xf>
    <xf numFmtId="166" fontId="25" fillId="0" borderId="37" xfId="0" applyNumberFormat="1" applyFont="1" applyFill="1" applyBorder="1" applyAlignment="1">
      <alignment horizontal="center" vertical="center"/>
    </xf>
    <xf numFmtId="166" fontId="25" fillId="0" borderId="6" xfId="0" applyNumberFormat="1" applyFont="1" applyFill="1" applyBorder="1" applyAlignment="1">
      <alignment horizontal="center" vertical="center"/>
    </xf>
    <xf numFmtId="0" fontId="18" fillId="0" borderId="2" xfId="2" applyBorder="1" applyAlignment="1">
      <alignment horizontal="center" vertical="top" wrapText="1"/>
    </xf>
    <xf numFmtId="0" fontId="18" fillId="0" borderId="33" xfId="2" applyBorder="1" applyAlignment="1">
      <alignment horizontal="center" vertical="top" wrapText="1"/>
    </xf>
    <xf numFmtId="0" fontId="18" fillId="0" borderId="22" xfId="2" applyBorder="1" applyAlignment="1">
      <alignment horizontal="center" vertical="top" wrapText="1"/>
    </xf>
    <xf numFmtId="0" fontId="18" fillId="0" borderId="2" xfId="2" applyBorder="1" applyAlignment="1">
      <alignment horizontal="left"/>
    </xf>
    <xf numFmtId="0" fontId="18" fillId="0" borderId="33" xfId="2" applyBorder="1" applyAlignment="1">
      <alignment horizontal="left"/>
    </xf>
    <xf numFmtId="0" fontId="18" fillId="0" borderId="22" xfId="2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8" fillId="0" borderId="1" xfId="2" applyBorder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0" fillId="2" borderId="7" xfId="0" applyFont="1" applyFill="1" applyBorder="1" applyAlignment="1">
      <alignment horizontal="left" wrapText="1" indent="2"/>
    </xf>
    <xf numFmtId="0" fontId="10" fillId="2" borderId="0" xfId="0" applyFont="1" applyFill="1" applyAlignment="1">
      <alignment horizontal="left" wrapText="1" indent="2"/>
    </xf>
    <xf numFmtId="0" fontId="10" fillId="2" borderId="11" xfId="0" applyFont="1" applyFill="1" applyBorder="1" applyAlignment="1">
      <alignment horizontal="left" wrapText="1" indent="2"/>
    </xf>
    <xf numFmtId="167" fontId="23" fillId="0" borderId="1" xfId="0" applyNumberFormat="1" applyFont="1" applyFill="1" applyBorder="1" applyAlignment="1">
      <alignment horizontal="center" vertical="center"/>
    </xf>
  </cellXfs>
  <cellStyles count="6">
    <cellStyle name="Hyperlink 2" xfId="1"/>
    <cellStyle name="Hyperlink 2 2" xfId="3"/>
    <cellStyle name="Normal" xfId="0" builtinId="0"/>
    <cellStyle name="Normal 2" xfId="4"/>
    <cellStyle name="Normal 3" xfId="2"/>
    <cellStyle name="Normal 4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topLeftCell="F1" workbookViewId="0">
      <selection activeCell="L20" sqref="L20"/>
    </sheetView>
  </sheetViews>
  <sheetFormatPr defaultColWidth="9" defaultRowHeight="15"/>
  <cols>
    <col min="1" max="1" width="23.7109375" bestFit="1" customWidth="1"/>
    <col min="2" max="2" width="18" customWidth="1"/>
    <col min="3" max="3" width="11.5703125" customWidth="1"/>
    <col min="4" max="4" width="22.28515625" customWidth="1"/>
    <col min="5" max="5" width="19.140625" customWidth="1"/>
    <col min="6" max="6" width="45.7109375" customWidth="1"/>
    <col min="7" max="7" width="25.140625" style="47" customWidth="1"/>
    <col min="8" max="8" width="27.7109375" hidden="1" customWidth="1"/>
    <col min="9" max="9" width="31.85546875" hidden="1" customWidth="1"/>
    <col min="10" max="10" width="14.140625" bestFit="1" customWidth="1"/>
    <col min="11" max="11" width="12.42578125" customWidth="1"/>
    <col min="12" max="12" width="11.5703125" customWidth="1"/>
    <col min="14" max="14" width="12.28515625" customWidth="1"/>
    <col min="16" max="16" width="10.85546875" customWidth="1"/>
  </cols>
  <sheetData>
    <row r="1" spans="1:16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313</v>
      </c>
      <c r="K1" s="134" t="s">
        <v>316</v>
      </c>
      <c r="L1" s="134" t="s">
        <v>317</v>
      </c>
      <c r="M1" s="132" t="s">
        <v>318</v>
      </c>
      <c r="N1" s="133" t="s">
        <v>319</v>
      </c>
      <c r="O1" s="133" t="s">
        <v>320</v>
      </c>
      <c r="P1" s="132" t="s">
        <v>321</v>
      </c>
    </row>
    <row r="2" spans="1:16">
      <c r="A2" s="49" t="str">
        <f>CONCATENATE(D2)</f>
        <v>SBDR07F30</v>
      </c>
      <c r="B2" s="49" t="s">
        <v>190</v>
      </c>
      <c r="C2" s="49" t="s">
        <v>191</v>
      </c>
      <c r="D2" s="51" t="s">
        <v>344</v>
      </c>
      <c r="E2" s="49">
        <v>1</v>
      </c>
      <c r="F2" s="50" t="str">
        <f>VLOOKUP('SBDR07-16-24W-DATA'!AA12,'SBDR07-16-24W-DATA'!A2:B4,2,0)</f>
        <v>Housing-O-89.5 H-28 L-61.8mm White SBDR7W</v>
      </c>
      <c r="G2" s="110">
        <v>1</v>
      </c>
      <c r="H2" s="49" t="s">
        <v>189</v>
      </c>
      <c r="I2" s="49" t="s">
        <v>9</v>
      </c>
      <c r="J2" s="49"/>
      <c r="K2" s="147">
        <f>P2*87</f>
        <v>60.160499999999999</v>
      </c>
      <c r="L2" s="147">
        <f>G2*K2</f>
        <v>60.160499999999999</v>
      </c>
      <c r="M2" s="149">
        <v>0.46100000000000002</v>
      </c>
      <c r="N2" s="141">
        <v>0.5</v>
      </c>
      <c r="O2" s="141"/>
      <c r="P2" s="143">
        <f>M2+(M2*(N2+O2))</f>
        <v>0.6915</v>
      </c>
    </row>
    <row r="3" spans="1:16">
      <c r="A3" s="49"/>
      <c r="B3" s="49"/>
      <c r="C3" s="49"/>
      <c r="D3" s="49"/>
      <c r="E3" s="49"/>
      <c r="F3" s="50" t="str">
        <f>VLOOKUP('SBDR07-16-24W-DATA'!AA13,'SBDR07-16-24W-DATA'!E2:F4,2,0)</f>
        <v>Diff-O-61.8 H-6 L-57.8mm-PC SBDR7W</v>
      </c>
      <c r="G3" s="110">
        <v>1</v>
      </c>
      <c r="H3" s="49" t="s">
        <v>189</v>
      </c>
      <c r="I3" s="49" t="s">
        <v>9</v>
      </c>
      <c r="J3" s="49"/>
      <c r="K3" s="148"/>
      <c r="L3" s="148"/>
      <c r="M3" s="150"/>
      <c r="N3" s="142"/>
      <c r="O3" s="142"/>
      <c r="P3" s="144"/>
    </row>
    <row r="4" spans="1:16" ht="13.5" customHeight="1">
      <c r="A4" s="49"/>
      <c r="B4" s="49"/>
      <c r="C4" s="49"/>
      <c r="D4" s="49"/>
      <c r="E4" s="49"/>
      <c r="F4" s="49" t="s">
        <v>297</v>
      </c>
      <c r="G4" s="110">
        <v>2</v>
      </c>
      <c r="H4" s="49" t="s">
        <v>189</v>
      </c>
      <c r="I4" s="49" t="s">
        <v>9</v>
      </c>
      <c r="J4" s="49"/>
      <c r="K4" s="135">
        <f t="shared" ref="K4:K16" si="0">P4*87</f>
        <v>1.044</v>
      </c>
      <c r="L4" s="135">
        <f t="shared" ref="L4:L17" si="1">G4*K4</f>
        <v>2.0880000000000001</v>
      </c>
      <c r="M4" s="136">
        <v>8.0000000000000002E-3</v>
      </c>
      <c r="N4" s="114">
        <v>0.5</v>
      </c>
      <c r="O4" s="114"/>
      <c r="P4" s="113">
        <f t="shared" ref="P4:P16" si="2">M4+(M4*(N4+O4))</f>
        <v>1.2E-2</v>
      </c>
    </row>
    <row r="5" spans="1:16">
      <c r="A5" s="49"/>
      <c r="B5" s="49"/>
      <c r="C5" s="49"/>
      <c r="D5" s="49"/>
      <c r="E5" s="49"/>
      <c r="F5" s="122" t="s">
        <v>305</v>
      </c>
      <c r="G5" s="110">
        <v>1</v>
      </c>
      <c r="H5" s="49" t="s">
        <v>189</v>
      </c>
      <c r="I5" s="49" t="s">
        <v>9</v>
      </c>
      <c r="J5" s="49"/>
      <c r="K5" s="135">
        <f t="shared" si="0"/>
        <v>3.915</v>
      </c>
      <c r="L5" s="135">
        <f t="shared" si="1"/>
        <v>3.915</v>
      </c>
      <c r="M5" s="136">
        <v>0.03</v>
      </c>
      <c r="N5" s="114">
        <v>0.5</v>
      </c>
      <c r="O5" s="114"/>
      <c r="P5" s="113">
        <f t="shared" si="2"/>
        <v>4.4999999999999998E-2</v>
      </c>
    </row>
    <row r="6" spans="1:16">
      <c r="A6" s="49"/>
      <c r="B6" s="49"/>
      <c r="C6" s="49"/>
      <c r="D6" s="49"/>
      <c r="E6" s="49"/>
      <c r="F6" s="49" t="s">
        <v>298</v>
      </c>
      <c r="G6" s="110">
        <v>0.12</v>
      </c>
      <c r="H6" s="49" t="s">
        <v>189</v>
      </c>
      <c r="I6" s="49" t="s">
        <v>9</v>
      </c>
      <c r="J6" s="49"/>
      <c r="K6" s="138">
        <f>5.7/1000*120</f>
        <v>0.68400000000000005</v>
      </c>
      <c r="L6" s="135">
        <f t="shared" si="1"/>
        <v>8.208E-2</v>
      </c>
    </row>
    <row r="7" spans="1:16">
      <c r="A7" s="49"/>
      <c r="B7" s="49"/>
      <c r="C7" s="49"/>
      <c r="D7" s="49"/>
      <c r="E7" s="49"/>
      <c r="F7" s="49" t="s">
        <v>306</v>
      </c>
      <c r="G7" s="110">
        <v>1</v>
      </c>
      <c r="H7" s="49" t="s">
        <v>189</v>
      </c>
      <c r="I7" s="49" t="s">
        <v>9</v>
      </c>
      <c r="J7" s="49"/>
      <c r="K7" s="135">
        <v>0.6</v>
      </c>
      <c r="L7" s="135">
        <f t="shared" si="1"/>
        <v>0.6</v>
      </c>
    </row>
    <row r="8" spans="1:16">
      <c r="A8" s="49"/>
      <c r="B8" s="49"/>
      <c r="C8" s="49"/>
      <c r="D8" s="49"/>
      <c r="E8" s="49"/>
      <c r="F8" s="49" t="s">
        <v>335</v>
      </c>
      <c r="G8" s="110">
        <v>2</v>
      </c>
      <c r="H8" s="49" t="s">
        <v>189</v>
      </c>
      <c r="I8" s="49" t="s">
        <v>9</v>
      </c>
      <c r="J8" s="49"/>
      <c r="K8" s="135">
        <v>0.15</v>
      </c>
      <c r="L8" s="135">
        <f t="shared" si="1"/>
        <v>0.3</v>
      </c>
    </row>
    <row r="9" spans="1:16">
      <c r="A9" s="49"/>
      <c r="B9" s="49"/>
      <c r="C9" s="49"/>
      <c r="D9" s="49"/>
      <c r="E9" s="49"/>
      <c r="F9" s="49" t="s">
        <v>299</v>
      </c>
      <c r="G9" s="110">
        <v>2</v>
      </c>
      <c r="H9" s="49" t="s">
        <v>189</v>
      </c>
      <c r="I9" s="49" t="s">
        <v>9</v>
      </c>
      <c r="J9" s="49"/>
      <c r="K9" s="135">
        <v>0.53</v>
      </c>
      <c r="L9" s="135">
        <f t="shared" si="1"/>
        <v>1.06</v>
      </c>
    </row>
    <row r="10" spans="1:16">
      <c r="A10" s="49"/>
      <c r="B10" s="49"/>
      <c r="C10" s="49"/>
      <c r="D10" s="49"/>
      <c r="E10" s="49"/>
      <c r="F10" s="49" t="s">
        <v>300</v>
      </c>
      <c r="G10" s="110">
        <v>2</v>
      </c>
      <c r="H10" s="49" t="s">
        <v>189</v>
      </c>
      <c r="I10" s="49" t="s">
        <v>9</v>
      </c>
      <c r="J10" s="49"/>
      <c r="K10" s="135">
        <v>0.57999999999999996</v>
      </c>
      <c r="L10" s="135">
        <f t="shared" si="1"/>
        <v>1.1599999999999999</v>
      </c>
    </row>
    <row r="11" spans="1:16">
      <c r="A11" s="49"/>
      <c r="B11" s="49"/>
      <c r="C11" s="49"/>
      <c r="D11" s="49"/>
      <c r="E11" s="49"/>
      <c r="F11" s="102" t="str">
        <f>CONCATENATE(D15)</f>
        <v>SBDR07F30 BOM LED PCB</v>
      </c>
      <c r="G11" s="121">
        <v>1</v>
      </c>
      <c r="H11" s="102" t="s">
        <v>192</v>
      </c>
      <c r="I11" s="102" t="s">
        <v>9</v>
      </c>
      <c r="J11" s="49"/>
      <c r="K11" s="135">
        <f t="shared" si="0"/>
        <v>0</v>
      </c>
      <c r="L11" s="135">
        <f t="shared" si="1"/>
        <v>0</v>
      </c>
    </row>
    <row r="12" spans="1:16">
      <c r="A12" s="49"/>
      <c r="B12" s="49"/>
      <c r="C12" s="49"/>
      <c r="D12" s="49"/>
      <c r="E12" s="49"/>
      <c r="F12" s="50" t="str">
        <f>VLOOKUP('SBDR07-16-24W-DATA'!AA16,'SBDR07-16-24W-DATA'!I2:J15,2,0)</f>
        <v>PS 7W 270mA 21V LPF</v>
      </c>
      <c r="G12" s="121">
        <v>1</v>
      </c>
      <c r="H12" s="49" t="s">
        <v>189</v>
      </c>
      <c r="I12" s="49" t="s">
        <v>9</v>
      </c>
      <c r="J12" s="49"/>
      <c r="K12" s="140"/>
      <c r="L12" s="140"/>
      <c r="M12" s="139" t="s">
        <v>345</v>
      </c>
    </row>
    <row r="13" spans="1:16">
      <c r="A13" s="49"/>
      <c r="B13" s="49"/>
      <c r="C13" s="49"/>
      <c r="D13" s="49"/>
      <c r="E13" s="49"/>
      <c r="F13" s="103" t="str">
        <f>VLOOKUP('SBDR07-16-24W-DATA'!$AD$7,'SBDR07-16-24W-DATA'!$V$2:$W$4,2,0)</f>
        <v>PBX - SBDR7W</v>
      </c>
      <c r="G13" s="110">
        <v>1</v>
      </c>
      <c r="H13" s="49" t="s">
        <v>189</v>
      </c>
      <c r="I13" s="49" t="s">
        <v>9</v>
      </c>
      <c r="J13" s="49"/>
      <c r="K13" s="135">
        <v>6</v>
      </c>
      <c r="L13" s="135">
        <f t="shared" si="1"/>
        <v>6</v>
      </c>
    </row>
    <row r="14" spans="1:16">
      <c r="A14" s="49"/>
      <c r="B14" s="49"/>
      <c r="C14" s="49"/>
      <c r="D14" s="49"/>
      <c r="E14" s="49"/>
      <c r="F14" s="103" t="str">
        <f>VLOOKUP('SBDR07-16-24W-DATA'!$AE$7,'SBDR07-16-24W-DATA'!V7:$W$9,2,0)</f>
        <v>SBX - COB 8-18W (12Nos)</v>
      </c>
      <c r="G14" s="110">
        <v>0.08</v>
      </c>
      <c r="H14" s="49" t="s">
        <v>189</v>
      </c>
      <c r="I14" s="49" t="s">
        <v>9</v>
      </c>
      <c r="J14" s="49"/>
      <c r="K14" s="135">
        <v>27</v>
      </c>
      <c r="L14" s="135">
        <f t="shared" si="1"/>
        <v>2.16</v>
      </c>
    </row>
    <row r="15" spans="1:16">
      <c r="A15" s="97" t="str">
        <f>CONCATENATE(D15)</f>
        <v>SBDR07F30 BOM LED PCB</v>
      </c>
      <c r="B15" s="98" t="s">
        <v>190</v>
      </c>
      <c r="C15" s="98" t="s">
        <v>191</v>
      </c>
      <c r="D15" s="97" t="str">
        <f>CONCATENATE(D2," ",'SBDR07-16-24W-DATA'!AC12)</f>
        <v>SBDR07F30 BOM LED PCB</v>
      </c>
      <c r="E15" s="98">
        <v>1</v>
      </c>
      <c r="F15" s="99"/>
      <c r="G15" s="117"/>
      <c r="H15" s="49"/>
      <c r="I15" s="49"/>
      <c r="J15" s="49"/>
      <c r="K15" s="135"/>
      <c r="L15" s="135"/>
    </row>
    <row r="16" spans="1:16" ht="14.25" customHeight="1">
      <c r="A16" s="98"/>
      <c r="B16" s="98"/>
      <c r="C16" s="98"/>
      <c r="D16" s="98"/>
      <c r="E16" s="98"/>
      <c r="F16" s="50" t="str">
        <f>VLOOKUP('SBDR07-16-24W-DATA'!AA14,'SBDR07-16-24W-DATA'!S2:T4,2,0)</f>
        <v>PCB-2835-5B7C (55X0.8mm) SBDR07W</v>
      </c>
      <c r="G16" s="120">
        <v>1</v>
      </c>
      <c r="H16" s="100" t="s">
        <v>192</v>
      </c>
      <c r="I16" s="98" t="s">
        <v>9</v>
      </c>
      <c r="J16" s="49"/>
      <c r="K16" s="135">
        <f t="shared" si="0"/>
        <v>7.6994999999999996</v>
      </c>
      <c r="L16" s="135">
        <f t="shared" si="1"/>
        <v>7.6994999999999996</v>
      </c>
      <c r="M16" s="136">
        <v>5.8999999999999997E-2</v>
      </c>
      <c r="N16" s="114">
        <v>0.5</v>
      </c>
      <c r="O16" s="114"/>
      <c r="P16" s="113">
        <f t="shared" si="2"/>
        <v>8.8499999999999995E-2</v>
      </c>
    </row>
    <row r="17" spans="1:12">
      <c r="A17" s="49"/>
      <c r="B17" s="49"/>
      <c r="C17" s="49"/>
      <c r="D17" s="49"/>
      <c r="E17" s="49"/>
      <c r="F17" s="50" t="str">
        <f>VLOOKUP('SBDR07-16-24W-DATA'!AA15,'SBDR07-16-24W-DATA'!M2:N18,2,0)</f>
        <v>LED 2835-60mA-3000K (WW)</v>
      </c>
      <c r="G17" s="118">
        <f>VLOOKUP('SBDR07-16-24W-DATA'!AA15,'SBDR07-16-24W-DATA'!O2:P18,2,0)</f>
        <v>35</v>
      </c>
      <c r="H17" s="100" t="s">
        <v>192</v>
      </c>
      <c r="I17" s="98" t="s">
        <v>9</v>
      </c>
      <c r="J17" s="49"/>
      <c r="K17" s="135">
        <v>0.09</v>
      </c>
      <c r="L17" s="135">
        <f t="shared" si="1"/>
        <v>3.15</v>
      </c>
    </row>
    <row r="18" spans="1:12" ht="19.5" customHeight="1" thickBot="1">
      <c r="L18" s="137">
        <f>SUM(L2:L17)</f>
        <v>88.375079999999997</v>
      </c>
    </row>
    <row r="19" spans="1:12" ht="15.75" thickTop="1"/>
    <row r="20" spans="1:12" ht="25.5" customHeight="1">
      <c r="J20" s="145" t="s">
        <v>343</v>
      </c>
      <c r="K20" s="146"/>
      <c r="L20" s="167">
        <f>L18+42</f>
        <v>130.37508</v>
      </c>
    </row>
    <row r="21" spans="1:12" ht="17.25" customHeight="1"/>
  </sheetData>
  <mergeCells count="7">
    <mergeCell ref="O2:O3"/>
    <mergeCell ref="P2:P3"/>
    <mergeCell ref="J20:K20"/>
    <mergeCell ref="K2:K3"/>
    <mergeCell ref="L2:L3"/>
    <mergeCell ref="M2:M3"/>
    <mergeCell ref="N2:N3"/>
  </mergeCells>
  <pageMargins left="0.69930555555555995" right="0.69930555555555995" top="0.75" bottom="0.75" header="0.3" footer="0.3"/>
  <pageSetup orientation="portrait" verticalDpi="0" r:id="rId1"/>
  <ignoredErrors>
    <ignoredError sqref="K6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'SBDR07-16-24W-SKU'!$C$2:$C$21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H32"/>
  <sheetViews>
    <sheetView topLeftCell="G1" workbookViewId="0">
      <selection activeCell="J2" sqref="J2"/>
    </sheetView>
  </sheetViews>
  <sheetFormatPr defaultRowHeight="15"/>
  <cols>
    <col min="1" max="1" width="9.140625" style="53"/>
    <col min="2" max="2" width="59" style="53" customWidth="1"/>
    <col min="3" max="3" width="9.140625" style="53"/>
    <col min="4" max="4" width="9.140625" style="64"/>
    <col min="5" max="5" width="9.140625" style="53"/>
    <col min="6" max="6" width="55.7109375" style="53" bestFit="1" customWidth="1"/>
    <col min="7" max="7" width="9.140625" style="53"/>
    <col min="8" max="8" width="9.140625" style="64"/>
    <col min="9" max="9" width="9.140625" style="53"/>
    <col min="10" max="10" width="27" style="53" customWidth="1"/>
    <col min="11" max="11" width="9.140625" style="53"/>
    <col min="12" max="12" width="9.140625" style="64"/>
    <col min="13" max="13" width="9.140625" style="53"/>
    <col min="14" max="14" width="34" style="53" customWidth="1"/>
    <col min="15" max="15" width="9.7109375" style="53" customWidth="1"/>
    <col min="16" max="16" width="9.140625" style="128"/>
    <col min="17" max="17" width="11.28515625" style="128" customWidth="1"/>
    <col min="18" max="18" width="9.140625" style="64"/>
    <col min="19" max="19" width="9.140625" style="53"/>
    <col min="20" max="20" width="56.85546875" style="53" bestFit="1" customWidth="1"/>
    <col min="21" max="21" width="12.42578125" style="67" bestFit="1" customWidth="1"/>
    <col min="22" max="22" width="9.28515625" style="71" customWidth="1"/>
    <col min="23" max="23" width="31.85546875" style="71" customWidth="1"/>
    <col min="24" max="24" width="12.42578125" style="71" customWidth="1"/>
    <col min="25" max="25" width="9.140625" style="53"/>
    <col min="26" max="26" width="20" style="53" customWidth="1"/>
    <col min="27" max="27" width="15.7109375" style="53" customWidth="1"/>
    <col min="28" max="28" width="15.140625" style="53" customWidth="1"/>
    <col min="29" max="29" width="19.85546875" style="53" customWidth="1"/>
    <col min="30" max="30" width="22.7109375" style="53" customWidth="1"/>
    <col min="31" max="31" width="11.7109375" style="53" customWidth="1"/>
    <col min="32" max="32" width="29.85546875" style="53" customWidth="1"/>
    <col min="33" max="33" width="9.140625" style="53" customWidth="1"/>
    <col min="34" max="16384" width="9.140625" style="53"/>
  </cols>
  <sheetData>
    <row r="1" spans="1:33" s="61" customFormat="1" ht="15.75" thickBot="1">
      <c r="A1" s="54" t="s">
        <v>193</v>
      </c>
      <c r="B1" s="55" t="s">
        <v>200</v>
      </c>
      <c r="C1" s="56" t="s">
        <v>194</v>
      </c>
      <c r="D1" s="57"/>
      <c r="E1" s="58" t="s">
        <v>193</v>
      </c>
      <c r="F1" s="55" t="s">
        <v>201</v>
      </c>
      <c r="G1" s="56" t="s">
        <v>194</v>
      </c>
      <c r="H1" s="57"/>
      <c r="I1" s="58" t="s">
        <v>193</v>
      </c>
      <c r="J1" s="55" t="s">
        <v>195</v>
      </c>
      <c r="K1" s="56" t="s">
        <v>194</v>
      </c>
      <c r="L1" s="57"/>
      <c r="M1" s="58" t="s">
        <v>196</v>
      </c>
      <c r="N1" s="55" t="s">
        <v>198</v>
      </c>
      <c r="O1" s="58" t="s">
        <v>196</v>
      </c>
      <c r="P1" s="58" t="s">
        <v>203</v>
      </c>
      <c r="Q1" s="56" t="s">
        <v>194</v>
      </c>
      <c r="R1" s="57"/>
      <c r="S1" s="59" t="s">
        <v>193</v>
      </c>
      <c r="T1" s="80" t="s">
        <v>202</v>
      </c>
      <c r="U1" s="60" t="s">
        <v>194</v>
      </c>
      <c r="V1" s="129" t="s">
        <v>193</v>
      </c>
      <c r="W1" s="129" t="s">
        <v>332</v>
      </c>
      <c r="X1" s="129" t="s">
        <v>194</v>
      </c>
      <c r="Y1" s="72"/>
      <c r="Z1" s="72"/>
      <c r="AA1" s="72"/>
      <c r="AB1" s="72"/>
      <c r="AC1" s="72"/>
      <c r="AD1" s="72"/>
      <c r="AE1" s="75"/>
      <c r="AF1" s="72"/>
      <c r="AG1" s="72"/>
    </row>
    <row r="2" spans="1:33">
      <c r="A2" s="62" t="s">
        <v>207</v>
      </c>
      <c r="B2" s="62" t="s">
        <v>295</v>
      </c>
      <c r="C2" s="63">
        <f>AD19</f>
        <v>59.469000000000001</v>
      </c>
      <c r="E2" s="65" t="s">
        <v>207</v>
      </c>
      <c r="F2" s="65" t="s">
        <v>296</v>
      </c>
      <c r="G2" s="63">
        <f>AC19</f>
        <v>59.469000000000001</v>
      </c>
      <c r="I2" s="83" t="s">
        <v>223</v>
      </c>
      <c r="J2" s="65" t="s">
        <v>331</v>
      </c>
      <c r="K2" s="63">
        <v>42</v>
      </c>
      <c r="M2" s="89" t="s">
        <v>224</v>
      </c>
      <c r="N2" s="78" t="s">
        <v>328</v>
      </c>
      <c r="O2" s="89" t="s">
        <v>224</v>
      </c>
      <c r="P2" s="116">
        <v>35</v>
      </c>
      <c r="Q2" s="126">
        <v>0.1</v>
      </c>
      <c r="S2" s="65" t="s">
        <v>207</v>
      </c>
      <c r="T2" s="123" t="s">
        <v>301</v>
      </c>
      <c r="U2" s="130">
        <f>AC24</f>
        <v>7.6109999999999998</v>
      </c>
      <c r="V2" s="124" t="s">
        <v>223</v>
      </c>
      <c r="W2" s="124" t="s">
        <v>336</v>
      </c>
      <c r="X2" s="62"/>
      <c r="Y2" s="82"/>
      <c r="Z2" s="76" t="s">
        <v>200</v>
      </c>
      <c r="AA2" s="76" t="s">
        <v>222</v>
      </c>
      <c r="AB2" s="76" t="s">
        <v>198</v>
      </c>
      <c r="AC2" s="76" t="s">
        <v>199</v>
      </c>
      <c r="AD2" s="131" t="s">
        <v>333</v>
      </c>
      <c r="AE2" s="131" t="s">
        <v>334</v>
      </c>
      <c r="AF2" s="104" t="str">
        <f>MID('Stock Item'!D2,1,9)</f>
        <v>SBDR07F30</v>
      </c>
      <c r="AG2" s="74" t="s">
        <v>307</v>
      </c>
    </row>
    <row r="3" spans="1:33">
      <c r="A3" s="62" t="s">
        <v>208</v>
      </c>
      <c r="B3" s="62" t="s">
        <v>210</v>
      </c>
      <c r="C3" s="63">
        <f>AD20</f>
        <v>96.49199999999999</v>
      </c>
      <c r="E3" s="65" t="s">
        <v>208</v>
      </c>
      <c r="F3" s="125" t="s">
        <v>211</v>
      </c>
      <c r="G3" s="63">
        <f>AC20</f>
        <v>96.49199999999999</v>
      </c>
      <c r="I3" s="83" t="s">
        <v>286</v>
      </c>
      <c r="J3" s="65" t="s">
        <v>204</v>
      </c>
      <c r="K3" s="63">
        <v>275</v>
      </c>
      <c r="M3" s="89" t="s">
        <v>225</v>
      </c>
      <c r="N3" s="78" t="s">
        <v>327</v>
      </c>
      <c r="O3" s="89" t="s">
        <v>225</v>
      </c>
      <c r="P3" s="116">
        <v>35</v>
      </c>
      <c r="Q3" s="126">
        <v>0.1</v>
      </c>
      <c r="S3" s="65" t="s">
        <v>208</v>
      </c>
      <c r="T3" s="81" t="s">
        <v>302</v>
      </c>
      <c r="U3" s="130">
        <f>AC25</f>
        <v>19.478999999999999</v>
      </c>
      <c r="V3" s="124" t="s">
        <v>212</v>
      </c>
      <c r="W3" s="124" t="s">
        <v>338</v>
      </c>
      <c r="X3" s="62"/>
      <c r="Y3" s="71"/>
      <c r="Z3" s="71" t="str">
        <f>LEFT('Stock Item'!D2,4)</f>
        <v>SBDR</v>
      </c>
      <c r="AA3" s="71" t="str">
        <f>LEFT('Stock Item'!D2,6)</f>
        <v>SBDR07</v>
      </c>
      <c r="AB3" s="71" t="str">
        <f>LEFT('Stock Item'!D2,10)</f>
        <v>SBDR07F30</v>
      </c>
      <c r="AC3" s="71" t="str">
        <f>LEFT('Stock Item'!D2,12)</f>
        <v>SBDR07F30</v>
      </c>
      <c r="AD3" s="71"/>
      <c r="AE3" s="66"/>
      <c r="AG3" s="53" t="s">
        <v>308</v>
      </c>
    </row>
    <row r="4" spans="1:33">
      <c r="A4" s="62" t="s">
        <v>209</v>
      </c>
      <c r="B4" s="124" t="s">
        <v>217</v>
      </c>
      <c r="C4" s="63">
        <f>AD21</f>
        <v>139.57800000000003</v>
      </c>
      <c r="E4" s="65" t="s">
        <v>209</v>
      </c>
      <c r="F4" s="125" t="s">
        <v>218</v>
      </c>
      <c r="G4" s="63">
        <f>AC21</f>
        <v>139.57800000000003</v>
      </c>
      <c r="I4" s="83" t="s">
        <v>287</v>
      </c>
      <c r="J4" s="65" t="s">
        <v>205</v>
      </c>
      <c r="K4" s="63">
        <v>621</v>
      </c>
      <c r="M4" s="89" t="s">
        <v>226</v>
      </c>
      <c r="N4" s="78" t="s">
        <v>326</v>
      </c>
      <c r="O4" s="89" t="s">
        <v>226</v>
      </c>
      <c r="P4" s="116">
        <v>35</v>
      </c>
      <c r="Q4" s="126">
        <v>0.1</v>
      </c>
      <c r="S4" s="77" t="s">
        <v>209</v>
      </c>
      <c r="T4" s="123" t="s">
        <v>303</v>
      </c>
      <c r="U4" s="130">
        <f>AC26</f>
        <v>45.149999999999991</v>
      </c>
      <c r="V4" s="124" t="s">
        <v>216</v>
      </c>
      <c r="W4" s="124" t="s">
        <v>337</v>
      </c>
      <c r="X4" s="62"/>
      <c r="Y4" s="71"/>
      <c r="Z4" s="74"/>
      <c r="AA4" s="74"/>
      <c r="AB4" s="74"/>
      <c r="AC4" s="74"/>
      <c r="AD4" s="74"/>
      <c r="AE4" s="52"/>
      <c r="AG4" s="53" t="s">
        <v>309</v>
      </c>
    </row>
    <row r="5" spans="1:33">
      <c r="C5" s="68"/>
      <c r="E5" s="71"/>
      <c r="F5" s="71"/>
      <c r="G5" s="71"/>
      <c r="I5" s="83" t="s">
        <v>288</v>
      </c>
      <c r="J5" s="65" t="s">
        <v>206</v>
      </c>
      <c r="K5" s="63">
        <v>317</v>
      </c>
      <c r="M5" s="89" t="s">
        <v>227</v>
      </c>
      <c r="N5" s="78" t="s">
        <v>329</v>
      </c>
      <c r="O5" s="89" t="s">
        <v>227</v>
      </c>
      <c r="P5" s="116">
        <v>35</v>
      </c>
      <c r="Q5" s="126">
        <v>0.1</v>
      </c>
      <c r="U5" s="115"/>
      <c r="V5" s="62"/>
      <c r="W5" s="62"/>
      <c r="X5" s="62"/>
      <c r="Y5" s="71"/>
      <c r="Z5" s="73" t="str">
        <f>MID(Z3,4,1)</f>
        <v>R</v>
      </c>
      <c r="AA5" s="73" t="str">
        <f>MID(AA3,5,2)</f>
        <v>07</v>
      </c>
      <c r="AB5" s="73" t="str">
        <f>MID(AB3,8,2)</f>
        <v>30</v>
      </c>
      <c r="AC5" s="73" t="str">
        <f>MID(AC3,10,3)</f>
        <v/>
      </c>
      <c r="AD5" s="73" t="s">
        <v>197</v>
      </c>
      <c r="AE5" s="52"/>
      <c r="AG5" s="53" t="s">
        <v>310</v>
      </c>
    </row>
    <row r="6" spans="1:33">
      <c r="I6" s="71"/>
      <c r="J6" s="71"/>
      <c r="K6" s="71"/>
      <c r="M6" s="89" t="s">
        <v>228</v>
      </c>
      <c r="N6" s="78" t="s">
        <v>330</v>
      </c>
      <c r="O6" s="89" t="s">
        <v>228</v>
      </c>
      <c r="P6" s="116">
        <v>35</v>
      </c>
      <c r="Q6" s="126">
        <v>0.1</v>
      </c>
      <c r="Y6" s="71"/>
      <c r="Z6" s="74"/>
      <c r="AA6" s="74"/>
      <c r="AB6" s="74"/>
      <c r="AC6" s="74"/>
      <c r="AD6" s="74"/>
      <c r="AE6" s="52"/>
      <c r="AG6" s="53" t="s">
        <v>311</v>
      </c>
    </row>
    <row r="7" spans="1:33">
      <c r="I7" s="65" t="s">
        <v>212</v>
      </c>
      <c r="J7" s="124" t="s">
        <v>342</v>
      </c>
      <c r="K7" s="63">
        <v>98</v>
      </c>
      <c r="M7" s="90"/>
      <c r="N7" s="71"/>
      <c r="O7" s="90"/>
      <c r="P7" s="127"/>
      <c r="Q7" s="127"/>
      <c r="V7" s="124" t="s">
        <v>223</v>
      </c>
      <c r="W7" s="124" t="s">
        <v>339</v>
      </c>
      <c r="X7" s="62"/>
      <c r="Y7" s="71"/>
      <c r="Z7" s="74"/>
      <c r="AA7" s="74"/>
      <c r="AB7" s="73" t="str">
        <f>MID(AB3,7,1)</f>
        <v>F</v>
      </c>
      <c r="AC7" s="74"/>
      <c r="AD7" s="74" t="str">
        <f>CONCATENATE($AA$5,AD5)</f>
        <v>07-</v>
      </c>
      <c r="AE7" s="52" t="str">
        <f>CONCATENATE(AD7)</f>
        <v>07-</v>
      </c>
      <c r="AG7" s="53" t="s">
        <v>312</v>
      </c>
    </row>
    <row r="8" spans="1:33">
      <c r="I8" s="65" t="s">
        <v>289</v>
      </c>
      <c r="J8" s="62" t="s">
        <v>213</v>
      </c>
      <c r="K8" s="63">
        <v>275</v>
      </c>
      <c r="M8" s="89" t="s">
        <v>229</v>
      </c>
      <c r="N8" s="78" t="s">
        <v>328</v>
      </c>
      <c r="O8" s="89" t="s">
        <v>229</v>
      </c>
      <c r="P8" s="116">
        <v>80</v>
      </c>
      <c r="Q8" s="126">
        <v>0.1</v>
      </c>
      <c r="V8" s="124" t="s">
        <v>212</v>
      </c>
      <c r="W8" s="124" t="s">
        <v>340</v>
      </c>
      <c r="X8" s="62"/>
      <c r="Y8" s="71"/>
      <c r="Z8" s="74"/>
      <c r="AA8" s="74"/>
      <c r="AB8" s="74"/>
      <c r="AC8" s="74"/>
      <c r="AD8" s="74"/>
      <c r="AE8" s="52"/>
    </row>
    <row r="9" spans="1:33">
      <c r="I9" s="65" t="s">
        <v>290</v>
      </c>
      <c r="J9" s="62" t="s">
        <v>214</v>
      </c>
      <c r="K9" s="63">
        <v>621</v>
      </c>
      <c r="M9" s="89" t="s">
        <v>230</v>
      </c>
      <c r="N9" s="78" t="s">
        <v>327</v>
      </c>
      <c r="O9" s="89" t="s">
        <v>230</v>
      </c>
      <c r="P9" s="116">
        <v>80</v>
      </c>
      <c r="Q9" s="126">
        <v>0.1</v>
      </c>
      <c r="V9" s="124" t="s">
        <v>216</v>
      </c>
      <c r="W9" s="124" t="s">
        <v>341</v>
      </c>
      <c r="X9" s="62"/>
      <c r="Y9" s="71"/>
      <c r="Z9" s="74"/>
      <c r="AA9" s="74"/>
      <c r="AB9" s="74"/>
      <c r="AC9" s="74"/>
      <c r="AD9" s="74"/>
      <c r="AE9" s="52"/>
    </row>
    <row r="10" spans="1:33" ht="15.75" thickBot="1">
      <c r="I10" s="65" t="s">
        <v>291</v>
      </c>
      <c r="J10" s="62" t="s">
        <v>215</v>
      </c>
      <c r="K10" s="63">
        <v>270</v>
      </c>
      <c r="M10" s="89" t="s">
        <v>231</v>
      </c>
      <c r="N10" s="78" t="s">
        <v>326</v>
      </c>
      <c r="O10" s="89" t="s">
        <v>231</v>
      </c>
      <c r="P10" s="116">
        <v>80</v>
      </c>
      <c r="Q10" s="126">
        <v>0.1</v>
      </c>
      <c r="V10" s="62"/>
      <c r="W10" s="62"/>
      <c r="X10" s="62"/>
      <c r="Y10" s="69"/>
      <c r="Z10" s="69"/>
      <c r="AA10" s="69"/>
      <c r="AB10" s="69"/>
      <c r="AC10" s="69"/>
      <c r="AD10" s="69"/>
      <c r="AE10" s="70"/>
    </row>
    <row r="11" spans="1:33" ht="15.75" thickBot="1">
      <c r="M11" s="89" t="s">
        <v>232</v>
      </c>
      <c r="N11" s="78" t="s">
        <v>329</v>
      </c>
      <c r="O11" s="89" t="s">
        <v>232</v>
      </c>
      <c r="P11" s="116">
        <v>80</v>
      </c>
      <c r="Q11" s="126">
        <v>0.1</v>
      </c>
      <c r="Y11" s="71"/>
      <c r="Z11" s="71"/>
      <c r="AA11" s="71"/>
      <c r="AB11" s="71"/>
      <c r="AC11" s="71"/>
      <c r="AD11" s="71"/>
      <c r="AE11" s="71"/>
    </row>
    <row r="12" spans="1:33">
      <c r="I12" s="65" t="s">
        <v>216</v>
      </c>
      <c r="J12" s="62" t="s">
        <v>325</v>
      </c>
      <c r="K12" s="63">
        <v>98</v>
      </c>
      <c r="M12" s="89" t="s">
        <v>233</v>
      </c>
      <c r="N12" s="78" t="s">
        <v>330</v>
      </c>
      <c r="O12" s="89" t="s">
        <v>233</v>
      </c>
      <c r="P12" s="116">
        <v>80</v>
      </c>
      <c r="Q12" s="126">
        <v>0.1</v>
      </c>
      <c r="Z12" s="84" t="s">
        <v>200</v>
      </c>
      <c r="AA12" s="86" t="str">
        <f>CONCATENATE(Z5,AA5)</f>
        <v>R07</v>
      </c>
      <c r="AC12" s="101" t="s">
        <v>304</v>
      </c>
    </row>
    <row r="13" spans="1:33">
      <c r="I13" s="65" t="s">
        <v>292</v>
      </c>
      <c r="J13" s="62" t="s">
        <v>219</v>
      </c>
      <c r="K13" s="63"/>
      <c r="M13" s="90"/>
      <c r="N13" s="71"/>
      <c r="O13" s="90"/>
      <c r="P13" s="127"/>
      <c r="Q13" s="127"/>
      <c r="Z13" s="77" t="s">
        <v>201</v>
      </c>
      <c r="AA13" s="87" t="str">
        <f>CONCATENATE(Z5,AA5)</f>
        <v>R07</v>
      </c>
    </row>
    <row r="14" spans="1:33">
      <c r="I14" s="65" t="s">
        <v>293</v>
      </c>
      <c r="J14" s="62" t="s">
        <v>220</v>
      </c>
      <c r="K14" s="63">
        <v>734</v>
      </c>
      <c r="M14" s="89" t="s">
        <v>234</v>
      </c>
      <c r="N14" s="78" t="s">
        <v>328</v>
      </c>
      <c r="O14" s="89" t="s">
        <v>234</v>
      </c>
      <c r="P14" s="116">
        <v>120</v>
      </c>
      <c r="Q14" s="126">
        <v>0.1</v>
      </c>
      <c r="Z14" s="77" t="s">
        <v>202</v>
      </c>
      <c r="AA14" s="87" t="str">
        <f>CONCATENATE(Z5,AA5)</f>
        <v>R07</v>
      </c>
    </row>
    <row r="15" spans="1:33">
      <c r="I15" s="65" t="s">
        <v>294</v>
      </c>
      <c r="J15" s="62" t="s">
        <v>221</v>
      </c>
      <c r="K15" s="63">
        <v>270</v>
      </c>
      <c r="M15" s="89" t="s">
        <v>235</v>
      </c>
      <c r="N15" s="78" t="s">
        <v>327</v>
      </c>
      <c r="O15" s="89" t="s">
        <v>235</v>
      </c>
      <c r="P15" s="116">
        <v>120</v>
      </c>
      <c r="Q15" s="126">
        <v>0.1</v>
      </c>
      <c r="Z15" s="77" t="s">
        <v>198</v>
      </c>
      <c r="AA15" s="87" t="str">
        <f>CONCATENATE(AA5,AB7,AB5)</f>
        <v>07F30</v>
      </c>
    </row>
    <row r="16" spans="1:33" ht="15.75" thickBot="1">
      <c r="M16" s="89" t="s">
        <v>236</v>
      </c>
      <c r="N16" s="78" t="s">
        <v>326</v>
      </c>
      <c r="O16" s="89" t="s">
        <v>236</v>
      </c>
      <c r="P16" s="116">
        <v>120</v>
      </c>
      <c r="Q16" s="126">
        <v>0.1</v>
      </c>
      <c r="Z16" s="85" t="s">
        <v>199</v>
      </c>
      <c r="AA16" s="88" t="str">
        <f>CONCATENATE(AA5,AD5,AC5)</f>
        <v>07-</v>
      </c>
    </row>
    <row r="17" spans="13:34">
      <c r="M17" s="89" t="s">
        <v>237</v>
      </c>
      <c r="N17" s="78" t="s">
        <v>329</v>
      </c>
      <c r="O17" s="89" t="s">
        <v>237</v>
      </c>
      <c r="P17" s="116">
        <v>120</v>
      </c>
      <c r="Q17" s="126">
        <v>0.1</v>
      </c>
    </row>
    <row r="18" spans="13:34">
      <c r="M18" s="89" t="s">
        <v>238</v>
      </c>
      <c r="N18" s="78" t="s">
        <v>330</v>
      </c>
      <c r="O18" s="89" t="s">
        <v>238</v>
      </c>
      <c r="P18" s="116">
        <v>120</v>
      </c>
      <c r="Q18" s="126">
        <v>0.1</v>
      </c>
      <c r="Y18" s="157" t="s">
        <v>314</v>
      </c>
      <c r="Z18" s="158"/>
      <c r="AA18" s="159"/>
      <c r="AB18" s="105" t="s">
        <v>315</v>
      </c>
      <c r="AC18" s="106" t="s">
        <v>316</v>
      </c>
      <c r="AD18" s="106" t="s">
        <v>317</v>
      </c>
      <c r="AE18" s="107" t="s">
        <v>318</v>
      </c>
      <c r="AF18" s="108" t="s">
        <v>319</v>
      </c>
      <c r="AG18" s="109" t="s">
        <v>320</v>
      </c>
      <c r="AH18" s="107" t="s">
        <v>321</v>
      </c>
    </row>
    <row r="19" spans="13:34">
      <c r="M19" s="79"/>
      <c r="N19" s="71"/>
      <c r="O19" s="71"/>
      <c r="P19" s="127"/>
      <c r="Q19" s="127"/>
      <c r="U19" s="115"/>
      <c r="Y19" s="160" t="s">
        <v>322</v>
      </c>
      <c r="Z19" s="161"/>
      <c r="AA19" s="161"/>
      <c r="AB19" s="110">
        <v>1</v>
      </c>
      <c r="AC19" s="111">
        <f>86*AH19</f>
        <v>59.469000000000001</v>
      </c>
      <c r="AD19" s="112">
        <f>AB19*AC19</f>
        <v>59.469000000000001</v>
      </c>
      <c r="AE19" s="113">
        <v>0.46100000000000002</v>
      </c>
      <c r="AF19" s="114">
        <v>0.5</v>
      </c>
      <c r="AG19" s="114"/>
      <c r="AH19" s="113">
        <f>AE19+(AE19*(AF19+AG19))</f>
        <v>0.6915</v>
      </c>
    </row>
    <row r="20" spans="13:34">
      <c r="M20" s="79"/>
      <c r="N20" s="71"/>
      <c r="O20" s="71"/>
      <c r="P20" s="127"/>
      <c r="Q20" s="127"/>
      <c r="U20" s="115"/>
      <c r="Y20" s="160" t="s">
        <v>323</v>
      </c>
      <c r="Z20" s="161"/>
      <c r="AA20" s="161"/>
      <c r="AB20" s="110">
        <v>1</v>
      </c>
      <c r="AC20" s="111">
        <f t="shared" ref="AC20:AC21" si="0">86*AH20</f>
        <v>96.49199999999999</v>
      </c>
      <c r="AD20" s="112">
        <f t="shared" ref="AD20:AD23" si="1">AB20*AC20</f>
        <v>96.49199999999999</v>
      </c>
      <c r="AE20" s="113">
        <v>0.748</v>
      </c>
      <c r="AF20" s="114">
        <v>0.5</v>
      </c>
      <c r="AG20" s="114"/>
      <c r="AH20" s="113">
        <f t="shared" ref="AH20:AH21" si="2">AE20+(AE20*(AF20+AG20))</f>
        <v>1.1219999999999999</v>
      </c>
    </row>
    <row r="21" spans="13:34">
      <c r="M21" s="79"/>
      <c r="N21" s="71"/>
      <c r="O21" s="71"/>
      <c r="P21" s="127"/>
      <c r="Q21" s="127"/>
      <c r="U21" s="115"/>
      <c r="Y21" s="160" t="s">
        <v>324</v>
      </c>
      <c r="Z21" s="161"/>
      <c r="AA21" s="161"/>
      <c r="AB21" s="110">
        <v>1</v>
      </c>
      <c r="AC21" s="111">
        <f t="shared" si="0"/>
        <v>139.57800000000003</v>
      </c>
      <c r="AD21" s="112">
        <f t="shared" si="1"/>
        <v>139.57800000000003</v>
      </c>
      <c r="AE21" s="113">
        <v>1.0820000000000001</v>
      </c>
      <c r="AF21" s="114">
        <v>0.5</v>
      </c>
      <c r="AG21" s="114"/>
      <c r="AH21" s="113">
        <f t="shared" si="2"/>
        <v>1.6230000000000002</v>
      </c>
    </row>
    <row r="22" spans="13:34">
      <c r="M22" s="79"/>
      <c r="N22" s="71"/>
      <c r="O22" s="71"/>
      <c r="P22" s="127"/>
      <c r="Q22" s="127"/>
      <c r="U22" s="115"/>
      <c r="Y22" s="162" t="s">
        <v>305</v>
      </c>
      <c r="Z22" s="162"/>
      <c r="AA22" s="162"/>
      <c r="AB22" s="116">
        <v>1</v>
      </c>
      <c r="AC22" s="111">
        <f>86*AH22</f>
        <v>3.4830000000000001</v>
      </c>
      <c r="AD22" s="112">
        <f t="shared" si="1"/>
        <v>3.4830000000000001</v>
      </c>
      <c r="AE22" s="113">
        <v>2.7E-2</v>
      </c>
      <c r="AF22" s="114">
        <v>0.5</v>
      </c>
      <c r="AG22" s="114"/>
      <c r="AH22" s="113">
        <f>AE22+(AE22*(AF22+AG22))</f>
        <v>4.0500000000000001E-2</v>
      </c>
    </row>
    <row r="23" spans="13:34" ht="30.75" customHeight="1">
      <c r="Q23" s="127"/>
      <c r="U23" s="115"/>
      <c r="Y23" s="151" t="s">
        <v>297</v>
      </c>
      <c r="Z23" s="152"/>
      <c r="AA23" s="153"/>
      <c r="AB23" s="119">
        <v>2</v>
      </c>
      <c r="AC23" s="111">
        <f>86*AH23</f>
        <v>0.90300000000000002</v>
      </c>
      <c r="AD23" s="112">
        <f t="shared" si="1"/>
        <v>1.806</v>
      </c>
      <c r="AE23" s="113">
        <v>7.0000000000000001E-3</v>
      </c>
      <c r="AF23" s="114">
        <v>0.5</v>
      </c>
      <c r="AG23" s="114"/>
      <c r="AH23" s="113">
        <f>AE23+(AE23*(AF23+AG23))</f>
        <v>1.0500000000000001E-2</v>
      </c>
    </row>
    <row r="24" spans="13:34">
      <c r="U24" s="115"/>
      <c r="Y24" s="154" t="s">
        <v>301</v>
      </c>
      <c r="Z24" s="155"/>
      <c r="AA24" s="156"/>
      <c r="AB24" s="116">
        <v>1</v>
      </c>
      <c r="AC24" s="111">
        <f t="shared" ref="AC24:AC25" si="3">86*AH24</f>
        <v>7.6109999999999998</v>
      </c>
      <c r="AD24" s="112">
        <f>AB24*AC24</f>
        <v>7.6109999999999998</v>
      </c>
      <c r="AE24" s="113">
        <v>5.8999999999999997E-2</v>
      </c>
      <c r="AF24" s="114">
        <v>0.5</v>
      </c>
      <c r="AG24" s="114"/>
      <c r="AH24" s="113">
        <f t="shared" ref="AH24:AH25" si="4">AE24+(AE24*(AF24+AG24))</f>
        <v>8.8499999999999995E-2</v>
      </c>
    </row>
    <row r="25" spans="13:34">
      <c r="U25" s="115"/>
      <c r="Y25" s="154" t="s">
        <v>302</v>
      </c>
      <c r="Z25" s="155"/>
      <c r="AA25" s="156"/>
      <c r="AB25" s="116">
        <v>1</v>
      </c>
      <c r="AC25" s="111">
        <f t="shared" si="3"/>
        <v>19.478999999999999</v>
      </c>
      <c r="AD25" s="112">
        <f t="shared" ref="AD25" si="5">AB25*AC25</f>
        <v>19.478999999999999</v>
      </c>
      <c r="AE25" s="113">
        <v>0.151</v>
      </c>
      <c r="AF25" s="114">
        <v>0.5</v>
      </c>
      <c r="AG25" s="114"/>
      <c r="AH25" s="113">
        <f t="shared" si="4"/>
        <v>0.22649999999999998</v>
      </c>
    </row>
    <row r="26" spans="13:34">
      <c r="U26" s="115"/>
      <c r="Y26" s="154" t="s">
        <v>303</v>
      </c>
      <c r="Z26" s="155"/>
      <c r="AA26" s="156"/>
      <c r="AB26" s="116">
        <v>1</v>
      </c>
      <c r="AC26" s="111">
        <f t="shared" ref="AC26" si="6">86*AH26</f>
        <v>45.149999999999991</v>
      </c>
      <c r="AD26" s="112">
        <f t="shared" ref="AD26" si="7">AB26*AC26</f>
        <v>45.149999999999991</v>
      </c>
      <c r="AE26" s="113">
        <v>0.35</v>
      </c>
      <c r="AF26" s="114">
        <v>0.5</v>
      </c>
      <c r="AG26" s="114"/>
      <c r="AH26" s="113">
        <f t="shared" ref="AH26" si="8">AE26+(AE26*(AF26+AG26))</f>
        <v>0.52499999999999991</v>
      </c>
    </row>
    <row r="32" spans="13:34">
      <c r="AD32" s="112"/>
    </row>
  </sheetData>
  <mergeCells count="9">
    <mergeCell ref="Y23:AA23"/>
    <mergeCell ref="Y24:AA24"/>
    <mergeCell ref="Y25:AA25"/>
    <mergeCell ref="Y26:AA26"/>
    <mergeCell ref="Y18:AA18"/>
    <mergeCell ref="Y19:AA19"/>
    <mergeCell ref="Y22:AA22"/>
    <mergeCell ref="Y20:AA20"/>
    <mergeCell ref="Y21:AA21"/>
  </mergeCells>
  <conditionalFormatting sqref="M2:N6">
    <cfRule type="duplicateValues" dxfId="7" priority="17"/>
  </conditionalFormatting>
  <conditionalFormatting sqref="M8:M12">
    <cfRule type="duplicateValues" dxfId="6" priority="16"/>
  </conditionalFormatting>
  <conditionalFormatting sqref="M14:M18">
    <cfRule type="duplicateValues" dxfId="5" priority="15"/>
  </conditionalFormatting>
  <conditionalFormatting sqref="O2:O6">
    <cfRule type="duplicateValues" dxfId="4" priority="5"/>
  </conditionalFormatting>
  <conditionalFormatting sqref="O8:O12">
    <cfRule type="duplicateValues" dxfId="3" priority="4"/>
  </conditionalFormatting>
  <conditionalFormatting sqref="O14:O18">
    <cfRule type="duplicateValues" dxfId="2" priority="3"/>
  </conditionalFormatting>
  <conditionalFormatting sqref="N8:N12">
    <cfRule type="duplicateValues" dxfId="1" priority="2"/>
  </conditionalFormatting>
  <conditionalFormatting sqref="N14:N1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C12" sqref="C12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64" t="s">
        <v>20</v>
      </c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6"/>
    </row>
    <row r="6" spans="1:17" ht="12.6" customHeight="1">
      <c r="A6" s="16" t="s">
        <v>21</v>
      </c>
      <c r="B6" s="12" t="s">
        <v>15</v>
      </c>
      <c r="C6" s="13"/>
      <c r="E6" s="164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6"/>
    </row>
    <row r="7" spans="1:17" ht="12.6" customHeight="1">
      <c r="A7" s="16" t="s">
        <v>22</v>
      </c>
      <c r="B7" s="12" t="s">
        <v>15</v>
      </c>
      <c r="C7" s="13"/>
      <c r="E7" s="164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6"/>
    </row>
    <row r="8" spans="1:17" ht="12.6" customHeight="1">
      <c r="A8" s="16" t="s">
        <v>23</v>
      </c>
      <c r="B8" s="12" t="s">
        <v>15</v>
      </c>
      <c r="C8" s="13"/>
      <c r="E8" s="164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6"/>
    </row>
    <row r="9" spans="1:17" ht="12.95" customHeight="1">
      <c r="A9" s="16" t="s">
        <v>24</v>
      </c>
      <c r="B9" s="12" t="s">
        <v>15</v>
      </c>
      <c r="C9" s="13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6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</row>
    <row r="20" spans="1:17" ht="25.5">
      <c r="A20" s="16" t="s">
        <v>40</v>
      </c>
      <c r="B20" s="12" t="s">
        <v>15</v>
      </c>
      <c r="C20" s="1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</row>
    <row r="21" spans="1:17">
      <c r="A21" s="16" t="s">
        <v>41</v>
      </c>
      <c r="B21" s="12" t="s">
        <v>15</v>
      </c>
      <c r="C21" s="1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</row>
    <row r="22" spans="1:17">
      <c r="A22" s="6" t="s">
        <v>42</v>
      </c>
      <c r="B22" s="30"/>
      <c r="C22" s="31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W21"/>
  <sheetViews>
    <sheetView zoomScale="90" zoomScaleNormal="90" workbookViewId="0">
      <selection activeCell="K29" sqref="K29"/>
    </sheetView>
  </sheetViews>
  <sheetFormatPr defaultRowHeight="15"/>
  <cols>
    <col min="1" max="1" width="10" style="91" customWidth="1"/>
    <col min="2" max="2" width="13.85546875" style="91" bestFit="1" customWidth="1"/>
    <col min="3" max="3" width="14" style="93" bestFit="1" customWidth="1"/>
    <col min="4" max="4" width="10.28515625" style="91" bestFit="1" customWidth="1"/>
    <col min="5" max="5" width="11.5703125" style="91" bestFit="1" customWidth="1"/>
    <col min="6" max="6" width="12.28515625" style="91" customWidth="1"/>
    <col min="7" max="7" width="7.7109375" style="91" bestFit="1" customWidth="1"/>
    <col min="8" max="8" width="6.85546875" style="91" bestFit="1" customWidth="1"/>
    <col min="9" max="9" width="7.140625" style="91" bestFit="1" customWidth="1"/>
    <col min="10" max="10" width="6.85546875" style="91" bestFit="1" customWidth="1"/>
    <col min="11" max="11" width="22.5703125" style="91" customWidth="1"/>
    <col min="12" max="12" width="17.42578125" style="91" bestFit="1" customWidth="1"/>
    <col min="13" max="13" width="11.7109375" style="91" bestFit="1" customWidth="1"/>
    <col min="14" max="14" width="11.42578125" style="91" bestFit="1" customWidth="1"/>
    <col min="15" max="17" width="9.140625" style="91"/>
    <col min="18" max="22" width="9.140625" style="92"/>
    <col min="23" max="16384" width="9.140625" style="91"/>
  </cols>
  <sheetData>
    <row r="1" spans="1:23" s="94" customFormat="1">
      <c r="A1" s="94" t="s">
        <v>285</v>
      </c>
      <c r="B1" s="96" t="s">
        <v>284</v>
      </c>
      <c r="C1" s="94" t="s">
        <v>283</v>
      </c>
      <c r="D1" s="95" t="s">
        <v>282</v>
      </c>
      <c r="E1" s="94" t="s">
        <v>281</v>
      </c>
      <c r="F1" s="94" t="s">
        <v>280</v>
      </c>
      <c r="G1" s="94" t="s">
        <v>279</v>
      </c>
      <c r="H1" s="94" t="s">
        <v>278</v>
      </c>
      <c r="I1" s="94" t="s">
        <v>277</v>
      </c>
      <c r="J1" s="94" t="s">
        <v>276</v>
      </c>
      <c r="K1" s="94" t="s">
        <v>275</v>
      </c>
      <c r="L1" s="94" t="s">
        <v>274</v>
      </c>
      <c r="M1" s="94" t="s">
        <v>273</v>
      </c>
      <c r="N1" s="94" t="s">
        <v>272</v>
      </c>
      <c r="O1" s="94" t="s">
        <v>271</v>
      </c>
      <c r="Q1" s="96"/>
      <c r="W1" s="95"/>
    </row>
    <row r="2" spans="1:23">
      <c r="A2" s="91">
        <v>144561</v>
      </c>
      <c r="B2" s="91" t="s">
        <v>270</v>
      </c>
      <c r="C2" s="93" t="str">
        <f>CONCATENATE(R2,S2,T2,U2,V2)</f>
        <v>SBDR07F60</v>
      </c>
      <c r="D2" s="91">
        <v>0</v>
      </c>
      <c r="E2" s="91">
        <v>0</v>
      </c>
      <c r="F2" s="91">
        <v>476</v>
      </c>
      <c r="G2" s="91">
        <v>0</v>
      </c>
      <c r="H2" s="91">
        <v>0</v>
      </c>
      <c r="I2" s="91">
        <v>0</v>
      </c>
      <c r="J2" s="91">
        <v>0</v>
      </c>
      <c r="K2" s="91" t="s">
        <v>247</v>
      </c>
      <c r="L2" s="91" t="s">
        <v>242</v>
      </c>
      <c r="M2" s="91" t="s">
        <v>241</v>
      </c>
      <c r="N2" s="91" t="s">
        <v>246</v>
      </c>
      <c r="O2" s="91" t="s">
        <v>265</v>
      </c>
      <c r="R2" s="92" t="str">
        <f t="shared" ref="R2:R13" si="0">MID(B2,1,3)</f>
        <v>SBD</v>
      </c>
      <c r="S2" s="92" t="str">
        <f t="shared" ref="S2:S13" si="1">MID(B2,4,1)</f>
        <v>R</v>
      </c>
      <c r="T2" s="92" t="str">
        <f t="shared" ref="T2:T13" si="2">MID(B2,5,2)</f>
        <v>07</v>
      </c>
      <c r="U2" s="92" t="str">
        <f t="shared" ref="U2:U13" si="3">MID(B2,7,1)</f>
        <v>F</v>
      </c>
      <c r="V2" s="92" t="str">
        <f t="shared" ref="V2:V6" si="4">MID(B2,8,2)</f>
        <v>60</v>
      </c>
    </row>
    <row r="3" spans="1:23">
      <c r="A3" s="91">
        <v>144562</v>
      </c>
      <c r="B3" s="91" t="s">
        <v>269</v>
      </c>
      <c r="C3" s="93" t="str">
        <f t="shared" ref="C3:C21" si="5">CONCATENATE(R3,S3,T3,U3,V3)</f>
        <v>SBDR07F40</v>
      </c>
      <c r="D3" s="91">
        <v>0</v>
      </c>
      <c r="E3" s="91">
        <v>0</v>
      </c>
      <c r="F3" s="91">
        <v>476</v>
      </c>
      <c r="G3" s="91">
        <v>0</v>
      </c>
      <c r="H3" s="91">
        <v>0</v>
      </c>
      <c r="I3" s="91">
        <v>0</v>
      </c>
      <c r="J3" s="91">
        <v>0</v>
      </c>
      <c r="K3" s="91" t="s">
        <v>247</v>
      </c>
      <c r="L3" s="91" t="s">
        <v>242</v>
      </c>
      <c r="M3" s="91" t="s">
        <v>241</v>
      </c>
      <c r="N3" s="91" t="s">
        <v>245</v>
      </c>
      <c r="O3" s="91" t="s">
        <v>265</v>
      </c>
      <c r="R3" s="92" t="str">
        <f t="shared" si="0"/>
        <v>SBD</v>
      </c>
      <c r="S3" s="92" t="str">
        <f t="shared" si="1"/>
        <v>R</v>
      </c>
      <c r="T3" s="92" t="str">
        <f t="shared" si="2"/>
        <v>07</v>
      </c>
      <c r="U3" s="92" t="str">
        <f t="shared" si="3"/>
        <v>F</v>
      </c>
      <c r="V3" s="92" t="str">
        <f t="shared" si="4"/>
        <v>40</v>
      </c>
    </row>
    <row r="4" spans="1:23">
      <c r="A4" s="91">
        <v>144563</v>
      </c>
      <c r="B4" s="91" t="s">
        <v>268</v>
      </c>
      <c r="C4" s="93" t="str">
        <f t="shared" si="5"/>
        <v>SBDR07F30</v>
      </c>
      <c r="D4" s="91">
        <v>0</v>
      </c>
      <c r="E4" s="91">
        <v>0</v>
      </c>
      <c r="F4" s="91">
        <v>476</v>
      </c>
      <c r="G4" s="91">
        <v>0</v>
      </c>
      <c r="H4" s="91">
        <v>0</v>
      </c>
      <c r="I4" s="91">
        <v>0</v>
      </c>
      <c r="J4" s="91">
        <v>0</v>
      </c>
      <c r="K4" s="91" t="s">
        <v>247</v>
      </c>
      <c r="L4" s="91" t="s">
        <v>242</v>
      </c>
      <c r="M4" s="91" t="s">
        <v>241</v>
      </c>
      <c r="N4" s="91" t="s">
        <v>244</v>
      </c>
      <c r="O4" s="91" t="s">
        <v>265</v>
      </c>
      <c r="R4" s="92" t="str">
        <f t="shared" si="0"/>
        <v>SBD</v>
      </c>
      <c r="S4" s="92" t="str">
        <f t="shared" si="1"/>
        <v>R</v>
      </c>
      <c r="T4" s="92" t="str">
        <f t="shared" si="2"/>
        <v>07</v>
      </c>
      <c r="U4" s="92" t="str">
        <f t="shared" si="3"/>
        <v>F</v>
      </c>
      <c r="V4" s="92" t="str">
        <f t="shared" si="4"/>
        <v>30</v>
      </c>
    </row>
    <row r="5" spans="1:23">
      <c r="A5" s="91">
        <v>144564</v>
      </c>
      <c r="B5" s="91" t="s">
        <v>267</v>
      </c>
      <c r="C5" s="93" t="str">
        <f t="shared" si="5"/>
        <v>SBDR07F27</v>
      </c>
      <c r="D5" s="91">
        <v>0</v>
      </c>
      <c r="E5" s="91">
        <v>0</v>
      </c>
      <c r="F5" s="91">
        <v>476</v>
      </c>
      <c r="G5" s="91">
        <v>0</v>
      </c>
      <c r="H5" s="91">
        <v>0</v>
      </c>
      <c r="I5" s="91">
        <v>0</v>
      </c>
      <c r="J5" s="91">
        <v>0</v>
      </c>
      <c r="K5" s="91" t="s">
        <v>247</v>
      </c>
      <c r="L5" s="91" t="s">
        <v>242</v>
      </c>
      <c r="M5" s="91" t="s">
        <v>241</v>
      </c>
      <c r="N5" s="91" t="s">
        <v>243</v>
      </c>
      <c r="O5" s="91" t="s">
        <v>265</v>
      </c>
      <c r="R5" s="92" t="str">
        <f t="shared" si="0"/>
        <v>SBD</v>
      </c>
      <c r="S5" s="92" t="str">
        <f t="shared" si="1"/>
        <v>R</v>
      </c>
      <c r="T5" s="92" t="str">
        <f t="shared" si="2"/>
        <v>07</v>
      </c>
      <c r="U5" s="92" t="str">
        <f t="shared" si="3"/>
        <v>F</v>
      </c>
      <c r="V5" s="92" t="str">
        <f t="shared" si="4"/>
        <v>27</v>
      </c>
    </row>
    <row r="6" spans="1:23">
      <c r="A6" s="91">
        <v>144565</v>
      </c>
      <c r="B6" s="91" t="s">
        <v>266</v>
      </c>
      <c r="C6" s="93" t="str">
        <f t="shared" si="5"/>
        <v>SBDR07F50</v>
      </c>
      <c r="D6" s="91">
        <v>0</v>
      </c>
      <c r="E6" s="91">
        <v>0</v>
      </c>
      <c r="F6" s="91">
        <v>476</v>
      </c>
      <c r="G6" s="91">
        <v>0</v>
      </c>
      <c r="H6" s="91">
        <v>0</v>
      </c>
      <c r="I6" s="91">
        <v>0</v>
      </c>
      <c r="J6" s="91">
        <v>0</v>
      </c>
      <c r="K6" s="91" t="s">
        <v>247</v>
      </c>
      <c r="L6" s="91" t="s">
        <v>242</v>
      </c>
      <c r="M6" s="91" t="s">
        <v>241</v>
      </c>
      <c r="N6" s="91" t="s">
        <v>240</v>
      </c>
      <c r="O6" s="91" t="s">
        <v>265</v>
      </c>
      <c r="R6" s="92" t="str">
        <f t="shared" si="0"/>
        <v>SBD</v>
      </c>
      <c r="S6" s="92" t="str">
        <f t="shared" si="1"/>
        <v>R</v>
      </c>
      <c r="T6" s="92" t="str">
        <f t="shared" si="2"/>
        <v>07</v>
      </c>
      <c r="U6" s="92" t="str">
        <f t="shared" si="3"/>
        <v>F</v>
      </c>
      <c r="V6" s="92" t="str">
        <f t="shared" si="4"/>
        <v>50</v>
      </c>
    </row>
    <row r="7" spans="1:23">
      <c r="A7" s="91">
        <v>144591</v>
      </c>
      <c r="B7" s="91" t="s">
        <v>264</v>
      </c>
      <c r="C7" s="93" t="str">
        <f t="shared" si="5"/>
        <v>SBDR07F60T</v>
      </c>
      <c r="D7" s="91">
        <v>0</v>
      </c>
      <c r="E7" s="91">
        <v>0</v>
      </c>
      <c r="F7" s="91">
        <v>932</v>
      </c>
      <c r="G7" s="91">
        <v>0</v>
      </c>
      <c r="H7" s="91">
        <v>0</v>
      </c>
      <c r="I7" s="91">
        <v>0</v>
      </c>
      <c r="J7" s="91">
        <v>0</v>
      </c>
      <c r="K7" s="91" t="s">
        <v>247</v>
      </c>
      <c r="L7" s="91" t="s">
        <v>242</v>
      </c>
      <c r="M7" s="91" t="s">
        <v>241</v>
      </c>
      <c r="N7" s="91" t="s">
        <v>246</v>
      </c>
      <c r="O7" s="91" t="s">
        <v>259</v>
      </c>
      <c r="R7" s="92" t="str">
        <f t="shared" si="0"/>
        <v>SBD</v>
      </c>
      <c r="S7" s="92" t="str">
        <f t="shared" si="1"/>
        <v>R</v>
      </c>
      <c r="T7" s="92" t="str">
        <f t="shared" si="2"/>
        <v>07</v>
      </c>
      <c r="U7" s="92" t="str">
        <f t="shared" si="3"/>
        <v>F</v>
      </c>
      <c r="V7" s="92" t="str">
        <f t="shared" ref="V7:V21" si="6">MID(B7,8,6)</f>
        <v>60T</v>
      </c>
    </row>
    <row r="8" spans="1:23">
      <c r="A8" s="91">
        <v>144592</v>
      </c>
      <c r="B8" s="91" t="s">
        <v>263</v>
      </c>
      <c r="C8" s="93" t="str">
        <f t="shared" si="5"/>
        <v>SBDR07F40T</v>
      </c>
      <c r="D8" s="91">
        <v>0</v>
      </c>
      <c r="E8" s="91">
        <v>0</v>
      </c>
      <c r="F8" s="91">
        <v>932</v>
      </c>
      <c r="G8" s="91">
        <v>0</v>
      </c>
      <c r="H8" s="91">
        <v>0</v>
      </c>
      <c r="I8" s="91">
        <v>0</v>
      </c>
      <c r="J8" s="91">
        <v>0</v>
      </c>
      <c r="K8" s="91" t="s">
        <v>247</v>
      </c>
      <c r="L8" s="91" t="s">
        <v>242</v>
      </c>
      <c r="M8" s="91" t="s">
        <v>241</v>
      </c>
      <c r="N8" s="91" t="s">
        <v>245</v>
      </c>
      <c r="O8" s="91" t="s">
        <v>259</v>
      </c>
      <c r="R8" s="92" t="str">
        <f t="shared" si="0"/>
        <v>SBD</v>
      </c>
      <c r="S8" s="92" t="str">
        <f t="shared" si="1"/>
        <v>R</v>
      </c>
      <c r="T8" s="92" t="str">
        <f t="shared" si="2"/>
        <v>07</v>
      </c>
      <c r="U8" s="92" t="str">
        <f t="shared" si="3"/>
        <v>F</v>
      </c>
      <c r="V8" s="92" t="str">
        <f t="shared" si="6"/>
        <v>40T</v>
      </c>
    </row>
    <row r="9" spans="1:23">
      <c r="A9" s="91">
        <v>144593</v>
      </c>
      <c r="B9" s="91" t="s">
        <v>262</v>
      </c>
      <c r="C9" s="93" t="str">
        <f t="shared" si="5"/>
        <v>SBDR07F30T</v>
      </c>
      <c r="D9" s="91">
        <v>0</v>
      </c>
      <c r="E9" s="91">
        <v>0</v>
      </c>
      <c r="F9" s="91">
        <v>932</v>
      </c>
      <c r="G9" s="91">
        <v>0</v>
      </c>
      <c r="H9" s="91">
        <v>0</v>
      </c>
      <c r="I9" s="91">
        <v>0</v>
      </c>
      <c r="J9" s="91">
        <v>0</v>
      </c>
      <c r="K9" s="91" t="s">
        <v>247</v>
      </c>
      <c r="L9" s="91" t="s">
        <v>242</v>
      </c>
      <c r="M9" s="91" t="s">
        <v>241</v>
      </c>
      <c r="N9" s="91" t="s">
        <v>244</v>
      </c>
      <c r="O9" s="91" t="s">
        <v>259</v>
      </c>
      <c r="R9" s="92" t="str">
        <f t="shared" si="0"/>
        <v>SBD</v>
      </c>
      <c r="S9" s="92" t="str">
        <f t="shared" si="1"/>
        <v>R</v>
      </c>
      <c r="T9" s="92" t="str">
        <f t="shared" si="2"/>
        <v>07</v>
      </c>
      <c r="U9" s="92" t="str">
        <f t="shared" si="3"/>
        <v>F</v>
      </c>
      <c r="V9" s="92" t="str">
        <f t="shared" si="6"/>
        <v>30T</v>
      </c>
    </row>
    <row r="10" spans="1:23">
      <c r="A10" s="91">
        <v>144594</v>
      </c>
      <c r="B10" s="91" t="s">
        <v>261</v>
      </c>
      <c r="C10" s="93" t="str">
        <f t="shared" si="5"/>
        <v>SBDR07F27T</v>
      </c>
      <c r="D10" s="91">
        <v>0</v>
      </c>
      <c r="E10" s="91">
        <v>0</v>
      </c>
      <c r="F10" s="91">
        <v>932</v>
      </c>
      <c r="G10" s="91">
        <v>0</v>
      </c>
      <c r="H10" s="91">
        <v>0</v>
      </c>
      <c r="I10" s="91">
        <v>0</v>
      </c>
      <c r="J10" s="91">
        <v>0</v>
      </c>
      <c r="K10" s="91" t="s">
        <v>247</v>
      </c>
      <c r="L10" s="91" t="s">
        <v>242</v>
      </c>
      <c r="M10" s="91" t="s">
        <v>241</v>
      </c>
      <c r="N10" s="91" t="s">
        <v>243</v>
      </c>
      <c r="O10" s="91" t="s">
        <v>259</v>
      </c>
      <c r="R10" s="92" t="str">
        <f t="shared" si="0"/>
        <v>SBD</v>
      </c>
      <c r="S10" s="92" t="str">
        <f t="shared" si="1"/>
        <v>R</v>
      </c>
      <c r="T10" s="92" t="str">
        <f t="shared" si="2"/>
        <v>07</v>
      </c>
      <c r="U10" s="92" t="str">
        <f t="shared" si="3"/>
        <v>F</v>
      </c>
      <c r="V10" s="92" t="str">
        <f t="shared" si="6"/>
        <v>27T</v>
      </c>
    </row>
    <row r="11" spans="1:23">
      <c r="A11" s="91">
        <v>144595</v>
      </c>
      <c r="B11" s="91" t="s">
        <v>260</v>
      </c>
      <c r="C11" s="93" t="str">
        <f t="shared" si="5"/>
        <v>SBDR07F50T</v>
      </c>
      <c r="D11" s="91">
        <v>0</v>
      </c>
      <c r="E11" s="91">
        <v>0</v>
      </c>
      <c r="F11" s="91">
        <v>932</v>
      </c>
      <c r="G11" s="91">
        <v>0</v>
      </c>
      <c r="H11" s="91">
        <v>0</v>
      </c>
      <c r="I11" s="91">
        <v>0</v>
      </c>
      <c r="J11" s="91">
        <v>0</v>
      </c>
      <c r="K11" s="91" t="s">
        <v>247</v>
      </c>
      <c r="L11" s="91" t="s">
        <v>242</v>
      </c>
      <c r="M11" s="91" t="s">
        <v>241</v>
      </c>
      <c r="N11" s="91" t="s">
        <v>240</v>
      </c>
      <c r="O11" s="91" t="s">
        <v>259</v>
      </c>
      <c r="R11" s="92" t="str">
        <f t="shared" si="0"/>
        <v>SBD</v>
      </c>
      <c r="S11" s="92" t="str">
        <f t="shared" si="1"/>
        <v>R</v>
      </c>
      <c r="T11" s="92" t="str">
        <f t="shared" si="2"/>
        <v>07</v>
      </c>
      <c r="U11" s="92" t="str">
        <f t="shared" si="3"/>
        <v>F</v>
      </c>
      <c r="V11" s="92" t="str">
        <f t="shared" si="6"/>
        <v>50T</v>
      </c>
    </row>
    <row r="12" spans="1:23">
      <c r="A12" s="91">
        <v>144606</v>
      </c>
      <c r="B12" s="91" t="s">
        <v>258</v>
      </c>
      <c r="C12" s="93" t="str">
        <f t="shared" si="5"/>
        <v>SBDR07F60I</v>
      </c>
      <c r="D12" s="91">
        <v>0</v>
      </c>
      <c r="E12" s="91">
        <v>0</v>
      </c>
      <c r="F12" s="91">
        <v>2071</v>
      </c>
      <c r="G12" s="91">
        <v>0</v>
      </c>
      <c r="H12" s="91">
        <v>0</v>
      </c>
      <c r="I12" s="91">
        <v>0</v>
      </c>
      <c r="J12" s="91">
        <v>0</v>
      </c>
      <c r="K12" s="91" t="s">
        <v>247</v>
      </c>
      <c r="L12" s="91" t="s">
        <v>242</v>
      </c>
      <c r="M12" s="91" t="s">
        <v>241</v>
      </c>
      <c r="N12" s="91" t="s">
        <v>246</v>
      </c>
      <c r="O12" s="91" t="s">
        <v>253</v>
      </c>
      <c r="R12" s="92" t="str">
        <f t="shared" si="0"/>
        <v>SBD</v>
      </c>
      <c r="S12" s="92" t="str">
        <f t="shared" si="1"/>
        <v>R</v>
      </c>
      <c r="T12" s="92" t="str">
        <f t="shared" si="2"/>
        <v>07</v>
      </c>
      <c r="U12" s="92" t="str">
        <f t="shared" si="3"/>
        <v>F</v>
      </c>
      <c r="V12" s="92" t="str">
        <f t="shared" si="6"/>
        <v>60I</v>
      </c>
    </row>
    <row r="13" spans="1:23">
      <c r="A13" s="91">
        <v>144607</v>
      </c>
      <c r="B13" s="91" t="s">
        <v>257</v>
      </c>
      <c r="C13" s="93" t="str">
        <f t="shared" si="5"/>
        <v>SBDR07F40I</v>
      </c>
      <c r="D13" s="91">
        <v>0</v>
      </c>
      <c r="E13" s="91">
        <v>0</v>
      </c>
      <c r="F13" s="91">
        <v>2071</v>
      </c>
      <c r="G13" s="91">
        <v>0</v>
      </c>
      <c r="H13" s="91">
        <v>0</v>
      </c>
      <c r="I13" s="91">
        <v>0</v>
      </c>
      <c r="J13" s="91">
        <v>0</v>
      </c>
      <c r="K13" s="91" t="s">
        <v>247</v>
      </c>
      <c r="L13" s="91" t="s">
        <v>242</v>
      </c>
      <c r="M13" s="91" t="s">
        <v>241</v>
      </c>
      <c r="N13" s="91" t="s">
        <v>245</v>
      </c>
      <c r="O13" s="91" t="s">
        <v>253</v>
      </c>
      <c r="R13" s="92" t="str">
        <f t="shared" si="0"/>
        <v>SBD</v>
      </c>
      <c r="S13" s="92" t="str">
        <f t="shared" si="1"/>
        <v>R</v>
      </c>
      <c r="T13" s="92" t="str">
        <f t="shared" si="2"/>
        <v>07</v>
      </c>
      <c r="U13" s="92" t="str">
        <f t="shared" si="3"/>
        <v>F</v>
      </c>
      <c r="V13" s="92" t="str">
        <f t="shared" si="6"/>
        <v>40I</v>
      </c>
    </row>
    <row r="14" spans="1:23">
      <c r="A14" s="91">
        <v>144608</v>
      </c>
      <c r="B14" s="91" t="s">
        <v>256</v>
      </c>
      <c r="C14" s="93" t="str">
        <f t="shared" si="5"/>
        <v>SBDR07F30I</v>
      </c>
      <c r="D14" s="91">
        <v>0</v>
      </c>
      <c r="E14" s="91">
        <v>0</v>
      </c>
      <c r="F14" s="91">
        <v>2071</v>
      </c>
      <c r="G14" s="91">
        <v>0</v>
      </c>
      <c r="H14" s="91">
        <v>0</v>
      </c>
      <c r="I14" s="91">
        <v>0</v>
      </c>
      <c r="J14" s="91">
        <v>0</v>
      </c>
      <c r="K14" s="91" t="s">
        <v>247</v>
      </c>
      <c r="L14" s="91" t="s">
        <v>242</v>
      </c>
      <c r="M14" s="91" t="s">
        <v>241</v>
      </c>
      <c r="N14" s="91" t="s">
        <v>244</v>
      </c>
      <c r="O14" s="91" t="s">
        <v>253</v>
      </c>
      <c r="R14" s="92" t="str">
        <f t="shared" ref="R14:R21" si="7">MID(B14,1,3)</f>
        <v>SBD</v>
      </c>
      <c r="S14" s="92" t="str">
        <f t="shared" ref="S14:S21" si="8">MID(B14,4,1)</f>
        <v>R</v>
      </c>
      <c r="T14" s="92" t="str">
        <f t="shared" ref="T14:T21" si="9">MID(B14,5,2)</f>
        <v>07</v>
      </c>
      <c r="U14" s="92" t="str">
        <f t="shared" ref="U14:U21" si="10">MID(B14,7,1)</f>
        <v>F</v>
      </c>
      <c r="V14" s="92" t="str">
        <f t="shared" si="6"/>
        <v>30I</v>
      </c>
    </row>
    <row r="15" spans="1:23">
      <c r="A15" s="91">
        <v>144609</v>
      </c>
      <c r="B15" s="91" t="s">
        <v>255</v>
      </c>
      <c r="C15" s="93" t="str">
        <f t="shared" si="5"/>
        <v>SBDR07F27I</v>
      </c>
      <c r="D15" s="91">
        <v>0</v>
      </c>
      <c r="E15" s="91">
        <v>0</v>
      </c>
      <c r="F15" s="91">
        <v>2071</v>
      </c>
      <c r="G15" s="91">
        <v>0</v>
      </c>
      <c r="H15" s="91">
        <v>0</v>
      </c>
      <c r="I15" s="91">
        <v>0</v>
      </c>
      <c r="J15" s="91">
        <v>0</v>
      </c>
      <c r="K15" s="91" t="s">
        <v>247</v>
      </c>
      <c r="L15" s="91" t="s">
        <v>242</v>
      </c>
      <c r="M15" s="91" t="s">
        <v>241</v>
      </c>
      <c r="N15" s="91" t="s">
        <v>243</v>
      </c>
      <c r="O15" s="91" t="s">
        <v>253</v>
      </c>
      <c r="R15" s="92" t="str">
        <f t="shared" si="7"/>
        <v>SBD</v>
      </c>
      <c r="S15" s="92" t="str">
        <f t="shared" si="8"/>
        <v>R</v>
      </c>
      <c r="T15" s="92" t="str">
        <f t="shared" si="9"/>
        <v>07</v>
      </c>
      <c r="U15" s="92" t="str">
        <f t="shared" si="10"/>
        <v>F</v>
      </c>
      <c r="V15" s="92" t="str">
        <f t="shared" si="6"/>
        <v>27I</v>
      </c>
    </row>
    <row r="16" spans="1:23">
      <c r="A16" s="91">
        <v>144610</v>
      </c>
      <c r="B16" s="91" t="s">
        <v>254</v>
      </c>
      <c r="C16" s="93" t="str">
        <f t="shared" si="5"/>
        <v>SBDR07F50I</v>
      </c>
      <c r="D16" s="91">
        <v>0</v>
      </c>
      <c r="E16" s="91">
        <v>0</v>
      </c>
      <c r="F16" s="91">
        <v>2071</v>
      </c>
      <c r="G16" s="91">
        <v>0</v>
      </c>
      <c r="H16" s="91">
        <v>0</v>
      </c>
      <c r="I16" s="91">
        <v>0</v>
      </c>
      <c r="J16" s="91">
        <v>0</v>
      </c>
      <c r="K16" s="91" t="s">
        <v>247</v>
      </c>
      <c r="L16" s="91" t="s">
        <v>242</v>
      </c>
      <c r="M16" s="91" t="s">
        <v>241</v>
      </c>
      <c r="N16" s="91" t="s">
        <v>240</v>
      </c>
      <c r="O16" s="91" t="s">
        <v>253</v>
      </c>
      <c r="R16" s="92" t="str">
        <f t="shared" si="7"/>
        <v>SBD</v>
      </c>
      <c r="S16" s="92" t="str">
        <f t="shared" si="8"/>
        <v>R</v>
      </c>
      <c r="T16" s="92" t="str">
        <f t="shared" si="9"/>
        <v>07</v>
      </c>
      <c r="U16" s="92" t="str">
        <f t="shared" si="10"/>
        <v>F</v>
      </c>
      <c r="V16" s="92" t="str">
        <f t="shared" si="6"/>
        <v>50I</v>
      </c>
    </row>
    <row r="17" spans="1:22">
      <c r="A17" s="91">
        <v>144621</v>
      </c>
      <c r="B17" s="91" t="s">
        <v>252</v>
      </c>
      <c r="C17" s="93" t="str">
        <f t="shared" si="5"/>
        <v>SBDR07F60BT</v>
      </c>
      <c r="D17" s="91">
        <v>0</v>
      </c>
      <c r="E17" s="91">
        <v>0</v>
      </c>
      <c r="F17" s="91">
        <v>1332</v>
      </c>
      <c r="G17" s="91">
        <v>0</v>
      </c>
      <c r="H17" s="91">
        <v>0</v>
      </c>
      <c r="I17" s="91">
        <v>0</v>
      </c>
      <c r="J17" s="91">
        <v>0</v>
      </c>
      <c r="K17" s="91" t="s">
        <v>247</v>
      </c>
      <c r="L17" s="91" t="s">
        <v>242</v>
      </c>
      <c r="M17" s="91" t="s">
        <v>241</v>
      </c>
      <c r="N17" s="91" t="s">
        <v>246</v>
      </c>
      <c r="O17" s="91" t="s">
        <v>239</v>
      </c>
      <c r="R17" s="92" t="str">
        <f t="shared" si="7"/>
        <v>SBD</v>
      </c>
      <c r="S17" s="92" t="str">
        <f t="shared" si="8"/>
        <v>R</v>
      </c>
      <c r="T17" s="92" t="str">
        <f t="shared" si="9"/>
        <v>07</v>
      </c>
      <c r="U17" s="92" t="str">
        <f t="shared" si="10"/>
        <v>F</v>
      </c>
      <c r="V17" s="92" t="str">
        <f t="shared" si="6"/>
        <v>60BT</v>
      </c>
    </row>
    <row r="18" spans="1:22">
      <c r="A18" s="91">
        <v>144622</v>
      </c>
      <c r="B18" s="91" t="s">
        <v>251</v>
      </c>
      <c r="C18" s="93" t="str">
        <f t="shared" si="5"/>
        <v>SBDR07F40BT</v>
      </c>
      <c r="D18" s="91">
        <v>0</v>
      </c>
      <c r="E18" s="91">
        <v>0</v>
      </c>
      <c r="F18" s="91">
        <v>1332</v>
      </c>
      <c r="G18" s="91">
        <v>0</v>
      </c>
      <c r="H18" s="91">
        <v>0</v>
      </c>
      <c r="I18" s="91">
        <v>0</v>
      </c>
      <c r="J18" s="91">
        <v>0</v>
      </c>
      <c r="K18" s="91" t="s">
        <v>247</v>
      </c>
      <c r="L18" s="91" t="s">
        <v>242</v>
      </c>
      <c r="M18" s="91" t="s">
        <v>241</v>
      </c>
      <c r="N18" s="91" t="s">
        <v>245</v>
      </c>
      <c r="O18" s="91" t="s">
        <v>239</v>
      </c>
      <c r="R18" s="92" t="str">
        <f t="shared" si="7"/>
        <v>SBD</v>
      </c>
      <c r="S18" s="92" t="str">
        <f t="shared" si="8"/>
        <v>R</v>
      </c>
      <c r="T18" s="92" t="str">
        <f t="shared" si="9"/>
        <v>07</v>
      </c>
      <c r="U18" s="92" t="str">
        <f t="shared" si="10"/>
        <v>F</v>
      </c>
      <c r="V18" s="92" t="str">
        <f t="shared" si="6"/>
        <v>40BT</v>
      </c>
    </row>
    <row r="19" spans="1:22">
      <c r="A19" s="91">
        <v>144623</v>
      </c>
      <c r="B19" s="91" t="s">
        <v>250</v>
      </c>
      <c r="C19" s="93" t="str">
        <f t="shared" si="5"/>
        <v>SBDR07F30BT</v>
      </c>
      <c r="D19" s="91">
        <v>0</v>
      </c>
      <c r="E19" s="91">
        <v>0</v>
      </c>
      <c r="F19" s="91">
        <v>1332</v>
      </c>
      <c r="G19" s="91">
        <v>0</v>
      </c>
      <c r="H19" s="91">
        <v>0</v>
      </c>
      <c r="I19" s="91">
        <v>0</v>
      </c>
      <c r="J19" s="91">
        <v>0</v>
      </c>
      <c r="K19" s="91" t="s">
        <v>247</v>
      </c>
      <c r="L19" s="91" t="s">
        <v>242</v>
      </c>
      <c r="M19" s="91" t="s">
        <v>241</v>
      </c>
      <c r="N19" s="91" t="s">
        <v>244</v>
      </c>
      <c r="O19" s="91" t="s">
        <v>239</v>
      </c>
      <c r="R19" s="92" t="str">
        <f t="shared" si="7"/>
        <v>SBD</v>
      </c>
      <c r="S19" s="92" t="str">
        <f t="shared" si="8"/>
        <v>R</v>
      </c>
      <c r="T19" s="92" t="str">
        <f t="shared" si="9"/>
        <v>07</v>
      </c>
      <c r="U19" s="92" t="str">
        <f t="shared" si="10"/>
        <v>F</v>
      </c>
      <c r="V19" s="92" t="str">
        <f t="shared" si="6"/>
        <v>30BT</v>
      </c>
    </row>
    <row r="20" spans="1:22">
      <c r="A20" s="91">
        <v>144624</v>
      </c>
      <c r="B20" s="91" t="s">
        <v>249</v>
      </c>
      <c r="C20" s="93" t="str">
        <f t="shared" si="5"/>
        <v>SBDR07F27BT</v>
      </c>
      <c r="D20" s="91">
        <v>0</v>
      </c>
      <c r="E20" s="91">
        <v>0</v>
      </c>
      <c r="F20" s="91">
        <v>1332</v>
      </c>
      <c r="G20" s="91">
        <v>0</v>
      </c>
      <c r="H20" s="91">
        <v>0</v>
      </c>
      <c r="I20" s="91">
        <v>0</v>
      </c>
      <c r="J20" s="91">
        <v>0</v>
      </c>
      <c r="K20" s="91" t="s">
        <v>247</v>
      </c>
      <c r="L20" s="91" t="s">
        <v>242</v>
      </c>
      <c r="M20" s="91" t="s">
        <v>241</v>
      </c>
      <c r="N20" s="91" t="s">
        <v>243</v>
      </c>
      <c r="O20" s="91" t="s">
        <v>239</v>
      </c>
      <c r="R20" s="92" t="str">
        <f t="shared" si="7"/>
        <v>SBD</v>
      </c>
      <c r="S20" s="92" t="str">
        <f t="shared" si="8"/>
        <v>R</v>
      </c>
      <c r="T20" s="92" t="str">
        <f t="shared" si="9"/>
        <v>07</v>
      </c>
      <c r="U20" s="92" t="str">
        <f t="shared" si="10"/>
        <v>F</v>
      </c>
      <c r="V20" s="92" t="str">
        <f t="shared" si="6"/>
        <v>27BT</v>
      </c>
    </row>
    <row r="21" spans="1:22">
      <c r="A21" s="91">
        <v>144625</v>
      </c>
      <c r="B21" s="91" t="s">
        <v>248</v>
      </c>
      <c r="C21" s="93" t="str">
        <f t="shared" si="5"/>
        <v>SBDR07F50BT</v>
      </c>
      <c r="D21" s="91">
        <v>0</v>
      </c>
      <c r="E21" s="91">
        <v>0</v>
      </c>
      <c r="F21" s="91">
        <v>1332</v>
      </c>
      <c r="G21" s="91">
        <v>0</v>
      </c>
      <c r="H21" s="91">
        <v>0</v>
      </c>
      <c r="I21" s="91">
        <v>0</v>
      </c>
      <c r="J21" s="91">
        <v>0</v>
      </c>
      <c r="K21" s="91" t="s">
        <v>247</v>
      </c>
      <c r="L21" s="91" t="s">
        <v>242</v>
      </c>
      <c r="M21" s="91" t="s">
        <v>241</v>
      </c>
      <c r="N21" s="91" t="s">
        <v>240</v>
      </c>
      <c r="O21" s="91" t="s">
        <v>239</v>
      </c>
      <c r="R21" s="92" t="str">
        <f t="shared" si="7"/>
        <v>SBD</v>
      </c>
      <c r="S21" s="92" t="str">
        <f t="shared" si="8"/>
        <v>R</v>
      </c>
      <c r="T21" s="92" t="str">
        <f t="shared" si="9"/>
        <v>07</v>
      </c>
      <c r="U21" s="92" t="str">
        <f t="shared" si="10"/>
        <v>F</v>
      </c>
      <c r="V21" s="92" t="str">
        <f t="shared" si="6"/>
        <v>50BT</v>
      </c>
    </row>
  </sheetData>
  <autoFilter ref="A1:W2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02797C48-CC81-4B8D-8032-B370D450D1ED}">
  <ds:schemaRefs>
    <ds:schemaRef ds:uri="19f101f2-dc01-4042-8e40-12d7763a2d52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b26cac7a-f046-4518-bb94-83afcd16cb5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SBDR07-16-24W-DATA</vt:lpstr>
      <vt:lpstr>Stock Item (Read Me)</vt:lpstr>
      <vt:lpstr>SBDR07-16-24W-SKU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2025-03-31T05:21:13Z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
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externalReferences>
    <externalReference r:id="rId5"/>
  </externalReference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7" i="23" l="1"/>
  <c r="R25" i="23"/>
  <c r="L12" i="23" l="1"/>
  <c r="M12" i="23" s="1"/>
  <c r="Q19" i="23"/>
  <c r="L19" i="23" s="1"/>
  <c r="M19" i="23" s="1"/>
  <c r="Q17" i="23"/>
  <c r="Q16" i="23"/>
  <c r="Q15" i="23"/>
  <c r="Q14" i="23"/>
  <c r="Q13" i="23"/>
  <c r="Q12" i="23"/>
  <c r="Q11" i="23"/>
  <c r="L11" i="23" s="1"/>
  <c r="M11" i="23" s="1"/>
  <c r="Q10" i="23"/>
  <c r="Q9" i="23"/>
  <c r="Q8" i="23"/>
  <c r="Q7" i="23"/>
  <c r="L7" i="23" s="1"/>
  <c r="M7" i="23" s="1"/>
  <c r="Q4" i="23"/>
  <c r="Q3" i="23"/>
  <c r="L3" i="23" s="1"/>
  <c r="M3" i="23" s="1"/>
  <c r="L20" i="23"/>
  <c r="M20" i="23" s="1"/>
  <c r="M16" i="23"/>
  <c r="M14" i="23"/>
  <c r="M10" i="23"/>
  <c r="M9" i="23"/>
  <c r="M8" i="23"/>
  <c r="L4" i="23"/>
  <c r="M4" i="23" s="1"/>
  <c r="M2" i="23"/>
  <c r="M17" i="23"/>
  <c r="M15" i="23"/>
  <c r="M13" i="23"/>
  <c r="Q27" i="23" l="1"/>
  <c r="Q25" i="23"/>
  <c r="Q2" i="23"/>
  <c r="M21" i="23"/>
  <c r="M26" i="23" l="1"/>
  <c r="M28" i="23"/>
  <c r="M23" i="23"/>
  <c r="M24" i="23"/>
  <c r="M25" i="23"/>
  <c r="M27" i="23"/>
  <c r="H3" i="24"/>
  <c r="D3" i="24"/>
  <c r="C3" i="24"/>
  <c r="D4" i="24" s="1"/>
  <c r="H4" i="24" l="1"/>
  <c r="C6" i="24"/>
  <c r="F2" i="23" s="1"/>
  <c r="H5" i="24" l="1"/>
  <c r="G3" i="24"/>
  <c r="G4" i="24" s="1"/>
  <c r="F3" i="24" l="1"/>
  <c r="A2" i="23" l="1"/>
  <c r="E3" i="24"/>
  <c r="H8" i="24" l="1"/>
  <c r="I3" i="24"/>
  <c r="I7" i="24" s="1"/>
  <c r="H7" i="24" l="1"/>
  <c r="H6" i="24"/>
  <c r="F20" i="23" s="1"/>
  <c r="I6" i="24"/>
  <c r="I8" i="24"/>
  <c r="E7" i="24" l="1"/>
  <c r="E8" i="24"/>
  <c r="C8" i="24"/>
  <c r="F7" i="24"/>
  <c r="F8" i="24"/>
  <c r="C7" i="24"/>
  <c r="G6" i="24"/>
  <c r="F19" i="23" s="1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<sst xmlns="http://schemas.openxmlformats.org/spreadsheetml/2006/main" count="810" uniqueCount="384">
  <si>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</si>
  <si>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</si>
  <si>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</si>
  <si>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</si>
  <si>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</si>
  <si>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</si>
  <si>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</si>
  <si>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</si>
  <si>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</si>
  <si>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</si>
  <si>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</si>
  <si>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</si>
  <si>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</si>
  <si>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</si>
  <si>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</si>
  <si>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</si>
  <si>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</si>
  <si>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</si>
  <si>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</si>
  <si>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</si>
  <si>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</si>
  <si>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</si>
  <si>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</si>
  <si>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</si>
  <si>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</si>
  <si>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</si>
  <si>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</si>
  <si>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</si>
  <si>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</si>
  <si>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</si>
  <si>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</si>
  <si>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</si>
  <si>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</si>
  <si>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</si>
  <si>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</si>
  <si>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</si>
  <si>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</si>
  <si>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</si>
  <si>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</si>
  <si>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</si>
  <si>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</si>
  <si>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</si>
  <si>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</si>
  <si>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</si>
  <si>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</si>
  <si>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</si>
  <si>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</si>
  <si>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</si>
  <si>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</si>
  <si>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</si>
  <si>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</si>
  <si>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</si>
  <si>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</si>
  <si>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</si>
  <si>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</si>
  <si>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</si>
  <si>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</si>
  <si>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</si>
  <si>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</si>
  <si>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</si>
  <si>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</si>
  <si>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</si>
  <si>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</si>
  <si>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</si>
  <si>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</si>
  <si>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</si>
  <si>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</si>
  <si>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</si>
  <si>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</si>
  <si>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</si>
  <si>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</si>
  <si>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</si>
  <si>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</si>
  <si>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</si>
  <si>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</si>
  <si>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</si>
  <si>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</si>
  <si>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</si>
  <si>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</si>
  <si>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</si>
  <si>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</si>
  <si>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</si>
  <si>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</si>
  <si>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</si>
  <si>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</si>
  <si>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</si>
  <si>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</si>
  <si>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</si>
  <si>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</si>
  <si>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</si>
  <si>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</si>
  <si>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</si>
  <si>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</si>
  <si>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</si>
  <si>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</si>
  <si>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</si>
  <si>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</si>
  <si>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</si>
  <si>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</si>
  <si>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</si>
  <si>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</si>
  <si>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</si>
  <si>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</si>
  <si>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</si>
  <si>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</si>
  <si>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</si>
  <si>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</si>
  <si>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</si>
  <si>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</si>
  <si>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</si>
  <si>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</si>
  <si>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</si>
  <si>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</si>
  <si>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</si>
  <si>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</si>
  <si>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</si>
  <si>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</si>
  <si>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</si>
  <si>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</si>
  <si>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</si>
  <si>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</si>
  <si>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</si>
  <si>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</si>
  <si>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</si>
  <si>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</si>
  <si>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</si>
  <si>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</si>
  <si>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</si>
  <si>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</si>
  <si>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</si>
  <si>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</si>
  <si>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</si>
  <si>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</si>
  <si>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</si>
  <si>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</si>
  <si>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</si>
  <si>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</si>
  <si>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</si>
  <si>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</si>
  <si>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</si>
  <si>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</si>
  <si>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</si>
  <si>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</si>
  <si>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</si>
  <si>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</si>
  <si>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</si>
  <si>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</si>
  <si>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</si>
  <si>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</si>
  <si>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</si>
  <si>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</si>
  <si>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</si>
  <si>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</si>
  <si>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</si>
  <si>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</si>
  <si>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</si>
  <si>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</si>
  <si>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</si>
  <si>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</si>
  <si>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</si>
  <si>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</si>
  <si>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</si>
  <si>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</si>
  <si>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</si>
  <si>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</si>
  <si>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</si>
  <si>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</si>
  <si>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</si>
  <si>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</si>
  <si>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</si>
  <si>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</si>
  <si>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</si>
  <si>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</si>
  <si>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</si>
  <si>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</si>
  <si>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</si>
  <si>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</si>
  <si>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</si>
  <si>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</si>
  <si>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</si>
  <si>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</si>
  <si>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</si>
  <si>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</si>
  <si>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</si>
  <si>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</si>
  <si>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</si>
  <si>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</si>
  <si>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</si>
  <si>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</si>
  <si>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</si>
  <si>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</si>
  <si>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</si>
  <si>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</si>
  <si>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</si>
  <si>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</si>
  <si>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</si>
  <si>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</si>
  <si>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</si>
  <si>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</si>
  <si>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</si>
  <si>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</si>
  <si>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</si>
  <si>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</si>
  <si>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</si>
  <si>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</si>
  <si>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</si>
  <si>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30-</t>
  </si>
  <si>
    <t>40-</t>
  </si>
  <si>
    <t>BOM LED PCB</t>
  </si>
  <si>
    <t>30T-</t>
  </si>
  <si>
    <t>40T-</t>
  </si>
  <si>
    <t>30I-</t>
  </si>
  <si>
    <t>40I-</t>
  </si>
  <si>
    <t>30BT-</t>
  </si>
  <si>
    <t>40BT-</t>
  </si>
  <si>
    <t>26ID-</t>
  </si>
  <si>
    <t>26BTD-</t>
  </si>
  <si>
    <t xml:space="preserve"> </t>
  </si>
  <si>
    <t>R12</t>
  </si>
  <si>
    <t>B12</t>
  </si>
  <si>
    <t>T12</t>
  </si>
  <si>
    <t>R15</t>
  </si>
  <si>
    <t>B15</t>
  </si>
  <si>
    <t>T15</t>
  </si>
  <si>
    <t>R18</t>
  </si>
  <si>
    <t>B18</t>
  </si>
  <si>
    <t>T18</t>
  </si>
  <si>
    <t>12-</t>
  </si>
  <si>
    <t>15-</t>
  </si>
  <si>
    <t>PS-15W  360mA 36V</t>
  </si>
  <si>
    <t>PS-15W  360mA 36V-TRIAC</t>
  </si>
  <si>
    <t>PS-15W  360mA 36V-DALI</t>
  </si>
  <si>
    <t>PS-15W  360mA 36V-BT</t>
  </si>
  <si>
    <t>PS-15W  360mA 36V-(DALI+DC)</t>
  </si>
  <si>
    <t>PS-15W  360mA 36V-(BT+DC)</t>
  </si>
  <si>
    <t>18-</t>
  </si>
  <si>
    <t>PS-18W  440mA 36V</t>
  </si>
  <si>
    <t>PS-18W  440mA 36V-TRIAC</t>
  </si>
  <si>
    <t>PS-18W  440mA 36V-DALI</t>
  </si>
  <si>
    <t>PS-18W  440mA 36V-BT</t>
  </si>
  <si>
    <t>PS-18W  440mA 36V-(DALI+DC)</t>
  </si>
  <si>
    <t>PS-18W  440mA 36V-(BT+DC)</t>
  </si>
  <si>
    <t>Wire Clip-M3-MS</t>
  </si>
  <si>
    <t>Electronics Store</t>
  </si>
  <si>
    <t>SRRB12F25BTD</t>
  </si>
  <si>
    <t>12T-</t>
  </si>
  <si>
    <t>12I-</t>
  </si>
  <si>
    <t>12BT-</t>
  </si>
  <si>
    <t>12ID-</t>
  </si>
  <si>
    <t>12BTD-</t>
  </si>
  <si>
    <t>15T-</t>
  </si>
  <si>
    <t>15I-</t>
  </si>
  <si>
    <t>15BT-</t>
  </si>
  <si>
    <t>15ID-</t>
  </si>
  <si>
    <t>15BTD-</t>
  </si>
  <si>
    <t>18T-</t>
  </si>
  <si>
    <t>18I-</t>
  </si>
  <si>
    <t>18BT-</t>
  </si>
  <si>
    <t>18ID-</t>
  </si>
  <si>
    <t>18BTD-</t>
  </si>
  <si>
    <t>27-</t>
  </si>
  <si>
    <t>50-</t>
  </si>
  <si>
    <t>27T-</t>
  </si>
  <si>
    <t>50T-</t>
  </si>
  <si>
    <t>27I-</t>
  </si>
  <si>
    <t>50I-</t>
  </si>
  <si>
    <t>27BT-</t>
  </si>
  <si>
    <t>50BT-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</si>
  <si>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</si>
  <si>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</si>
  <si>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</si>
  <si>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</si>
  <si>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</si>
  <si>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</si>
  <si>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</si>
  <si>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</si>
  <si>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</si>
  <si>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</si>
  <si>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</si>
  <si>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</si>
  <si>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</si>
  <si>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</si>
  <si>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</si>
  <si>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White</t>
  </si>
  <si>
    <t>Wide</t>
  </si>
  <si>
    <t>3000K</t>
  </si>
  <si>
    <t>Constant Current</t>
  </si>
  <si>
    <t>12W</t>
  </si>
  <si>
    <t>4000K</t>
  </si>
  <si>
    <t>5000K</t>
  </si>
  <si>
    <t>Black</t>
  </si>
  <si>
    <t>Two Color</t>
  </si>
  <si>
    <t>TRIAC Dimming</t>
  </si>
  <si>
    <t>DALI Dimming</t>
  </si>
  <si>
    <t>2700K - 6000K</t>
  </si>
  <si>
    <t>DALI Dual</t>
  </si>
  <si>
    <t>Bluetooth Dimming</t>
  </si>
  <si>
    <t>Bluetooth Dual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</si>
  <si>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</si>
  <si>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</si>
  <si>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</si>
  <si>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</si>
  <si>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LED COB Dual Colour 30W 2700K-5000k</t>
  </si>
  <si>
    <t>PBX-COB 8-15W</t>
  </si>
  <si>
    <t>SBX-COB 8-18W (12Nos)</t>
  </si>
  <si>
    <t>Screw M3X6mm CSK PH-SS</t>
  </si>
  <si>
    <t>Conn. 2 Pin Ass. Wire Black Male(small)</t>
  </si>
  <si>
    <t>PS 12-20W 300mA 36-72V Maxic (PCB LT-MX-20W-V2)</t>
  </si>
  <si>
    <t>PS 12W 300mA 36V Triac Dimming</t>
  </si>
  <si>
    <t>Dali Driver SC-10W PE19DA4240  (AI-Dimming)-25-40V</t>
  </si>
  <si>
    <t>PS CCT 12W 250MA 36V BT-SC (PCB LT 7-20W-CCT-V 1.1 REV-1)</t>
  </si>
  <si>
    <t>Dali Driver DC-10W PE694R4230(AI-Dimming)-25-40V</t>
  </si>
  <si>
    <t>PS CCT 12W 250MA 36V BT-DC (PCB LT 7-20W-CCT-V 1.1 REV-1)</t>
  </si>
  <si>
    <t>HS 50x34.5mm (SR-DR-NR-12W)</t>
  </si>
  <si>
    <t>Refl. 50014-W OD-50 LES ID -20.5 H-13.4mm  8-18W</t>
  </si>
  <si>
    <t>Diff. 50014-W D-49.5 T-1.2mm  Frosted - 8-18W</t>
  </si>
  <si>
    <t>COB Holder 50014-W OD-35 ID-17 H-3.5mm 8-18W</t>
  </si>
  <si>
    <t>Torsion Spring - L-49 W-18mm Coil D-1mm D-8 Black</t>
  </si>
  <si>
    <t>Spring Holding Clip L-37 W-25 T-0.70mm MS</t>
  </si>
  <si>
    <t>Rivet 1/8" x 1/4" MS (Big)</t>
  </si>
  <si>
    <t>Rivet 3/32x1/4 (Small)</t>
  </si>
  <si>
    <t>Down Light Series</t>
  </si>
  <si>
    <t>Trim-O-85  I-51 H-50mm White SRRR-8-18W</t>
  </si>
  <si>
    <t>Trim-O-85  I-51 H-50mm Black SRRR-8-18W</t>
  </si>
  <si>
    <t>Trim-O-85  I-51 H-50mm Two Color SRRR-8-18W</t>
  </si>
  <si>
    <t>HS-50X40.5mm (SR-DR-NR-15W)</t>
  </si>
  <si>
    <t>HS-50X50.5mm (SR-DR-NR-12W)</t>
  </si>
  <si>
    <t>Screw No. 4X6.5mm Self Pan Combi. PH - SS</t>
  </si>
  <si>
    <t>Sleeve M4mm Fiber Glass White</t>
  </si>
  <si>
    <t>SRRR12F30</t>
  </si>
  <si>
    <t>SRRR12F40</t>
  </si>
  <si>
    <t>SRRR12F50</t>
  </si>
  <si>
    <t>SRRB12F30</t>
  </si>
  <si>
    <t>SRRB12F40</t>
  </si>
  <si>
    <t>SRRB12F50</t>
  </si>
  <si>
    <t>SRRT12F30</t>
  </si>
  <si>
    <t>SRRT12F40</t>
  </si>
  <si>
    <t>SRRT12F50</t>
  </si>
  <si>
    <t>SRRR12F30T</t>
  </si>
  <si>
    <t>SRRR12F40T</t>
  </si>
  <si>
    <t>SRRR12F50T</t>
  </si>
  <si>
    <t>SRRB12F30T</t>
  </si>
  <si>
    <t>SRRB12F40T</t>
  </si>
  <si>
    <t>SRRB12F50T</t>
  </si>
  <si>
    <t>SRRT12F30T</t>
  </si>
  <si>
    <t>SRRT12F40T</t>
  </si>
  <si>
    <t>SRRT12F50T</t>
  </si>
  <si>
    <t>SRRR12F30I</t>
  </si>
  <si>
    <t>SRRR12F40I</t>
  </si>
  <si>
    <t>SRRR12F50I</t>
  </si>
  <si>
    <t>SRRB12F30I</t>
  </si>
  <si>
    <t>SRRB12F40I</t>
  </si>
  <si>
    <t>SRRB12F50I</t>
  </si>
  <si>
    <t>SRRT12F30I</t>
  </si>
  <si>
    <t>SRRT12F40I</t>
  </si>
  <si>
    <t>SRRT12F50I</t>
  </si>
  <si>
    <t>SRRR12F26ID</t>
  </si>
  <si>
    <t>SRRB12F26ID</t>
  </si>
  <si>
    <t>SRRT12F26ID</t>
  </si>
  <si>
    <t>SRRR12F30BT</t>
  </si>
  <si>
    <t>SRRR12F40BT</t>
  </si>
  <si>
    <t>SRRR12F50BT</t>
  </si>
  <si>
    <t>SRRB12F30BT</t>
  </si>
  <si>
    <t>SRRB12F40BT</t>
  </si>
  <si>
    <t>SRRB12F50BT</t>
  </si>
  <si>
    <t>SRRT12F30BT</t>
  </si>
  <si>
    <t>SRRT12F40BT</t>
  </si>
  <si>
    <t>SRRT12F50BT</t>
  </si>
  <si>
    <t>SRRR12F26BTD</t>
  </si>
  <si>
    <t>SRRB12F26BTD</t>
  </si>
  <si>
    <t>SRRT12F26BTD</t>
  </si>
  <si>
    <t>Unit Price</t>
  </si>
  <si>
    <t>USD</t>
  </si>
  <si>
    <t>INS&amp;FRED</t>
  </si>
  <si>
    <t>BCD</t>
  </si>
  <si>
    <t>Total Cost</t>
  </si>
  <si>
    <t>PS Rate Mention with Total Amt</t>
  </si>
  <si>
    <t>SRRR12-CC</t>
  </si>
  <si>
    <t>SRRR12 Track Dimming</t>
  </si>
  <si>
    <t>SRRR12 Dali Single Color</t>
  </si>
  <si>
    <t>SRRR12 BT Single Color</t>
  </si>
  <si>
    <t>SRRR12  Dali Dual Color</t>
  </si>
  <si>
    <t>SRRR12  BT Dual Color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</si>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</sst>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Rs-420]* #,##0.00_-;_-[$Rs-420]* #,##0.00\-;_-[$Rs-420]* &quot;-&quot;??_-;_-@_-"/>
    <numFmt numFmtId="167" formatCode="&quot;$&quot;#,##0.000"/>
    <numFmt numFmtId="168" formatCode="_-[$$-409]* #,##0.000_ ;_-[$$-409]* \-#,##0.000\ ;_-[$$-409]* &quot;-&quot;??_ ;_-@_ 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2" fillId="0" borderId="0"/>
  </cellStyleXfs>
  <cellXfs count="126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20" fillId="0" borderId="0" xfId="0" applyFont="1"/>
    <xf numFmtId="0" fontId="0" fillId="9" borderId="1" xfId="0" applyFill="1" applyBorder="1"/>
    <xf numFmtId="0" fontId="3" fillId="0" borderId="14" xfId="0" applyFont="1" applyBorder="1"/>
    <xf numFmtId="0" fontId="21" fillId="0" borderId="1" xfId="0" applyFont="1" applyBorder="1"/>
    <xf numFmtId="0" fontId="21" fillId="0" borderId="14" xfId="0" applyFont="1" applyBorder="1"/>
    <xf numFmtId="0" fontId="21" fillId="0" borderId="0" xfId="0" applyFont="1"/>
    <xf numFmtId="0" fontId="0" fillId="10" borderId="0" xfId="0" applyFill="1"/>
    <xf numFmtId="0" fontId="3" fillId="0" borderId="16" xfId="0" applyFont="1" applyBorder="1"/>
    <xf numFmtId="0" fontId="3" fillId="10" borderId="1" xfId="0" applyFont="1" applyFill="1" applyBorder="1"/>
    <xf numFmtId="0" fontId="0" fillId="10" borderId="1" xfId="0" applyFill="1" applyBorder="1"/>
    <xf numFmtId="0" fontId="0" fillId="0" borderId="15" xfId="0" applyFill="1" applyBorder="1"/>
    <xf numFmtId="0" fontId="22" fillId="0" borderId="0" xfId="3"/>
    <xf numFmtId="0" fontId="3" fillId="0" borderId="1" xfId="2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Font="1" applyBorder="1"/>
    <xf numFmtId="0" fontId="2" fillId="0" borderId="1" xfId="0" applyFont="1" applyBorder="1"/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6" fontId="23" fillId="8" borderId="1" xfId="0" applyNumberFormat="1" applyFont="1" applyFill="1" applyBorder="1" applyAlignment="1">
      <alignment horizontal="center" vertical="center"/>
    </xf>
    <xf numFmtId="166" fontId="9" fillId="8" borderId="1" xfId="0" applyNumberFormat="1" applyFont="1" applyFill="1" applyBorder="1" applyAlignment="1">
      <alignment vertical="center"/>
    </xf>
    <xf numFmtId="167" fontId="24" fillId="0" borderId="0" xfId="0" applyNumberFormat="1" applyFont="1" applyBorder="1" applyAlignment="1">
      <alignment horizontal="center" vertical="center"/>
    </xf>
    <xf numFmtId="9" fontId="24" fillId="0" borderId="0" xfId="0" applyNumberFormat="1" applyFont="1" applyBorder="1" applyAlignment="1">
      <alignment horizontal="center" vertical="center"/>
    </xf>
    <xf numFmtId="164" fontId="24" fillId="0" borderId="0" xfId="0" applyNumberFormat="1" applyFont="1" applyBorder="1" applyAlignment="1">
      <alignment horizontal="center" vertical="center"/>
    </xf>
    <xf numFmtId="0" fontId="1" fillId="10" borderId="1" xfId="0" applyFont="1" applyFill="1" applyBorder="1"/>
    <xf numFmtId="166" fontId="25" fillId="0" borderId="1" xfId="0" applyNumberFormat="1" applyFont="1" applyFill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8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/>
    <xf numFmtId="165" fontId="26" fillId="6" borderId="17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165" fontId="25" fillId="0" borderId="18" xfId="0" applyNumberFormat="1" applyFont="1" applyBorder="1" applyAlignment="1">
      <alignment horizontal="center" vertical="center"/>
    </xf>
    <xf numFmtId="165" fontId="25" fillId="0" borderId="15" xfId="0" applyNumberFormat="1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168" fontId="25" fillId="0" borderId="18" xfId="0" applyNumberFormat="1" applyFont="1" applyBorder="1" applyAlignment="1">
      <alignment horizontal="center" vertical="center"/>
    </xf>
    <xf numFmtId="168" fontId="25" fillId="0" borderId="15" xfId="0" applyNumberFormat="1" applyFont="1" applyBorder="1" applyAlignment="1">
      <alignment horizontal="center" vertical="center"/>
    </xf>
    <xf numFmtId="168" fontId="25" fillId="0" borderId="6" xfId="0" applyNumberFormat="1" applyFont="1" applyBorder="1" applyAlignment="1">
      <alignment horizontal="center" vertical="center"/>
    </xf>
    <xf numFmtId="9" fontId="25" fillId="0" borderId="18" xfId="0" applyNumberFormat="1" applyFont="1" applyBorder="1" applyAlignment="1">
      <alignment horizontal="center" vertical="center"/>
    </xf>
    <xf numFmtId="9" fontId="25" fillId="0" borderId="15" xfId="0" applyNumberFormat="1" applyFont="1" applyBorder="1" applyAlignment="1">
      <alignment horizontal="center" vertical="center"/>
    </xf>
    <xf numFmtId="9" fontId="25" fillId="0" borderId="6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5" fillId="0" borderId="1" xfId="0" applyNumberFormat="1" applyFont="1" applyFill="1" applyBorder="1" applyAlignment="1">
      <alignment horizontal="center" vertical="center"/>
    </xf>
    <xf numFmtId="168" fontId="25" fillId="0" borderId="1" xfId="0" applyNumberFormat="1" applyFont="1" applyFill="1" applyBorder="1" applyAlignment="1">
      <alignment horizontal="center" vertical="center"/>
    </xf>
  </cellXfs>
  <cellStyles count="4">
    <cellStyle name="Hyperlink 2" xfId="1"/>
    <cellStyle name="Normal" xfId="0" builtinId="0"/>
    <cellStyle name="Normal 2" xfId="2"/>
    <cellStyle name="Normal 3" xfId="3"/>
  </cellStyles>
  <dxfs count="15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dmin\Desktop\NRRR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topLeftCell="G1" zoomScale="96" zoomScaleNormal="96" workbookViewId="0">
      <selection activeCell="L19" sqref="L19:N19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8.7109375" customWidth="1"/>
    <col min="12" max="12" width="13.7109375" customWidth="1"/>
    <col min="13" max="13" width="14.5703125" customWidth="1"/>
    <col min="15" max="15" width="11.42578125" customWidth="1"/>
    <col min="17" max="17" width="11.1406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2" t="s">
        <v>371</v>
      </c>
      <c r="M1" s="82" t="s">
        <v>194</v>
      </c>
      <c r="N1" s="83" t="s">
        <v>372</v>
      </c>
      <c r="O1" s="84" t="s">
        <v>373</v>
      </c>
      <c r="P1" s="85" t="s">
        <v>374</v>
      </c>
      <c r="Q1" s="83" t="s">
        <v>375</v>
      </c>
    </row>
    <row r="2" spans="1:17">
      <c r="A2" s="49" t="str">
        <f>$D$2</f>
        <v>SRRR12F30</v>
      </c>
      <c r="B2" s="49" t="s">
        <v>321</v>
      </c>
      <c r="C2" s="49" t="s">
        <v>190</v>
      </c>
      <c r="D2" s="91" t="s">
        <v>329</v>
      </c>
      <c r="E2" s="49">
        <v>1</v>
      </c>
      <c r="F2" s="73" t="str">
        <f>'Backend data'!C6</f>
        <v>Trim-O-85  I-51 H-50mm White SRRR-8-18W</v>
      </c>
      <c r="G2" s="49">
        <v>1</v>
      </c>
      <c r="H2" s="49" t="s">
        <v>189</v>
      </c>
      <c r="I2" s="49" t="s">
        <v>9</v>
      </c>
      <c r="J2" s="49"/>
      <c r="K2" s="49"/>
      <c r="L2" s="93">
        <v>7</v>
      </c>
      <c r="M2" s="93">
        <f>G2*L2</f>
        <v>7</v>
      </c>
      <c r="N2" s="94">
        <v>0</v>
      </c>
      <c r="O2" s="95">
        <v>0.5</v>
      </c>
      <c r="P2" s="96"/>
      <c r="Q2" s="96">
        <f>N2+(N2*(O2+P2))</f>
        <v>0</v>
      </c>
    </row>
    <row r="3" spans="1:17">
      <c r="A3" s="49"/>
      <c r="B3" s="49"/>
      <c r="C3" s="49"/>
      <c r="D3" s="49"/>
      <c r="E3" s="49"/>
      <c r="F3" s="73" t="str">
        <f>'Backend data'!D6</f>
        <v>HS 50x34.5mm (SR-DR-NR-12W)</v>
      </c>
      <c r="G3" s="49">
        <v>1</v>
      </c>
      <c r="H3" s="49" t="s">
        <v>189</v>
      </c>
      <c r="I3" s="49" t="s">
        <v>9</v>
      </c>
      <c r="J3" s="49"/>
      <c r="K3" s="49"/>
      <c r="L3" s="93">
        <f t="shared" ref="L3:L20" si="0">Q3*87</f>
        <v>60.291000000000004</v>
      </c>
      <c r="M3" s="93">
        <f t="shared" ref="M3:M20" si="1">G3*L3</f>
        <v>60.291000000000004</v>
      </c>
      <c r="N3" s="94">
        <v>0.46200000000000002</v>
      </c>
      <c r="O3" s="95">
        <v>0.5</v>
      </c>
      <c r="P3" s="96"/>
      <c r="Q3" s="96">
        <f t="shared" ref="Q3:Q19" si="2">N3+(N3*(O3+P3))</f>
        <v>0.69300000000000006</v>
      </c>
    </row>
    <row r="4" spans="1:17">
      <c r="A4" s="49"/>
      <c r="B4" s="49"/>
      <c r="C4" s="49"/>
      <c r="D4" s="49"/>
      <c r="E4" s="49"/>
      <c r="F4" s="49" t="s">
        <v>314</v>
      </c>
      <c r="G4" s="49">
        <v>1</v>
      </c>
      <c r="H4" s="49" t="s">
        <v>189</v>
      </c>
      <c r="I4" s="49" t="s">
        <v>9</v>
      </c>
      <c r="J4" s="49"/>
      <c r="K4" s="49"/>
      <c r="L4" s="106">
        <f t="shared" si="0"/>
        <v>7.4385000000000003</v>
      </c>
      <c r="M4" s="106">
        <f t="shared" si="1"/>
        <v>7.4385000000000003</v>
      </c>
      <c r="N4" s="109">
        <v>5.7000000000000002E-2</v>
      </c>
      <c r="O4" s="112">
        <v>0.5</v>
      </c>
      <c r="P4" s="101"/>
      <c r="Q4" s="101">
        <f t="shared" si="2"/>
        <v>8.5500000000000007E-2</v>
      </c>
    </row>
    <row r="5" spans="1:17">
      <c r="A5" s="49"/>
      <c r="B5" s="49"/>
      <c r="C5" s="49"/>
      <c r="D5" s="49"/>
      <c r="E5" s="49"/>
      <c r="F5" s="80" t="s">
        <v>315</v>
      </c>
      <c r="G5" s="49">
        <v>1</v>
      </c>
      <c r="H5" s="49" t="s">
        <v>189</v>
      </c>
      <c r="I5" s="49" t="s">
        <v>9</v>
      </c>
      <c r="J5" s="49"/>
      <c r="K5" s="49"/>
      <c r="L5" s="107"/>
      <c r="M5" s="107"/>
      <c r="N5" s="110"/>
      <c r="O5" s="113"/>
      <c r="P5" s="102"/>
      <c r="Q5" s="102"/>
    </row>
    <row r="6" spans="1:17">
      <c r="A6" s="49"/>
      <c r="B6" s="49"/>
      <c r="C6" s="49"/>
      <c r="D6" s="49"/>
      <c r="E6" s="49"/>
      <c r="F6" s="49" t="s">
        <v>316</v>
      </c>
      <c r="G6" s="49">
        <v>1</v>
      </c>
      <c r="H6" s="49" t="s">
        <v>189</v>
      </c>
      <c r="I6" s="49" t="s">
        <v>9</v>
      </c>
      <c r="J6" s="49"/>
      <c r="K6" s="49"/>
      <c r="L6" s="108"/>
      <c r="M6" s="108"/>
      <c r="N6" s="111"/>
      <c r="O6" s="114"/>
      <c r="P6" s="103"/>
      <c r="Q6" s="103"/>
    </row>
    <row r="7" spans="1:17">
      <c r="A7" s="49"/>
      <c r="B7" s="49"/>
      <c r="C7" s="49"/>
      <c r="D7" s="49"/>
      <c r="E7" s="49"/>
      <c r="F7" s="60" t="s">
        <v>317</v>
      </c>
      <c r="G7" s="75">
        <v>2</v>
      </c>
      <c r="H7" s="49" t="s">
        <v>189</v>
      </c>
      <c r="I7" s="49" t="s">
        <v>9</v>
      </c>
      <c r="J7" s="49"/>
      <c r="K7" s="49"/>
      <c r="L7" s="93">
        <f>Q7*87</f>
        <v>1.044</v>
      </c>
      <c r="M7" s="93">
        <f t="shared" si="1"/>
        <v>2.0880000000000001</v>
      </c>
      <c r="N7" s="94">
        <v>8.0000000000000002E-3</v>
      </c>
      <c r="O7" s="95">
        <v>0.5</v>
      </c>
      <c r="P7" s="96"/>
      <c r="Q7" s="96">
        <f t="shared" si="2"/>
        <v>1.2E-2</v>
      </c>
    </row>
    <row r="8" spans="1:17">
      <c r="A8" s="49"/>
      <c r="B8" s="49"/>
      <c r="C8" s="49"/>
      <c r="D8" s="49"/>
      <c r="E8" s="49"/>
      <c r="F8" s="60" t="s">
        <v>318</v>
      </c>
      <c r="G8" s="49">
        <v>2</v>
      </c>
      <c r="H8" s="49" t="s">
        <v>189</v>
      </c>
      <c r="I8" s="49" t="s">
        <v>9</v>
      </c>
      <c r="J8" s="49"/>
      <c r="K8" s="49"/>
      <c r="L8" s="93">
        <v>2</v>
      </c>
      <c r="M8" s="93">
        <f t="shared" si="1"/>
        <v>4</v>
      </c>
      <c r="N8" s="94">
        <v>0</v>
      </c>
      <c r="O8" s="95">
        <v>0.5</v>
      </c>
      <c r="P8" s="96"/>
      <c r="Q8" s="96">
        <f t="shared" si="2"/>
        <v>0</v>
      </c>
    </row>
    <row r="9" spans="1:17">
      <c r="A9" s="49"/>
      <c r="B9" s="49"/>
      <c r="C9" s="49"/>
      <c r="D9" s="49"/>
      <c r="F9" s="66" t="s">
        <v>303</v>
      </c>
      <c r="G9" s="66">
        <v>1</v>
      </c>
      <c r="H9" s="49" t="s">
        <v>189</v>
      </c>
      <c r="I9" s="49" t="s">
        <v>9</v>
      </c>
      <c r="J9" s="49"/>
      <c r="K9" s="49"/>
      <c r="L9" s="93">
        <v>8.5</v>
      </c>
      <c r="M9" s="93">
        <f t="shared" si="1"/>
        <v>8.5</v>
      </c>
      <c r="N9" s="94">
        <v>0</v>
      </c>
      <c r="O9" s="95">
        <v>0.5</v>
      </c>
      <c r="P9" s="96"/>
      <c r="Q9" s="96">
        <f t="shared" si="2"/>
        <v>0</v>
      </c>
    </row>
    <row r="10" spans="1:17">
      <c r="A10" s="49"/>
      <c r="B10" s="49"/>
      <c r="C10" s="49"/>
      <c r="D10" s="49"/>
      <c r="E10" s="49"/>
      <c r="F10" s="66" t="s">
        <v>304</v>
      </c>
      <c r="G10" s="66">
        <v>0.08</v>
      </c>
      <c r="H10" s="49" t="s">
        <v>189</v>
      </c>
      <c r="I10" s="49" t="s">
        <v>9</v>
      </c>
      <c r="J10" s="49"/>
      <c r="K10" s="49"/>
      <c r="L10" s="93">
        <v>27</v>
      </c>
      <c r="M10" s="93">
        <f t="shared" si="1"/>
        <v>2.16</v>
      </c>
      <c r="N10" s="94">
        <v>0</v>
      </c>
      <c r="O10" s="95">
        <v>0.5</v>
      </c>
      <c r="P10" s="96"/>
      <c r="Q10" s="96">
        <f t="shared" si="2"/>
        <v>0</v>
      </c>
    </row>
    <row r="11" spans="1:17">
      <c r="A11" s="49"/>
      <c r="B11" s="49"/>
      <c r="C11" s="49"/>
      <c r="D11" s="49"/>
      <c r="E11" s="49"/>
      <c r="F11" s="81" t="s">
        <v>306</v>
      </c>
      <c r="G11" s="49">
        <v>1</v>
      </c>
      <c r="H11" s="49" t="s">
        <v>189</v>
      </c>
      <c r="I11" s="49" t="s">
        <v>9</v>
      </c>
      <c r="J11" s="49"/>
      <c r="K11" s="49"/>
      <c r="L11" s="93">
        <f t="shared" si="0"/>
        <v>3.915</v>
      </c>
      <c r="M11" s="93">
        <f t="shared" si="1"/>
        <v>3.915</v>
      </c>
      <c r="N11" s="94">
        <v>0.03</v>
      </c>
      <c r="O11" s="95">
        <v>0.5</v>
      </c>
      <c r="P11" s="96"/>
      <c r="Q11" s="96">
        <f t="shared" si="2"/>
        <v>4.4999999999999998E-2</v>
      </c>
    </row>
    <row r="12" spans="1:17">
      <c r="A12" s="49"/>
      <c r="B12" s="49"/>
      <c r="C12" s="49"/>
      <c r="D12" s="49"/>
      <c r="E12" s="49"/>
      <c r="F12" s="49" t="s">
        <v>328</v>
      </c>
      <c r="G12" s="49">
        <v>0.12</v>
      </c>
      <c r="H12" s="49" t="s">
        <v>189</v>
      </c>
      <c r="I12" s="49" t="s">
        <v>9</v>
      </c>
      <c r="J12" s="49"/>
      <c r="K12" s="49"/>
      <c r="L12" s="92">
        <f>5.7/1000*120</f>
        <v>0.68400000000000005</v>
      </c>
      <c r="M12" s="93">
        <f t="shared" si="1"/>
        <v>8.208E-2</v>
      </c>
      <c r="N12" s="94">
        <v>0</v>
      </c>
      <c r="O12" s="95">
        <v>0.5</v>
      </c>
      <c r="P12" s="96"/>
      <c r="Q12" s="96">
        <f t="shared" si="2"/>
        <v>0</v>
      </c>
    </row>
    <row r="13" spans="1:17">
      <c r="A13" s="49"/>
      <c r="B13" s="49"/>
      <c r="C13" s="49"/>
      <c r="D13" s="49"/>
      <c r="E13" s="49"/>
      <c r="F13" s="49" t="s">
        <v>242</v>
      </c>
      <c r="G13" s="49">
        <v>1</v>
      </c>
      <c r="H13" s="49" t="s">
        <v>189</v>
      </c>
      <c r="I13" s="49" t="s">
        <v>9</v>
      </c>
      <c r="J13" s="49"/>
      <c r="K13" s="49"/>
      <c r="L13" s="93">
        <v>0.6</v>
      </c>
      <c r="M13" s="93">
        <f t="shared" si="1"/>
        <v>0.6</v>
      </c>
      <c r="N13" s="94">
        <v>0</v>
      </c>
      <c r="O13" s="95">
        <v>0.5</v>
      </c>
      <c r="P13" s="96"/>
      <c r="Q13" s="96">
        <f t="shared" si="2"/>
        <v>0</v>
      </c>
    </row>
    <row r="14" spans="1:17">
      <c r="A14" s="49"/>
      <c r="B14" s="49"/>
      <c r="C14" s="49"/>
      <c r="D14" s="49"/>
      <c r="E14" s="49"/>
      <c r="F14" s="49" t="s">
        <v>327</v>
      </c>
      <c r="G14" s="49">
        <v>1</v>
      </c>
      <c r="H14" s="49" t="s">
        <v>189</v>
      </c>
      <c r="I14" s="49" t="s">
        <v>9</v>
      </c>
      <c r="J14" s="49"/>
      <c r="K14" s="49"/>
      <c r="L14" s="93">
        <v>0.21</v>
      </c>
      <c r="M14" s="93">
        <f t="shared" si="1"/>
        <v>0.21</v>
      </c>
      <c r="N14" s="94">
        <v>0</v>
      </c>
      <c r="O14" s="95">
        <v>0.5</v>
      </c>
      <c r="P14" s="96"/>
      <c r="Q14" s="96">
        <f t="shared" si="2"/>
        <v>0</v>
      </c>
    </row>
    <row r="15" spans="1:17">
      <c r="A15" s="49"/>
      <c r="B15" s="49"/>
      <c r="C15" s="49"/>
      <c r="D15" s="49"/>
      <c r="E15" s="49"/>
      <c r="F15" s="49" t="s">
        <v>305</v>
      </c>
      <c r="G15" s="49">
        <v>2</v>
      </c>
      <c r="H15" s="49" t="s">
        <v>189</v>
      </c>
      <c r="I15" s="49" t="s">
        <v>9</v>
      </c>
      <c r="J15" s="49"/>
      <c r="K15" s="49"/>
      <c r="L15" s="93">
        <v>0.5</v>
      </c>
      <c r="M15" s="93">
        <f t="shared" si="1"/>
        <v>1</v>
      </c>
      <c r="N15" s="94">
        <v>0</v>
      </c>
      <c r="O15" s="95">
        <v>0.5</v>
      </c>
      <c r="P15" s="96"/>
      <c r="Q15" s="96">
        <f t="shared" si="2"/>
        <v>0</v>
      </c>
    </row>
    <row r="16" spans="1:17">
      <c r="A16" s="49"/>
      <c r="B16" s="49"/>
      <c r="C16" s="49"/>
      <c r="D16" s="49"/>
      <c r="E16" s="49"/>
      <c r="F16" s="49" t="s">
        <v>319</v>
      </c>
      <c r="G16" s="49">
        <v>2</v>
      </c>
      <c r="H16" s="49" t="s">
        <v>189</v>
      </c>
      <c r="I16" s="49" t="s">
        <v>9</v>
      </c>
      <c r="J16" s="49"/>
      <c r="K16" s="49"/>
      <c r="L16" s="93">
        <v>0.26</v>
      </c>
      <c r="M16" s="93">
        <f t="shared" si="1"/>
        <v>0.52</v>
      </c>
      <c r="N16" s="94">
        <v>0</v>
      </c>
      <c r="O16" s="95">
        <v>0.5</v>
      </c>
      <c r="P16" s="96"/>
      <c r="Q16" s="96">
        <f t="shared" si="2"/>
        <v>0</v>
      </c>
    </row>
    <row r="17" spans="1:18">
      <c r="A17" s="49"/>
      <c r="B17" s="49"/>
      <c r="C17" s="49"/>
      <c r="D17" s="49"/>
      <c r="E17" s="49"/>
      <c r="F17" s="49" t="s">
        <v>320</v>
      </c>
      <c r="G17" s="49">
        <v>4</v>
      </c>
      <c r="H17" s="49" t="s">
        <v>189</v>
      </c>
      <c r="I17" s="49" t="s">
        <v>9</v>
      </c>
      <c r="J17" s="49"/>
      <c r="K17" s="49"/>
      <c r="L17" s="93">
        <v>0.4</v>
      </c>
      <c r="M17" s="93">
        <f t="shared" si="1"/>
        <v>1.6</v>
      </c>
      <c r="N17" s="94">
        <v>0</v>
      </c>
      <c r="O17" s="95">
        <v>0.5</v>
      </c>
      <c r="P17" s="96"/>
      <c r="Q17" s="96">
        <f t="shared" si="2"/>
        <v>0</v>
      </c>
    </row>
    <row r="18" spans="1: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93"/>
      <c r="M18" s="93"/>
      <c r="N18" s="94"/>
      <c r="O18" s="95"/>
      <c r="P18" s="96"/>
      <c r="Q18" s="96"/>
    </row>
    <row r="19" spans="1:18">
      <c r="A19" s="49"/>
      <c r="B19" s="49"/>
      <c r="C19" s="49"/>
      <c r="D19" s="49"/>
      <c r="E19" s="49"/>
      <c r="F19" s="74" t="str">
        <f>'Backend data'!G6</f>
        <v>COB 30-36W 3000K 12LED 34-38V 890mA 19x19mm CRI-90</v>
      </c>
      <c r="G19" s="74">
        <v>1</v>
      </c>
      <c r="H19" s="74" t="s">
        <v>243</v>
      </c>
      <c r="I19" s="49" t="s">
        <v>9</v>
      </c>
      <c r="J19" s="49"/>
      <c r="K19" s="49"/>
      <c r="L19" s="124">
        <f t="shared" si="0"/>
        <v>84.825000000000003</v>
      </c>
      <c r="M19" s="124">
        <f t="shared" si="1"/>
        <v>84.825000000000003</v>
      </c>
      <c r="N19" s="125">
        <v>0.65</v>
      </c>
      <c r="O19" s="95">
        <v>0.5</v>
      </c>
      <c r="P19" s="96"/>
      <c r="Q19" s="96">
        <f t="shared" si="2"/>
        <v>0.97500000000000009</v>
      </c>
    </row>
    <row r="20" spans="1:18">
      <c r="A20" s="49"/>
      <c r="B20" s="49"/>
      <c r="C20" s="49"/>
      <c r="D20" s="49"/>
      <c r="E20" s="49"/>
      <c r="F20" s="74" t="str">
        <f>'Backend data'!H6</f>
        <v>PS 12-20W 300mA 36-72V Maxic (PCB LT-MX-20W-V2)</v>
      </c>
      <c r="G20" s="74">
        <v>1</v>
      </c>
      <c r="H20" s="74" t="s">
        <v>189</v>
      </c>
      <c r="I20" s="49" t="s">
        <v>9</v>
      </c>
      <c r="J20" s="49"/>
      <c r="K20" s="49"/>
      <c r="L20" s="93">
        <f t="shared" si="0"/>
        <v>0</v>
      </c>
      <c r="M20" s="93">
        <f t="shared" si="1"/>
        <v>0</v>
      </c>
      <c r="N20" s="97" t="s">
        <v>376</v>
      </c>
    </row>
    <row r="21" spans="1:18" ht="20.25" customHeight="1" thickBot="1">
      <c r="L21" s="99"/>
      <c r="M21" s="98">
        <f>SUM(M2:M20)</f>
        <v>184.22958</v>
      </c>
    </row>
    <row r="22" spans="1:18" ht="15.75" thickTop="1"/>
    <row r="23" spans="1:18" ht="21" customHeight="1">
      <c r="K23" s="104" t="s">
        <v>377</v>
      </c>
      <c r="L23" s="105"/>
      <c r="M23" s="86">
        <f>M21+98</f>
        <v>282.22958</v>
      </c>
    </row>
    <row r="24" spans="1:18" ht="21" customHeight="1">
      <c r="K24" s="104" t="s">
        <v>378</v>
      </c>
      <c r="L24" s="105"/>
      <c r="M24" s="86">
        <f>M21+275</f>
        <v>459.22958</v>
      </c>
      <c r="R24" s="100" t="s">
        <v>383</v>
      </c>
    </row>
    <row r="25" spans="1:18" ht="21" customHeight="1">
      <c r="K25" s="104" t="s">
        <v>379</v>
      </c>
      <c r="L25" s="105"/>
      <c r="M25" s="87">
        <f>((M21)+(Q25*87))</f>
        <v>841.94957999999997</v>
      </c>
      <c r="N25" s="88">
        <v>5.04</v>
      </c>
      <c r="O25" s="89">
        <v>0.5</v>
      </c>
      <c r="P25" s="89"/>
      <c r="Q25" s="90">
        <f>N25+(N25*(O25+P25))</f>
        <v>7.5600000000000005</v>
      </c>
      <c r="R25">
        <f>Q25*87</f>
        <v>657.72</v>
      </c>
    </row>
    <row r="26" spans="1:18" ht="21" customHeight="1">
      <c r="K26" s="104" t="s">
        <v>380</v>
      </c>
      <c r="L26" s="105"/>
      <c r="M26" s="86">
        <f>M21+330</f>
        <v>514.22957999999994</v>
      </c>
    </row>
    <row r="27" spans="1:18" ht="21" customHeight="1">
      <c r="K27" s="104" t="s">
        <v>381</v>
      </c>
      <c r="L27" s="105"/>
      <c r="M27" s="87">
        <f>((M21)+(Q27*87))</f>
        <v>898.7170799999999</v>
      </c>
      <c r="N27" s="88">
        <v>5.4749999999999996</v>
      </c>
      <c r="O27" s="89">
        <v>0.5</v>
      </c>
      <c r="P27" s="89"/>
      <c r="Q27" s="90">
        <f>N27+(N27*(O27+P27))</f>
        <v>8.2124999999999986</v>
      </c>
      <c r="R27">
        <f>Q27*87</f>
        <v>714.48749999999984</v>
      </c>
    </row>
    <row r="28" spans="1:18" ht="21" customHeight="1">
      <c r="K28" s="104" t="s">
        <v>382</v>
      </c>
      <c r="L28" s="105"/>
      <c r="M28" s="86">
        <f>M21+330</f>
        <v>514.22957999999994</v>
      </c>
    </row>
  </sheetData>
  <mergeCells count="12">
    <mergeCell ref="Q4:Q6"/>
    <mergeCell ref="K28:L28"/>
    <mergeCell ref="K23:L23"/>
    <mergeCell ref="K24:L24"/>
    <mergeCell ref="K25:L25"/>
    <mergeCell ref="K26:L26"/>
    <mergeCell ref="K27:L27"/>
    <mergeCell ref="L4:L6"/>
    <mergeCell ref="M4:M6"/>
    <mergeCell ref="N4:N6"/>
    <mergeCell ref="O4:O6"/>
    <mergeCell ref="P4:P6"/>
  </mergeCells>
  <conditionalFormatting sqref="F1 F22:F23 F31:F1048576 F11:F17">
    <cfRule type="containsText" dxfId="14" priority="17" operator="containsText" text="PS-">
      <formula>NOT(ISERROR(SEARCH("PS-",F1)))</formula>
    </cfRule>
    <cfRule type="containsText" dxfId="13" priority="20" operator="containsText" text="COB-">
      <formula>NOT(ISERROR(SEARCH("COB-",F1)))</formula>
    </cfRule>
    <cfRule type="containsText" dxfId="12" priority="22" operator="containsText" text="TRIM">
      <formula>NOT(ISERROR(SEARCH("TRIM",F1)))</formula>
    </cfRule>
  </conditionalFormatting>
  <conditionalFormatting sqref="F1:G1 F22:G23 F31:G31 F11:G17 F40:G1048576 F32:F39">
    <cfRule type="containsText" dxfId="11" priority="16" operator="containsText" text="REFLECTOR">
      <formula>NOT(ISERROR(SEARCH("REFLECTOR",F1)))</formula>
    </cfRule>
  </conditionalFormatting>
  <conditionalFormatting sqref="F3">
    <cfRule type="expression" dxfId="10" priority="13">
      <formula>$J3="CH"</formula>
    </cfRule>
  </conditionalFormatting>
  <conditionalFormatting sqref="F12">
    <cfRule type="expression" dxfId="9" priority="9">
      <formula>$J8="CH"</formula>
    </cfRule>
  </conditionalFormatting>
  <conditionalFormatting sqref="F11">
    <cfRule type="expression" dxfId="8" priority="8">
      <formula>$J9="CH"</formula>
    </cfRule>
  </conditionalFormatting>
  <conditionalFormatting sqref="F13">
    <cfRule type="expression" dxfId="7" priority="7">
      <formula>$J10="CH"</formula>
    </cfRule>
  </conditionalFormatting>
  <conditionalFormatting sqref="F14">
    <cfRule type="expression" dxfId="6" priority="6">
      <formula>$J11="CH"</formula>
    </cfRule>
  </conditionalFormatting>
  <conditionalFormatting sqref="F9:F10">
    <cfRule type="containsText" dxfId="5" priority="3" operator="containsText" text="PS-">
      <formula>NOT(ISERROR(SEARCH("PS-",F9)))</formula>
    </cfRule>
    <cfRule type="containsText" dxfId="4" priority="4" operator="containsText" text="COB-">
      <formula>NOT(ISERROR(SEARCH("COB-",F9)))</formula>
    </cfRule>
    <cfRule type="containsText" dxfId="3" priority="5" operator="containsText" text="TRIM">
      <formula>NOT(ISERROR(SEARCH("TRIM",F9)))</formula>
    </cfRule>
  </conditionalFormatting>
  <conditionalFormatting sqref="F9:F10">
    <cfRule type="containsText" dxfId="2" priority="2" operator="containsText" text="REFLECTOR">
      <formula>NOT(ISERROR(SEARCH("REFLECTOR",F9)))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F22:G23 F31:G31 F1:G1 F40:G1048576 F32:F39</xm:sqref>
        </x14:conditionalFormatting>
        <x14:conditionalFormatting xmlns:xm="http://schemas.microsoft.com/office/excel/2006/main">
          <x14:cfRule type="expression" priority="1" id="{D3720577-ECA1-4C6D-A03B-96FACFD25CC8}">
            <xm:f>$F:$F='G:\Users\Admin\Desktop\[NRRR- 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F9:F10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16" t="s">
        <v>20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8"/>
    </row>
    <row r="6" spans="1:17" ht="12.6" customHeight="1">
      <c r="A6" s="16" t="s">
        <v>21</v>
      </c>
      <c r="B6" s="12" t="s">
        <v>15</v>
      </c>
      <c r="C6" s="13"/>
      <c r="E6" s="116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/>
    </row>
    <row r="7" spans="1:17" ht="12.6" customHeight="1">
      <c r="A7" s="16" t="s">
        <v>22</v>
      </c>
      <c r="B7" s="12" t="s">
        <v>15</v>
      </c>
      <c r="C7" s="13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8"/>
    </row>
    <row r="8" spans="1:17" ht="12.6" customHeight="1">
      <c r="A8" s="16" t="s">
        <v>23</v>
      </c>
      <c r="B8" s="12" t="s">
        <v>15</v>
      </c>
      <c r="C8" s="13"/>
      <c r="E8" s="116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8"/>
    </row>
    <row r="9" spans="1:17" ht="12.95" customHeight="1">
      <c r="A9" s="16" t="s">
        <v>24</v>
      </c>
      <c r="B9" s="12" t="s">
        <v>15</v>
      </c>
      <c r="C9" s="13"/>
      <c r="E9" s="116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</row>
    <row r="20" spans="1:17" ht="25.5">
      <c r="A20" s="16" t="s">
        <v>40</v>
      </c>
      <c r="B20" s="12" t="s">
        <v>15</v>
      </c>
      <c r="C20" s="13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</row>
    <row r="21" spans="1:17">
      <c r="A21" s="16" t="s">
        <v>41</v>
      </c>
      <c r="B21" s="12" t="s">
        <v>15</v>
      </c>
      <c r="C21" s="13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</row>
    <row r="22" spans="1:17">
      <c r="A22" s="6" t="s">
        <v>42</v>
      </c>
      <c r="B22" s="30"/>
      <c r="C22" s="31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Y10" workbookViewId="0">
      <selection activeCell="AB27" sqref="AB27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5.140625" customWidth="1"/>
    <col min="5" max="5" width="10.42578125" bestFit="1" customWidth="1"/>
    <col min="6" max="6" width="5.140625" customWidth="1"/>
    <col min="7" max="7" width="25.140625" customWidth="1"/>
    <col min="8" max="8" width="44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21.140625" style="51" customWidth="1"/>
    <col min="21" max="21" width="1.42578125" customWidth="1"/>
    <col min="22" max="22" width="8.140625" customWidth="1"/>
    <col min="23" max="23" width="58.425781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Item'!$D$2,4,3)</f>
        <v>R12</v>
      </c>
      <c r="D3" s="52" t="str">
        <f>MID('Stock Item'!$D$2,5,2)</f>
        <v>12</v>
      </c>
      <c r="E3" s="63" t="str">
        <f>MID('Stock Item'!$D$2,3,1)</f>
        <v>R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CONCATENATE(C3)</f>
        <v>R12</v>
      </c>
      <c r="G4" s="64" t="str">
        <f>CONCATENATE($G$3,H3,"-")</f>
        <v>30-</v>
      </c>
      <c r="H4" s="51" t="str">
        <f>CONCATENATE(D3,$H$3,"-")</f>
        <v>12-</v>
      </c>
    </row>
    <row r="5" spans="2:9">
      <c r="H5" s="51" t="str">
        <f>CONCATENATE('Stock Item'!D2)</f>
        <v>SRRR12F30</v>
      </c>
    </row>
    <row r="6" spans="2:9" ht="30">
      <c r="B6" s="54" t="s">
        <v>201</v>
      </c>
      <c r="C6" s="58" t="str">
        <f>VLOOKUP($C$3,$B$23:$E$73,2,0)</f>
        <v>Trim-O-85  I-51 H-50mm White SRRR-8-18W</v>
      </c>
      <c r="D6" s="57" t="str">
        <f>VLOOKUP($D$4,G23:$J$101,2,0)</f>
        <v>HS 50x34.5mm (SR-DR-NR-12W)</v>
      </c>
      <c r="E6" s="57" t="e">
        <f>VLOOKUP($E$3,$L$23:$O$73,2,0)</f>
        <v>#N/A</v>
      </c>
      <c r="F6" s="57" t="e">
        <f>VLOOKUP($F$3,$Q$23:$T$73,2,0)</f>
        <v>#N/A</v>
      </c>
      <c r="G6" s="57" t="str">
        <f>VLOOKUP($G$4,$V$23:$Y$73,2,0)</f>
        <v>COB 30-36W 3000K 12LED 34-38V 890mA 19x19mm CRI-90</v>
      </c>
      <c r="H6" s="56" t="str">
        <f>VLOOKUP($H$4,$AA$23:$AD$73,2,0)</f>
        <v>PS 12-20W 300mA 36-72V Maxic (PCB LT-MX-20W-V2)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>
        <f>VLOOKUP($D$4,G23:$J$101,4,0)</f>
        <v>0</v>
      </c>
      <c r="E7" s="57" t="e">
        <f>VLOOKUP($E$3,$L$23:$O$73,4,0)</f>
        <v>#N/A</v>
      </c>
      <c r="F7" s="57" t="e">
        <f>VLOOKUP($F$3,$Q$23:$T$73,4,0)</f>
        <v>#N/A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>
        <f>VLOOKUP($D$4,G23:$J$101,3,0)</f>
        <v>0</v>
      </c>
      <c r="E8" s="57" t="e">
        <f>VLOOKUP($E$3,$L$23:$O$73,3,0)</f>
        <v>#N/A</v>
      </c>
      <c r="F8" s="57" t="e">
        <f>VLOOKUP($F$3,$Q$23:$T$73,3,0)</f>
        <v>#N/A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C10" s="49" t="s">
        <v>244</v>
      </c>
      <c r="H10" s="65" t="s">
        <v>208</v>
      </c>
    </row>
    <row r="19" spans="2:35" ht="13.9" customHeight="1"/>
    <row r="21" spans="2:35">
      <c r="B21" s="122" t="s">
        <v>195</v>
      </c>
      <c r="C21" s="123"/>
      <c r="D21" s="123"/>
      <c r="E21" s="123"/>
      <c r="G21" s="122" t="s">
        <v>204</v>
      </c>
      <c r="H21" s="123"/>
      <c r="I21" s="123"/>
      <c r="J21" s="123"/>
      <c r="L21" s="122" t="s">
        <v>196</v>
      </c>
      <c r="M21" s="123"/>
      <c r="N21" s="123"/>
      <c r="O21" s="123"/>
      <c r="Q21" s="122" t="s">
        <v>197</v>
      </c>
      <c r="R21" s="123"/>
      <c r="S21" s="123"/>
      <c r="T21" s="123"/>
      <c r="V21" s="122" t="s">
        <v>198</v>
      </c>
      <c r="W21" s="123"/>
      <c r="X21" s="123"/>
      <c r="Y21" s="123"/>
      <c r="AA21" s="119" t="s">
        <v>199</v>
      </c>
      <c r="AB21" s="120"/>
      <c r="AC21" s="120"/>
      <c r="AD21" s="121"/>
      <c r="AF21" s="119" t="s">
        <v>205</v>
      </c>
      <c r="AG21" s="120"/>
      <c r="AH21" s="120"/>
      <c r="AI21" s="121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68" t="s">
        <v>218</v>
      </c>
      <c r="C23" s="69" t="s">
        <v>322</v>
      </c>
      <c r="G23" s="69" t="s">
        <v>218</v>
      </c>
      <c r="H23" s="79" t="s">
        <v>313</v>
      </c>
      <c r="M23"/>
      <c r="Q23" s="49"/>
      <c r="R23" s="49"/>
      <c r="V23" s="77" t="s">
        <v>260</v>
      </c>
      <c r="W23" s="78" t="s">
        <v>298</v>
      </c>
      <c r="X23" s="49"/>
      <c r="AA23" s="72" t="s">
        <v>227</v>
      </c>
      <c r="AB23" s="49" t="s">
        <v>307</v>
      </c>
      <c r="AF23" s="60"/>
      <c r="AG23" s="60"/>
    </row>
    <row r="24" spans="2:35">
      <c r="B24" s="68" t="s">
        <v>219</v>
      </c>
      <c r="C24" s="69" t="s">
        <v>323</v>
      </c>
      <c r="G24" s="69" t="s">
        <v>219</v>
      </c>
      <c r="H24" s="79" t="s">
        <v>313</v>
      </c>
      <c r="M24"/>
      <c r="Q24" s="49"/>
      <c r="R24" s="49"/>
      <c r="V24" s="77" t="s">
        <v>206</v>
      </c>
      <c r="W24" s="78" t="s">
        <v>299</v>
      </c>
      <c r="X24" s="49"/>
      <c r="AA24" s="67" t="s">
        <v>245</v>
      </c>
      <c r="AB24" s="49" t="s">
        <v>308</v>
      </c>
      <c r="AF24" s="60"/>
      <c r="AG24" s="60"/>
    </row>
    <row r="25" spans="2:35">
      <c r="B25" s="68" t="s">
        <v>220</v>
      </c>
      <c r="C25" s="69" t="s">
        <v>324</v>
      </c>
      <c r="G25" s="69" t="s">
        <v>220</v>
      </c>
      <c r="H25" s="79" t="s">
        <v>313</v>
      </c>
      <c r="M25"/>
      <c r="V25" s="77" t="s">
        <v>207</v>
      </c>
      <c r="W25" s="78" t="s">
        <v>300</v>
      </c>
      <c r="X25" s="49"/>
      <c r="AA25" s="67" t="s">
        <v>246</v>
      </c>
      <c r="AB25" s="49" t="s">
        <v>309</v>
      </c>
      <c r="AF25" s="49"/>
      <c r="AG25" s="60"/>
    </row>
    <row r="26" spans="2:35">
      <c r="B26" s="70"/>
      <c r="C26" s="70"/>
      <c r="G26" s="71"/>
      <c r="H26" s="71"/>
      <c r="M26"/>
      <c r="V26" s="77" t="s">
        <v>261</v>
      </c>
      <c r="W26" s="78" t="s">
        <v>301</v>
      </c>
      <c r="X26" s="49"/>
      <c r="AA26" s="67" t="s">
        <v>247</v>
      </c>
      <c r="AB26" s="49" t="s">
        <v>310</v>
      </c>
      <c r="AF26" s="49"/>
      <c r="AG26" s="60"/>
    </row>
    <row r="27" spans="2:35">
      <c r="B27" s="68" t="s">
        <v>221</v>
      </c>
      <c r="C27" s="69" t="s">
        <v>322</v>
      </c>
      <c r="G27" s="69" t="s">
        <v>221</v>
      </c>
      <c r="H27" s="68" t="s">
        <v>325</v>
      </c>
      <c r="M27"/>
      <c r="V27" s="77"/>
      <c r="W27" s="78"/>
      <c r="X27" s="49"/>
      <c r="AA27" s="67" t="s">
        <v>248</v>
      </c>
      <c r="AB27" s="49" t="s">
        <v>311</v>
      </c>
    </row>
    <row r="28" spans="2:35">
      <c r="B28" s="68" t="s">
        <v>222</v>
      </c>
      <c r="C28" s="69" t="s">
        <v>323</v>
      </c>
      <c r="G28" s="69" t="s">
        <v>222</v>
      </c>
      <c r="H28" s="68" t="s">
        <v>325</v>
      </c>
      <c r="V28" s="77"/>
      <c r="W28" s="77"/>
      <c r="X28" s="49"/>
      <c r="AA28" s="67" t="s">
        <v>249</v>
      </c>
      <c r="AB28" s="49" t="s">
        <v>312</v>
      </c>
    </row>
    <row r="29" spans="2:35">
      <c r="B29" s="68" t="s">
        <v>223</v>
      </c>
      <c r="C29" s="69" t="s">
        <v>324</v>
      </c>
      <c r="G29" s="69" t="s">
        <v>223</v>
      </c>
      <c r="H29" s="68" t="s">
        <v>325</v>
      </c>
      <c r="V29" s="77" t="s">
        <v>262</v>
      </c>
      <c r="W29" s="78" t="s">
        <v>298</v>
      </c>
      <c r="X29" s="49"/>
      <c r="AB29"/>
    </row>
    <row r="30" spans="2:35">
      <c r="B30" s="70"/>
      <c r="C30" s="70"/>
      <c r="G30" s="71"/>
      <c r="H30" s="71"/>
      <c r="V30" s="77" t="s">
        <v>209</v>
      </c>
      <c r="W30" s="78" t="s">
        <v>299</v>
      </c>
      <c r="X30" s="49"/>
      <c r="AA30" s="67" t="s">
        <v>228</v>
      </c>
      <c r="AB30" s="60" t="s">
        <v>229</v>
      </c>
    </row>
    <row r="31" spans="2:35">
      <c r="B31" s="68" t="s">
        <v>224</v>
      </c>
      <c r="C31" s="69" t="s">
        <v>322</v>
      </c>
      <c r="G31" s="69" t="s">
        <v>224</v>
      </c>
      <c r="H31" s="68" t="s">
        <v>326</v>
      </c>
      <c r="V31" s="77" t="s">
        <v>210</v>
      </c>
      <c r="W31" s="78" t="s">
        <v>300</v>
      </c>
      <c r="X31" s="49"/>
      <c r="AA31" s="67" t="s">
        <v>250</v>
      </c>
      <c r="AB31" s="60" t="s">
        <v>230</v>
      </c>
    </row>
    <row r="32" spans="2:35">
      <c r="B32" s="68" t="s">
        <v>225</v>
      </c>
      <c r="C32" s="69" t="s">
        <v>323</v>
      </c>
      <c r="G32" s="69" t="s">
        <v>225</v>
      </c>
      <c r="H32" s="68" t="s">
        <v>326</v>
      </c>
      <c r="V32" s="77" t="s">
        <v>263</v>
      </c>
      <c r="W32" s="78" t="s">
        <v>301</v>
      </c>
      <c r="X32" s="49"/>
      <c r="AA32" s="67" t="s">
        <v>251</v>
      </c>
      <c r="AB32" s="60" t="s">
        <v>231</v>
      </c>
    </row>
    <row r="33" spans="2:28">
      <c r="B33" s="68" t="s">
        <v>226</v>
      </c>
      <c r="C33" s="69" t="s">
        <v>324</v>
      </c>
      <c r="G33" s="69" t="s">
        <v>226</v>
      </c>
      <c r="H33" s="68" t="s">
        <v>326</v>
      </c>
      <c r="V33" s="77"/>
      <c r="W33" s="78"/>
      <c r="X33" s="60" t="s">
        <v>217</v>
      </c>
      <c r="AA33" s="67" t="s">
        <v>252</v>
      </c>
      <c r="AB33" s="60" t="s">
        <v>232</v>
      </c>
    </row>
    <row r="34" spans="2:28">
      <c r="V34" s="77"/>
      <c r="W34" s="77"/>
      <c r="X34" s="49"/>
      <c r="AA34" s="67" t="s">
        <v>253</v>
      </c>
      <c r="AB34" s="60" t="s">
        <v>233</v>
      </c>
    </row>
    <row r="35" spans="2:28">
      <c r="V35" s="77" t="s">
        <v>264</v>
      </c>
      <c r="W35" s="78" t="s">
        <v>298</v>
      </c>
      <c r="X35" s="49"/>
      <c r="AA35" s="67" t="s">
        <v>254</v>
      </c>
      <c r="AB35" s="60" t="s">
        <v>234</v>
      </c>
    </row>
    <row r="36" spans="2:28">
      <c r="V36" s="77" t="s">
        <v>211</v>
      </c>
      <c r="W36" s="78" t="s">
        <v>299</v>
      </c>
      <c r="X36" s="49"/>
      <c r="AB36"/>
    </row>
    <row r="37" spans="2:28">
      <c r="V37" s="77" t="s">
        <v>212</v>
      </c>
      <c r="W37" s="78" t="s">
        <v>300</v>
      </c>
      <c r="AA37" s="67" t="s">
        <v>235</v>
      </c>
      <c r="AB37" s="60" t="s">
        <v>236</v>
      </c>
    </row>
    <row r="38" spans="2:28">
      <c r="V38" s="77" t="s">
        <v>265</v>
      </c>
      <c r="W38" s="78" t="s">
        <v>301</v>
      </c>
      <c r="X38" s="49"/>
      <c r="AA38" s="67" t="s">
        <v>255</v>
      </c>
      <c r="AB38" s="60" t="s">
        <v>237</v>
      </c>
    </row>
    <row r="39" spans="2:28">
      <c r="V39" s="77" t="s">
        <v>215</v>
      </c>
      <c r="W39" s="78" t="s">
        <v>302</v>
      </c>
      <c r="X39" s="49"/>
      <c r="AA39" s="67" t="s">
        <v>256</v>
      </c>
      <c r="AB39" s="60" t="s">
        <v>238</v>
      </c>
    </row>
    <row r="40" spans="2:28">
      <c r="X40" s="49"/>
      <c r="AA40" s="67" t="s">
        <v>257</v>
      </c>
      <c r="AB40" s="60" t="s">
        <v>239</v>
      </c>
    </row>
    <row r="41" spans="2:28">
      <c r="V41" s="49"/>
      <c r="W41" s="49"/>
      <c r="X41" s="49"/>
      <c r="AA41" s="67" t="s">
        <v>258</v>
      </c>
      <c r="AB41" s="60" t="s">
        <v>240</v>
      </c>
    </row>
    <row r="42" spans="2:28">
      <c r="V42" s="77" t="s">
        <v>266</v>
      </c>
      <c r="W42" s="78" t="s">
        <v>298</v>
      </c>
      <c r="AA42" s="67" t="s">
        <v>259</v>
      </c>
      <c r="AB42" s="60" t="s">
        <v>241</v>
      </c>
    </row>
    <row r="43" spans="2:28">
      <c r="V43" s="77" t="s">
        <v>213</v>
      </c>
      <c r="W43" s="78" t="s">
        <v>299</v>
      </c>
      <c r="AB43"/>
    </row>
    <row r="44" spans="2:28">
      <c r="V44" s="77" t="s">
        <v>214</v>
      </c>
      <c r="W44" s="78" t="s">
        <v>300</v>
      </c>
      <c r="AB44"/>
    </row>
    <row r="45" spans="2:28">
      <c r="V45" s="77" t="s">
        <v>267</v>
      </c>
      <c r="W45" s="78" t="s">
        <v>301</v>
      </c>
      <c r="AB45"/>
    </row>
    <row r="46" spans="2:28">
      <c r="V46" s="60" t="s">
        <v>216</v>
      </c>
      <c r="W46" s="78" t="s">
        <v>302</v>
      </c>
      <c r="AB46"/>
    </row>
    <row r="47" spans="2:28">
      <c r="AB47"/>
    </row>
    <row r="48" spans="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>
      <selection activeCell="B7" sqref="B7"/>
    </sheetView>
  </sheetViews>
  <sheetFormatPr defaultRowHeight="15"/>
  <cols>
    <col min="1" max="12" width="9.140625" style="76"/>
    <col min="13" max="13" width="9.140625" style="76" customWidth="1"/>
    <col min="14" max="16384" width="9.140625" style="76"/>
  </cols>
  <sheetData>
    <row r="1" spans="1:15">
      <c r="A1" s="76" t="s">
        <v>268</v>
      </c>
      <c r="B1" s="76" t="s">
        <v>269</v>
      </c>
      <c r="C1" s="76" t="s">
        <v>270</v>
      </c>
      <c r="D1" s="76" t="s">
        <v>271</v>
      </c>
      <c r="E1" s="76" t="s">
        <v>272</v>
      </c>
      <c r="F1" s="76" t="s">
        <v>273</v>
      </c>
      <c r="G1" s="76" t="s">
        <v>274</v>
      </c>
      <c r="H1" s="76" t="s">
        <v>275</v>
      </c>
      <c r="I1" s="76" t="s">
        <v>276</v>
      </c>
      <c r="J1" s="76" t="s">
        <v>277</v>
      </c>
      <c r="K1" s="76" t="s">
        <v>278</v>
      </c>
      <c r="L1" s="76" t="s">
        <v>279</v>
      </c>
      <c r="M1" s="76" t="s">
        <v>280</v>
      </c>
      <c r="N1" s="76" t="s">
        <v>281</v>
      </c>
      <c r="O1" s="76" t="s">
        <v>282</v>
      </c>
    </row>
    <row r="2" spans="1:15">
      <c r="A2" s="76">
        <v>202660</v>
      </c>
      <c r="B2" s="76" t="s">
        <v>329</v>
      </c>
      <c r="D2" s="76">
        <v>0</v>
      </c>
      <c r="E2" s="76">
        <v>0</v>
      </c>
      <c r="F2" s="76">
        <v>0</v>
      </c>
      <c r="G2" s="76">
        <v>0</v>
      </c>
      <c r="H2" s="76">
        <v>0</v>
      </c>
      <c r="I2" s="76">
        <v>0</v>
      </c>
      <c r="J2" s="76">
        <v>0</v>
      </c>
      <c r="K2" s="76" t="s">
        <v>283</v>
      </c>
      <c r="L2" s="76" t="s">
        <v>284</v>
      </c>
      <c r="M2" s="76" t="s">
        <v>285</v>
      </c>
      <c r="N2" s="76" t="s">
        <v>286</v>
      </c>
      <c r="O2" s="76" t="s">
        <v>287</v>
      </c>
    </row>
    <row r="3" spans="1:15">
      <c r="A3" s="76">
        <v>202661</v>
      </c>
      <c r="B3" s="76" t="s">
        <v>330</v>
      </c>
      <c r="D3" s="76">
        <v>0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0</v>
      </c>
      <c r="K3" s="76" t="s">
        <v>283</v>
      </c>
      <c r="L3" s="76" t="s">
        <v>284</v>
      </c>
      <c r="M3" s="76" t="s">
        <v>288</v>
      </c>
      <c r="N3" s="76" t="s">
        <v>286</v>
      </c>
      <c r="O3" s="76" t="s">
        <v>287</v>
      </c>
    </row>
    <row r="4" spans="1:15">
      <c r="A4" s="76">
        <v>202662</v>
      </c>
      <c r="B4" s="76" t="s">
        <v>331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 t="s">
        <v>283</v>
      </c>
      <c r="L4" s="76" t="s">
        <v>284</v>
      </c>
      <c r="M4" s="76" t="s">
        <v>289</v>
      </c>
      <c r="N4" s="76" t="s">
        <v>286</v>
      </c>
      <c r="O4" s="76" t="s">
        <v>287</v>
      </c>
    </row>
    <row r="5" spans="1:15">
      <c r="A5" s="76">
        <v>202672</v>
      </c>
      <c r="B5" s="76" t="s">
        <v>332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 t="s">
        <v>290</v>
      </c>
      <c r="L5" s="76" t="s">
        <v>284</v>
      </c>
      <c r="M5" s="76" t="s">
        <v>285</v>
      </c>
      <c r="N5" s="76" t="s">
        <v>286</v>
      </c>
      <c r="O5" s="76" t="s">
        <v>287</v>
      </c>
    </row>
    <row r="6" spans="1:15">
      <c r="A6" s="76">
        <v>202673</v>
      </c>
      <c r="B6" s="76" t="s">
        <v>333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290</v>
      </c>
      <c r="L6" s="76" t="s">
        <v>284</v>
      </c>
      <c r="M6" s="76" t="s">
        <v>288</v>
      </c>
      <c r="N6" s="76" t="s">
        <v>286</v>
      </c>
      <c r="O6" s="76" t="s">
        <v>287</v>
      </c>
    </row>
    <row r="7" spans="1:15">
      <c r="A7" s="76">
        <v>202674</v>
      </c>
      <c r="B7" s="76" t="s">
        <v>334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290</v>
      </c>
      <c r="L7" s="76" t="s">
        <v>284</v>
      </c>
      <c r="M7" s="76" t="s">
        <v>289</v>
      </c>
      <c r="N7" s="76" t="s">
        <v>286</v>
      </c>
      <c r="O7" s="76" t="s">
        <v>287</v>
      </c>
    </row>
    <row r="8" spans="1:15">
      <c r="A8" s="76">
        <v>202684</v>
      </c>
      <c r="B8" s="76" t="s">
        <v>335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291</v>
      </c>
      <c r="L8" s="76" t="s">
        <v>284</v>
      </c>
      <c r="M8" s="76" t="s">
        <v>285</v>
      </c>
      <c r="N8" s="76" t="s">
        <v>286</v>
      </c>
      <c r="O8" s="76" t="s">
        <v>287</v>
      </c>
    </row>
    <row r="9" spans="1:15">
      <c r="A9" s="76">
        <v>202685</v>
      </c>
      <c r="B9" s="76" t="s">
        <v>336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291</v>
      </c>
      <c r="L9" s="76" t="s">
        <v>284</v>
      </c>
      <c r="M9" s="76" t="s">
        <v>288</v>
      </c>
      <c r="N9" s="76" t="s">
        <v>286</v>
      </c>
      <c r="O9" s="76" t="s">
        <v>287</v>
      </c>
    </row>
    <row r="10" spans="1:15">
      <c r="A10" s="76">
        <v>202686</v>
      </c>
      <c r="B10" s="76" t="s">
        <v>337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291</v>
      </c>
      <c r="L10" s="76" t="s">
        <v>284</v>
      </c>
      <c r="M10" s="76" t="s">
        <v>289</v>
      </c>
      <c r="N10" s="76" t="s">
        <v>286</v>
      </c>
      <c r="O10" s="76" t="s">
        <v>287</v>
      </c>
    </row>
    <row r="11" spans="1:15">
      <c r="A11" s="76">
        <v>202696</v>
      </c>
      <c r="B11" s="76" t="s">
        <v>338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283</v>
      </c>
      <c r="L11" s="76" t="s">
        <v>284</v>
      </c>
      <c r="M11" s="76" t="s">
        <v>285</v>
      </c>
      <c r="N11" s="76" t="s">
        <v>292</v>
      </c>
      <c r="O11" s="76" t="s">
        <v>287</v>
      </c>
    </row>
    <row r="12" spans="1:15">
      <c r="A12" s="76">
        <v>202697</v>
      </c>
      <c r="B12" s="76" t="s">
        <v>339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283</v>
      </c>
      <c r="L12" s="76" t="s">
        <v>284</v>
      </c>
      <c r="M12" s="76" t="s">
        <v>288</v>
      </c>
      <c r="N12" s="76" t="s">
        <v>292</v>
      </c>
      <c r="O12" s="76" t="s">
        <v>287</v>
      </c>
    </row>
    <row r="13" spans="1:15">
      <c r="A13" s="76">
        <v>202698</v>
      </c>
      <c r="B13" s="76" t="s">
        <v>340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283</v>
      </c>
      <c r="L13" s="76" t="s">
        <v>284</v>
      </c>
      <c r="M13" s="76" t="s">
        <v>289</v>
      </c>
      <c r="N13" s="76" t="s">
        <v>292</v>
      </c>
      <c r="O13" s="76" t="s">
        <v>287</v>
      </c>
    </row>
    <row r="14" spans="1:15">
      <c r="A14" s="76">
        <v>202708</v>
      </c>
      <c r="B14" s="76" t="s">
        <v>341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 t="s">
        <v>290</v>
      </c>
      <c r="L14" s="76" t="s">
        <v>284</v>
      </c>
      <c r="M14" s="76" t="s">
        <v>285</v>
      </c>
      <c r="N14" s="76" t="s">
        <v>292</v>
      </c>
      <c r="O14" s="76" t="s">
        <v>287</v>
      </c>
    </row>
    <row r="15" spans="1:15">
      <c r="A15" s="76">
        <v>202709</v>
      </c>
      <c r="B15" s="76" t="s">
        <v>342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 t="s">
        <v>290</v>
      </c>
      <c r="L15" s="76" t="s">
        <v>284</v>
      </c>
      <c r="M15" s="76" t="s">
        <v>288</v>
      </c>
      <c r="N15" s="76" t="s">
        <v>292</v>
      </c>
      <c r="O15" s="76" t="s">
        <v>287</v>
      </c>
    </row>
    <row r="16" spans="1:15">
      <c r="A16" s="76">
        <v>202710</v>
      </c>
      <c r="B16" s="76" t="s">
        <v>343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 t="s">
        <v>290</v>
      </c>
      <c r="L16" s="76" t="s">
        <v>284</v>
      </c>
      <c r="M16" s="76" t="s">
        <v>289</v>
      </c>
      <c r="N16" s="76" t="s">
        <v>292</v>
      </c>
      <c r="O16" s="76" t="s">
        <v>287</v>
      </c>
    </row>
    <row r="17" spans="1:15">
      <c r="A17" s="76">
        <v>202720</v>
      </c>
      <c r="B17" s="76" t="s">
        <v>344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 t="s">
        <v>291</v>
      </c>
      <c r="L17" s="76" t="s">
        <v>284</v>
      </c>
      <c r="M17" s="76" t="s">
        <v>285</v>
      </c>
      <c r="N17" s="76" t="s">
        <v>292</v>
      </c>
      <c r="O17" s="76" t="s">
        <v>287</v>
      </c>
    </row>
    <row r="18" spans="1:15">
      <c r="A18" s="76">
        <v>202721</v>
      </c>
      <c r="B18" s="76" t="s">
        <v>345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 t="s">
        <v>291</v>
      </c>
      <c r="L18" s="76" t="s">
        <v>284</v>
      </c>
      <c r="M18" s="76" t="s">
        <v>288</v>
      </c>
      <c r="N18" s="76" t="s">
        <v>292</v>
      </c>
      <c r="O18" s="76" t="s">
        <v>287</v>
      </c>
    </row>
    <row r="19" spans="1:15">
      <c r="A19" s="76">
        <v>202722</v>
      </c>
      <c r="B19" s="76" t="s">
        <v>346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 t="s">
        <v>291</v>
      </c>
      <c r="L19" s="76" t="s">
        <v>284</v>
      </c>
      <c r="M19" s="76" t="s">
        <v>289</v>
      </c>
      <c r="N19" s="76" t="s">
        <v>292</v>
      </c>
      <c r="O19" s="76" t="s">
        <v>287</v>
      </c>
    </row>
    <row r="20" spans="1:15">
      <c r="A20" s="76">
        <v>202732</v>
      </c>
      <c r="B20" s="76" t="s">
        <v>347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 t="s">
        <v>283</v>
      </c>
      <c r="L20" s="76" t="s">
        <v>284</v>
      </c>
      <c r="M20" s="76" t="s">
        <v>285</v>
      </c>
      <c r="N20" s="76" t="s">
        <v>293</v>
      </c>
      <c r="O20" s="76" t="s">
        <v>287</v>
      </c>
    </row>
    <row r="21" spans="1:15">
      <c r="A21" s="76">
        <v>202733</v>
      </c>
      <c r="B21" s="76" t="s">
        <v>348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 t="s">
        <v>283</v>
      </c>
      <c r="L21" s="76" t="s">
        <v>284</v>
      </c>
      <c r="M21" s="76" t="s">
        <v>288</v>
      </c>
      <c r="N21" s="76" t="s">
        <v>293</v>
      </c>
      <c r="O21" s="76" t="s">
        <v>287</v>
      </c>
    </row>
    <row r="22" spans="1:15">
      <c r="A22" s="76">
        <v>202734</v>
      </c>
      <c r="B22" s="76" t="s">
        <v>349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 t="s">
        <v>283</v>
      </c>
      <c r="L22" s="76" t="s">
        <v>284</v>
      </c>
      <c r="M22" s="76" t="s">
        <v>289</v>
      </c>
      <c r="N22" s="76" t="s">
        <v>293</v>
      </c>
      <c r="O22" s="76" t="s">
        <v>287</v>
      </c>
    </row>
    <row r="23" spans="1:15">
      <c r="A23" s="76">
        <v>202744</v>
      </c>
      <c r="B23" s="76" t="s">
        <v>350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 t="s">
        <v>290</v>
      </c>
      <c r="L23" s="76" t="s">
        <v>284</v>
      </c>
      <c r="M23" s="76" t="s">
        <v>285</v>
      </c>
      <c r="N23" s="76" t="s">
        <v>293</v>
      </c>
      <c r="O23" s="76" t="s">
        <v>287</v>
      </c>
    </row>
    <row r="24" spans="1:15">
      <c r="A24" s="76">
        <v>202745</v>
      </c>
      <c r="B24" s="76" t="s">
        <v>351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 t="s">
        <v>290</v>
      </c>
      <c r="L24" s="76" t="s">
        <v>284</v>
      </c>
      <c r="M24" s="76" t="s">
        <v>288</v>
      </c>
      <c r="N24" s="76" t="s">
        <v>293</v>
      </c>
      <c r="O24" s="76" t="s">
        <v>287</v>
      </c>
    </row>
    <row r="25" spans="1:15">
      <c r="A25" s="76">
        <v>202746</v>
      </c>
      <c r="B25" s="76" t="s">
        <v>352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 t="s">
        <v>290</v>
      </c>
      <c r="L25" s="76" t="s">
        <v>284</v>
      </c>
      <c r="M25" s="76" t="s">
        <v>289</v>
      </c>
      <c r="N25" s="76" t="s">
        <v>293</v>
      </c>
      <c r="O25" s="76" t="s">
        <v>287</v>
      </c>
    </row>
    <row r="26" spans="1:15">
      <c r="A26" s="76">
        <v>202756</v>
      </c>
      <c r="B26" s="76" t="s">
        <v>353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 t="s">
        <v>291</v>
      </c>
      <c r="L26" s="76" t="s">
        <v>284</v>
      </c>
      <c r="M26" s="76" t="s">
        <v>285</v>
      </c>
      <c r="N26" s="76" t="s">
        <v>293</v>
      </c>
      <c r="O26" s="76" t="s">
        <v>287</v>
      </c>
    </row>
    <row r="27" spans="1:15">
      <c r="A27" s="76">
        <v>202757</v>
      </c>
      <c r="B27" s="76" t="s">
        <v>354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 t="s">
        <v>291</v>
      </c>
      <c r="L27" s="76" t="s">
        <v>284</v>
      </c>
      <c r="M27" s="76" t="s">
        <v>288</v>
      </c>
      <c r="N27" s="76" t="s">
        <v>293</v>
      </c>
      <c r="O27" s="76" t="s">
        <v>287</v>
      </c>
    </row>
    <row r="28" spans="1:15">
      <c r="A28" s="76">
        <v>202758</v>
      </c>
      <c r="B28" s="76" t="s">
        <v>355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 t="s">
        <v>291</v>
      </c>
      <c r="L28" s="76" t="s">
        <v>284</v>
      </c>
      <c r="M28" s="76" t="s">
        <v>289</v>
      </c>
      <c r="N28" s="76" t="s">
        <v>293</v>
      </c>
      <c r="O28" s="76" t="s">
        <v>287</v>
      </c>
    </row>
    <row r="29" spans="1:15">
      <c r="A29" s="76">
        <v>202771</v>
      </c>
      <c r="B29" s="76" t="s">
        <v>356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 t="s">
        <v>283</v>
      </c>
      <c r="L29" s="76" t="s">
        <v>284</v>
      </c>
      <c r="M29" s="76" t="s">
        <v>294</v>
      </c>
      <c r="N29" s="76" t="s">
        <v>295</v>
      </c>
      <c r="O29" s="76" t="s">
        <v>287</v>
      </c>
    </row>
    <row r="30" spans="1:15">
      <c r="A30" s="76">
        <v>202783</v>
      </c>
      <c r="B30" s="76" t="s">
        <v>357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 t="s">
        <v>290</v>
      </c>
      <c r="L30" s="76" t="s">
        <v>284</v>
      </c>
      <c r="M30" s="76" t="s">
        <v>294</v>
      </c>
      <c r="N30" s="76" t="s">
        <v>295</v>
      </c>
      <c r="O30" s="76" t="s">
        <v>287</v>
      </c>
    </row>
    <row r="31" spans="1:15">
      <c r="A31" s="76">
        <v>202795</v>
      </c>
      <c r="B31" s="76" t="s">
        <v>358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 t="s">
        <v>291</v>
      </c>
      <c r="L31" s="76" t="s">
        <v>284</v>
      </c>
      <c r="M31" s="76" t="s">
        <v>294</v>
      </c>
      <c r="N31" s="76" t="s">
        <v>295</v>
      </c>
      <c r="O31" s="76" t="s">
        <v>287</v>
      </c>
    </row>
    <row r="32" spans="1:15">
      <c r="A32" s="76">
        <v>202804</v>
      </c>
      <c r="B32" s="76" t="s">
        <v>359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 t="s">
        <v>283</v>
      </c>
      <c r="L32" s="76" t="s">
        <v>284</v>
      </c>
      <c r="M32" s="76" t="s">
        <v>285</v>
      </c>
      <c r="N32" s="76" t="s">
        <v>296</v>
      </c>
      <c r="O32" s="76" t="s">
        <v>287</v>
      </c>
    </row>
    <row r="33" spans="1:15">
      <c r="A33" s="76">
        <v>202805</v>
      </c>
      <c r="B33" s="76" t="s">
        <v>360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 t="s">
        <v>283</v>
      </c>
      <c r="L33" s="76" t="s">
        <v>284</v>
      </c>
      <c r="M33" s="76" t="s">
        <v>288</v>
      </c>
      <c r="N33" s="76" t="s">
        <v>296</v>
      </c>
      <c r="O33" s="76" t="s">
        <v>287</v>
      </c>
    </row>
    <row r="34" spans="1:15">
      <c r="A34" s="76">
        <v>202806</v>
      </c>
      <c r="B34" s="76" t="s">
        <v>361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 t="s">
        <v>283</v>
      </c>
      <c r="L34" s="76" t="s">
        <v>284</v>
      </c>
      <c r="M34" s="76" t="s">
        <v>289</v>
      </c>
      <c r="N34" s="76" t="s">
        <v>296</v>
      </c>
      <c r="O34" s="76" t="s">
        <v>287</v>
      </c>
    </row>
    <row r="35" spans="1:15">
      <c r="A35" s="76">
        <v>202816</v>
      </c>
      <c r="B35" s="76" t="s">
        <v>362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 t="s">
        <v>290</v>
      </c>
      <c r="L35" s="76" t="s">
        <v>284</v>
      </c>
      <c r="M35" s="76" t="s">
        <v>285</v>
      </c>
      <c r="N35" s="76" t="s">
        <v>296</v>
      </c>
      <c r="O35" s="76" t="s">
        <v>287</v>
      </c>
    </row>
    <row r="36" spans="1:15">
      <c r="A36" s="76">
        <v>202817</v>
      </c>
      <c r="B36" s="76" t="s">
        <v>363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 t="s">
        <v>290</v>
      </c>
      <c r="L36" s="76" t="s">
        <v>284</v>
      </c>
      <c r="M36" s="76" t="s">
        <v>288</v>
      </c>
      <c r="N36" s="76" t="s">
        <v>296</v>
      </c>
      <c r="O36" s="76" t="s">
        <v>287</v>
      </c>
    </row>
    <row r="37" spans="1:15">
      <c r="A37" s="76">
        <v>202818</v>
      </c>
      <c r="B37" s="76" t="s">
        <v>364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 t="s">
        <v>290</v>
      </c>
      <c r="L37" s="76" t="s">
        <v>284</v>
      </c>
      <c r="M37" s="76" t="s">
        <v>289</v>
      </c>
      <c r="N37" s="76" t="s">
        <v>296</v>
      </c>
      <c r="O37" s="76" t="s">
        <v>287</v>
      </c>
    </row>
    <row r="38" spans="1:15">
      <c r="A38" s="76">
        <v>202828</v>
      </c>
      <c r="B38" s="76" t="s">
        <v>365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 t="s">
        <v>291</v>
      </c>
      <c r="L38" s="76" t="s">
        <v>284</v>
      </c>
      <c r="M38" s="76" t="s">
        <v>285</v>
      </c>
      <c r="N38" s="76" t="s">
        <v>296</v>
      </c>
      <c r="O38" s="76" t="s">
        <v>287</v>
      </c>
    </row>
    <row r="39" spans="1:15">
      <c r="A39" s="76">
        <v>202829</v>
      </c>
      <c r="B39" s="76" t="s">
        <v>366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 t="s">
        <v>291</v>
      </c>
      <c r="L39" s="76" t="s">
        <v>284</v>
      </c>
      <c r="M39" s="76" t="s">
        <v>288</v>
      </c>
      <c r="N39" s="76" t="s">
        <v>296</v>
      </c>
      <c r="O39" s="76" t="s">
        <v>287</v>
      </c>
    </row>
    <row r="40" spans="1:15">
      <c r="A40" s="76">
        <v>202830</v>
      </c>
      <c r="B40" s="76" t="s">
        <v>367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 t="s">
        <v>291</v>
      </c>
      <c r="L40" s="76" t="s">
        <v>284</v>
      </c>
      <c r="M40" s="76" t="s">
        <v>289</v>
      </c>
      <c r="N40" s="76" t="s">
        <v>296</v>
      </c>
      <c r="O40" s="76" t="s">
        <v>287</v>
      </c>
    </row>
    <row r="41" spans="1:15">
      <c r="A41" s="76">
        <v>202843</v>
      </c>
      <c r="B41" s="76" t="s">
        <v>368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 t="s">
        <v>283</v>
      </c>
      <c r="L41" s="76" t="s">
        <v>284</v>
      </c>
      <c r="M41" s="76" t="s">
        <v>294</v>
      </c>
      <c r="N41" s="76" t="s">
        <v>297</v>
      </c>
      <c r="O41" s="76" t="s">
        <v>287</v>
      </c>
    </row>
    <row r="42" spans="1:15">
      <c r="A42" s="76">
        <v>202855</v>
      </c>
      <c r="B42" s="76" t="s">
        <v>369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 t="s">
        <v>290</v>
      </c>
      <c r="L42" s="76" t="s">
        <v>284</v>
      </c>
      <c r="M42" s="76" t="s">
        <v>294</v>
      </c>
      <c r="N42" s="76" t="s">
        <v>297</v>
      </c>
      <c r="O42" s="76" t="s">
        <v>287</v>
      </c>
    </row>
    <row r="43" spans="1:15">
      <c r="A43" s="76">
        <v>202867</v>
      </c>
      <c r="B43" s="76" t="s">
        <v>370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 t="s">
        <v>291</v>
      </c>
      <c r="L43" s="76" t="s">
        <v>284</v>
      </c>
      <c r="M43" s="76" t="s">
        <v>294</v>
      </c>
      <c r="N43" s="76" t="s">
        <v>297</v>
      </c>
      <c r="O43" s="76" t="s">
        <v>287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2025-03-31T06:12:25Z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
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60" windowHeight="7770" tabRatio="597"/>
  </bookViews>
  <sheets>
    <sheet name="Stock Item" sheetId="23" r:id="rId1"/>
    <sheet name="Stock Item (Read Me)" sheetId="10" state="hidden" r:id="rId2"/>
    <sheet name="Backend data" sheetId="24" r:id="rId3"/>
    <sheet name="SRD20-30W-SKU" sheetId="26" r:id="rId4"/>
  </sheets>
  <calcPr calcId="144525"/>
</workbook>
</file>

<file path=xl/calcChain.xml><?xml version="1.0" encoding="utf-8"?>
<calcChain xmlns="http://schemas.openxmlformats.org/spreadsheetml/2006/main">
  <c r="R28" i="23" l="1"/>
  <c r="Q28" i="23"/>
  <c r="Q26" i="23"/>
  <c r="R26" i="23" s="1"/>
  <c r="L19" i="23" l="1"/>
  <c r="M19" i="23" s="1"/>
  <c r="M18" i="23"/>
  <c r="M17" i="23"/>
  <c r="M16" i="23"/>
  <c r="M15" i="23"/>
  <c r="M14" i="23"/>
  <c r="M13" i="23"/>
  <c r="M12" i="23"/>
  <c r="M11" i="23"/>
  <c r="M9" i="23"/>
  <c r="L7" i="23"/>
  <c r="M7" i="23" s="1"/>
  <c r="L3" i="23"/>
  <c r="M3" i="23" s="1"/>
  <c r="L2" i="23"/>
  <c r="M2" i="23" s="1"/>
  <c r="Q20" i="23"/>
  <c r="L20" i="23" s="1"/>
  <c r="M20" i="23" s="1"/>
  <c r="Q19" i="23"/>
  <c r="Q18" i="23"/>
  <c r="Q17" i="23"/>
  <c r="Q16" i="23"/>
  <c r="Q15" i="23"/>
  <c r="Q14" i="23"/>
  <c r="Q13" i="23"/>
  <c r="Q12" i="23"/>
  <c r="Q11" i="23"/>
  <c r="Q10" i="23"/>
  <c r="L10" i="23" s="1"/>
  <c r="M10" i="23" s="1"/>
  <c r="Q9" i="23"/>
  <c r="Q8" i="23"/>
  <c r="L8" i="23" s="1"/>
  <c r="M8" i="23" s="1"/>
  <c r="Q7" i="23"/>
  <c r="Q5" i="23"/>
  <c r="L5" i="23" s="1"/>
  <c r="M5" i="23" s="1"/>
  <c r="Q4" i="23"/>
  <c r="L4" i="23" s="1"/>
  <c r="M4" i="23" s="1"/>
  <c r="Q3" i="23"/>
  <c r="Q2" i="23"/>
  <c r="M22" i="23" l="1"/>
  <c r="U73" i="26"/>
  <c r="T73" i="26"/>
  <c r="S73" i="26"/>
  <c r="R73" i="26"/>
  <c r="Q73" i="26"/>
  <c r="C73" i="26"/>
  <c r="U72" i="26"/>
  <c r="T72" i="26"/>
  <c r="S72" i="26"/>
  <c r="R72" i="26"/>
  <c r="Q72" i="26"/>
  <c r="C72" i="26"/>
  <c r="U71" i="26"/>
  <c r="T71" i="26"/>
  <c r="S71" i="26"/>
  <c r="R71" i="26"/>
  <c r="Q71" i="26"/>
  <c r="C71" i="26"/>
  <c r="U70" i="26"/>
  <c r="T70" i="26"/>
  <c r="S70" i="26"/>
  <c r="R70" i="26"/>
  <c r="Q70" i="26"/>
  <c r="C70" i="26"/>
  <c r="U69" i="26"/>
  <c r="T69" i="26"/>
  <c r="S69" i="26"/>
  <c r="R69" i="26"/>
  <c r="Q69" i="26"/>
  <c r="C69" i="26"/>
  <c r="U68" i="26"/>
  <c r="T68" i="26"/>
  <c r="S68" i="26"/>
  <c r="R68" i="26"/>
  <c r="Q68" i="26"/>
  <c r="C68" i="26"/>
  <c r="U67" i="26"/>
  <c r="T67" i="26"/>
  <c r="S67" i="26"/>
  <c r="R67" i="26"/>
  <c r="Q67" i="26"/>
  <c r="C67" i="26"/>
  <c r="U66" i="26"/>
  <c r="T66" i="26"/>
  <c r="S66" i="26"/>
  <c r="R66" i="26"/>
  <c r="Q66" i="26"/>
  <c r="C66" i="26"/>
  <c r="U65" i="26"/>
  <c r="T65" i="26"/>
  <c r="S65" i="26"/>
  <c r="R65" i="26"/>
  <c r="Q65" i="26"/>
  <c r="C65" i="26"/>
  <c r="U64" i="26"/>
  <c r="T64" i="26"/>
  <c r="S64" i="26"/>
  <c r="R64" i="26"/>
  <c r="Q64" i="26"/>
  <c r="C64" i="26"/>
  <c r="U63" i="26"/>
  <c r="T63" i="26"/>
  <c r="S63" i="26"/>
  <c r="R63" i="26"/>
  <c r="Q63" i="26"/>
  <c r="C63" i="26"/>
  <c r="U62" i="26"/>
  <c r="T62" i="26"/>
  <c r="S62" i="26"/>
  <c r="R62" i="26"/>
  <c r="Q62" i="26"/>
  <c r="C62" i="26"/>
  <c r="U61" i="26"/>
  <c r="T61" i="26"/>
  <c r="S61" i="26"/>
  <c r="R61" i="26"/>
  <c r="Q61" i="26"/>
  <c r="C61" i="26"/>
  <c r="U60" i="26"/>
  <c r="T60" i="26"/>
  <c r="S60" i="26"/>
  <c r="R60" i="26"/>
  <c r="Q60" i="26"/>
  <c r="C60" i="26"/>
  <c r="U59" i="26"/>
  <c r="T59" i="26"/>
  <c r="S59" i="26"/>
  <c r="R59" i="26"/>
  <c r="Q59" i="26"/>
  <c r="C59" i="26"/>
  <c r="U58" i="26"/>
  <c r="T58" i="26"/>
  <c r="S58" i="26"/>
  <c r="R58" i="26"/>
  <c r="Q58" i="26"/>
  <c r="C58" i="26"/>
  <c r="U57" i="26"/>
  <c r="T57" i="26"/>
  <c r="S57" i="26"/>
  <c r="R57" i="26"/>
  <c r="Q57" i="26"/>
  <c r="C57" i="26"/>
  <c r="U56" i="26"/>
  <c r="T56" i="26"/>
  <c r="S56" i="26"/>
  <c r="R56" i="26"/>
  <c r="Q56" i="26"/>
  <c r="C56" i="26"/>
  <c r="U55" i="26"/>
  <c r="T55" i="26"/>
  <c r="S55" i="26"/>
  <c r="R55" i="26"/>
  <c r="Q55" i="26"/>
  <c r="C55" i="26"/>
  <c r="U54" i="26"/>
  <c r="T54" i="26"/>
  <c r="S54" i="26"/>
  <c r="R54" i="26"/>
  <c r="Q54" i="26"/>
  <c r="C54" i="26"/>
  <c r="U53" i="26"/>
  <c r="T53" i="26"/>
  <c r="S53" i="26"/>
  <c r="R53" i="26"/>
  <c r="Q53" i="26"/>
  <c r="C53" i="26"/>
  <c r="U52" i="26"/>
  <c r="T52" i="26"/>
  <c r="S52" i="26"/>
  <c r="R52" i="26"/>
  <c r="Q52" i="26"/>
  <c r="C52" i="26"/>
  <c r="U51" i="26"/>
  <c r="T51" i="26"/>
  <c r="S51" i="26"/>
  <c r="R51" i="26"/>
  <c r="Q51" i="26"/>
  <c r="C51" i="26"/>
  <c r="U50" i="26"/>
  <c r="T50" i="26"/>
  <c r="S50" i="26"/>
  <c r="R50" i="26"/>
  <c r="Q50" i="26"/>
  <c r="C50" i="26"/>
  <c r="U49" i="26"/>
  <c r="T49" i="26"/>
  <c r="S49" i="26"/>
  <c r="R49" i="26"/>
  <c r="Q49" i="26"/>
  <c r="C49" i="26"/>
  <c r="U48" i="26"/>
  <c r="T48" i="26"/>
  <c r="S48" i="26"/>
  <c r="R48" i="26"/>
  <c r="Q48" i="26"/>
  <c r="C48" i="26"/>
  <c r="U47" i="26"/>
  <c r="T47" i="26"/>
  <c r="S47" i="26"/>
  <c r="R47" i="26"/>
  <c r="Q47" i="26"/>
  <c r="C47" i="26"/>
  <c r="U46" i="26"/>
  <c r="T46" i="26"/>
  <c r="S46" i="26"/>
  <c r="R46" i="26"/>
  <c r="Q46" i="26"/>
  <c r="C46" i="26"/>
  <c r="U45" i="26"/>
  <c r="T45" i="26"/>
  <c r="S45" i="26"/>
  <c r="R45" i="26"/>
  <c r="Q45" i="26"/>
  <c r="C45" i="26"/>
  <c r="U44" i="26"/>
  <c r="T44" i="26"/>
  <c r="S44" i="26"/>
  <c r="R44" i="26"/>
  <c r="Q44" i="26"/>
  <c r="C44" i="26"/>
  <c r="U43" i="26"/>
  <c r="T43" i="26"/>
  <c r="S43" i="26"/>
  <c r="R43" i="26"/>
  <c r="Q43" i="26"/>
  <c r="C43" i="26"/>
  <c r="U42" i="26"/>
  <c r="T42" i="26"/>
  <c r="S42" i="26"/>
  <c r="R42" i="26"/>
  <c r="Q42" i="26"/>
  <c r="C42" i="26"/>
  <c r="U41" i="26"/>
  <c r="T41" i="26"/>
  <c r="S41" i="26"/>
  <c r="R41" i="26"/>
  <c r="Q41" i="26"/>
  <c r="C41" i="26"/>
  <c r="U40" i="26"/>
  <c r="T40" i="26"/>
  <c r="S40" i="26"/>
  <c r="R40" i="26"/>
  <c r="Q40" i="26"/>
  <c r="C40" i="26"/>
  <c r="U39" i="26"/>
  <c r="T39" i="26"/>
  <c r="S39" i="26"/>
  <c r="R39" i="26"/>
  <c r="Q39" i="26"/>
  <c r="C39" i="26"/>
  <c r="U38" i="26"/>
  <c r="T38" i="26"/>
  <c r="S38" i="26"/>
  <c r="R38" i="26"/>
  <c r="Q38" i="26"/>
  <c r="C38" i="26"/>
  <c r="U37" i="26"/>
  <c r="T37" i="26"/>
  <c r="S37" i="26"/>
  <c r="R37" i="26"/>
  <c r="Q37" i="26"/>
  <c r="C37" i="26"/>
  <c r="U36" i="26"/>
  <c r="T36" i="26"/>
  <c r="S36" i="26"/>
  <c r="R36" i="26"/>
  <c r="Q36" i="26"/>
  <c r="C36" i="26"/>
  <c r="U35" i="26"/>
  <c r="T35" i="26"/>
  <c r="S35" i="26"/>
  <c r="R35" i="26"/>
  <c r="Q35" i="26"/>
  <c r="C35" i="26"/>
  <c r="U34" i="26"/>
  <c r="T34" i="26"/>
  <c r="S34" i="26"/>
  <c r="R34" i="26"/>
  <c r="Q34" i="26"/>
  <c r="C34" i="26"/>
  <c r="U33" i="26"/>
  <c r="T33" i="26"/>
  <c r="S33" i="26"/>
  <c r="R33" i="26"/>
  <c r="Q33" i="26"/>
  <c r="C33" i="26"/>
  <c r="U32" i="26"/>
  <c r="T32" i="26"/>
  <c r="S32" i="26"/>
  <c r="R32" i="26"/>
  <c r="Q32" i="26"/>
  <c r="C32" i="26"/>
  <c r="U31" i="26"/>
  <c r="T31" i="26"/>
  <c r="S31" i="26"/>
  <c r="R31" i="26"/>
  <c r="Q31" i="26"/>
  <c r="C31" i="26"/>
  <c r="U30" i="26"/>
  <c r="T30" i="26"/>
  <c r="S30" i="26"/>
  <c r="R30" i="26"/>
  <c r="Q30" i="26"/>
  <c r="C30" i="26"/>
  <c r="U29" i="26"/>
  <c r="T29" i="26"/>
  <c r="S29" i="26"/>
  <c r="R29" i="26"/>
  <c r="Q29" i="26"/>
  <c r="C29" i="26"/>
  <c r="U28" i="26"/>
  <c r="T28" i="26"/>
  <c r="S28" i="26"/>
  <c r="R28" i="26"/>
  <c r="Q28" i="26"/>
  <c r="C28" i="26"/>
  <c r="U27" i="26"/>
  <c r="T27" i="26"/>
  <c r="S27" i="26"/>
  <c r="R27" i="26"/>
  <c r="Q27" i="26"/>
  <c r="C27" i="26"/>
  <c r="U26" i="26"/>
  <c r="T26" i="26"/>
  <c r="S26" i="26"/>
  <c r="R26" i="26"/>
  <c r="Q26" i="26"/>
  <c r="C26" i="26"/>
  <c r="U25" i="26"/>
  <c r="T25" i="26"/>
  <c r="S25" i="26"/>
  <c r="R25" i="26"/>
  <c r="Q25" i="26"/>
  <c r="C25" i="26"/>
  <c r="U24" i="26"/>
  <c r="T24" i="26"/>
  <c r="S24" i="26"/>
  <c r="R24" i="26"/>
  <c r="Q24" i="26"/>
  <c r="C24" i="26"/>
  <c r="U23" i="26"/>
  <c r="T23" i="26"/>
  <c r="S23" i="26"/>
  <c r="R23" i="26"/>
  <c r="Q23" i="26"/>
  <c r="C23" i="26"/>
  <c r="U22" i="26"/>
  <c r="T22" i="26"/>
  <c r="S22" i="26"/>
  <c r="R22" i="26"/>
  <c r="Q22" i="26"/>
  <c r="C22" i="26"/>
  <c r="U21" i="26"/>
  <c r="T21" i="26"/>
  <c r="S21" i="26"/>
  <c r="R21" i="26"/>
  <c r="Q21" i="26"/>
  <c r="C21" i="26"/>
  <c r="U20" i="26"/>
  <c r="T20" i="26"/>
  <c r="S20" i="26"/>
  <c r="R20" i="26"/>
  <c r="Q20" i="26"/>
  <c r="C20" i="26"/>
  <c r="U19" i="26"/>
  <c r="T19" i="26"/>
  <c r="S19" i="26"/>
  <c r="R19" i="26"/>
  <c r="Q19" i="26"/>
  <c r="C19" i="26"/>
  <c r="U18" i="26"/>
  <c r="T18" i="26"/>
  <c r="S18" i="26"/>
  <c r="R18" i="26"/>
  <c r="Q18" i="26"/>
  <c r="C18" i="26"/>
  <c r="U17" i="26"/>
  <c r="T17" i="26"/>
  <c r="S17" i="26"/>
  <c r="R17" i="26"/>
  <c r="Q17" i="26"/>
  <c r="C17" i="26"/>
  <c r="U16" i="26"/>
  <c r="T16" i="26"/>
  <c r="S16" i="26"/>
  <c r="R16" i="26"/>
  <c r="Q16" i="26"/>
  <c r="C16" i="26"/>
  <c r="U15" i="26"/>
  <c r="T15" i="26"/>
  <c r="S15" i="26"/>
  <c r="R15" i="26"/>
  <c r="Q15" i="26"/>
  <c r="C15" i="26"/>
  <c r="U14" i="26"/>
  <c r="T14" i="26"/>
  <c r="S14" i="26"/>
  <c r="R14" i="26"/>
  <c r="Q14" i="26"/>
  <c r="C14" i="26"/>
  <c r="U13" i="26"/>
  <c r="T13" i="26"/>
  <c r="S13" i="26"/>
  <c r="R13" i="26"/>
  <c r="Q13" i="26"/>
  <c r="C13" i="26"/>
  <c r="U12" i="26"/>
  <c r="T12" i="26"/>
  <c r="S12" i="26"/>
  <c r="R12" i="26"/>
  <c r="Q12" i="26"/>
  <c r="C12" i="26"/>
  <c r="U11" i="26"/>
  <c r="T11" i="26"/>
  <c r="S11" i="26"/>
  <c r="R11" i="26"/>
  <c r="Q11" i="26"/>
  <c r="C11" i="26"/>
  <c r="U10" i="26"/>
  <c r="T10" i="26"/>
  <c r="S10" i="26"/>
  <c r="R10" i="26"/>
  <c r="Q10" i="26"/>
  <c r="C10" i="26"/>
  <c r="U9" i="26"/>
  <c r="T9" i="26"/>
  <c r="S9" i="26"/>
  <c r="R9" i="26"/>
  <c r="Q9" i="26"/>
  <c r="C9" i="26"/>
  <c r="U8" i="26"/>
  <c r="T8" i="26"/>
  <c r="S8" i="26"/>
  <c r="R8" i="26"/>
  <c r="Q8" i="26"/>
  <c r="C8" i="26"/>
  <c r="U7" i="26"/>
  <c r="T7" i="26"/>
  <c r="S7" i="26"/>
  <c r="R7" i="26"/>
  <c r="Q7" i="26"/>
  <c r="C7" i="26"/>
  <c r="U6" i="26"/>
  <c r="T6" i="26"/>
  <c r="S6" i="26"/>
  <c r="R6" i="26"/>
  <c r="Q6" i="26"/>
  <c r="C6" i="26"/>
  <c r="U5" i="26"/>
  <c r="T5" i="26"/>
  <c r="S5" i="26"/>
  <c r="R5" i="26"/>
  <c r="Q5" i="26"/>
  <c r="C5" i="26"/>
  <c r="U4" i="26"/>
  <c r="T4" i="26"/>
  <c r="S4" i="26"/>
  <c r="R4" i="26"/>
  <c r="Q4" i="26"/>
  <c r="C4" i="26"/>
  <c r="U3" i="26"/>
  <c r="T3" i="26"/>
  <c r="S3" i="26"/>
  <c r="R3" i="26"/>
  <c r="Q3" i="26"/>
  <c r="C3" i="26"/>
  <c r="U2" i="26"/>
  <c r="T2" i="26"/>
  <c r="S2" i="26"/>
  <c r="R2" i="26"/>
  <c r="Q2" i="26"/>
  <c r="C2" i="26"/>
  <c r="I3" i="24"/>
  <c r="I8" i="24" s="1"/>
  <c r="H3" i="24"/>
  <c r="G4" i="24" s="1"/>
  <c r="G3" i="24"/>
  <c r="F3" i="24"/>
  <c r="F7" i="24" s="1"/>
  <c r="E3" i="24"/>
  <c r="E8" i="24" s="1"/>
  <c r="D3" i="24"/>
  <c r="H4" i="24" s="1"/>
  <c r="C3" i="24"/>
  <c r="C8" i="24" s="1"/>
  <c r="A2" i="23"/>
  <c r="M29" i="23" l="1"/>
  <c r="M25" i="23"/>
  <c r="M28" i="23"/>
  <c r="M24" i="23"/>
  <c r="M27" i="23"/>
  <c r="M26" i="23"/>
  <c r="H7" i="24"/>
  <c r="H8" i="24"/>
  <c r="H6" i="24"/>
  <c r="F21" i="23" s="1"/>
  <c r="G8" i="24"/>
  <c r="G6" i="24"/>
  <c r="F20" i="23" s="1"/>
  <c r="G7" i="24"/>
  <c r="D4" i="24"/>
  <c r="F6" i="24"/>
  <c r="C7" i="24"/>
  <c r="E7" i="24"/>
  <c r="I7" i="24"/>
  <c r="F8" i="24"/>
  <c r="C6" i="24"/>
  <c r="F2" i="23" s="1"/>
  <c r="E6" i="24"/>
  <c r="I6" i="24"/>
  <c r="D7" i="24" l="1"/>
  <c r="D8" i="24"/>
  <c r="D6" i="24"/>
  <c r="F3" i="23" s="1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<sst xmlns="http://schemas.openxmlformats.org/spreadsheetml/2006/main" count="967" uniqueCount="398">
  <si>
    <t>Name</t>
  </si>
  <si>
    <t>Group Name</t>
  </si>
  <si>
    <t>Units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</si>
  <si>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</si>
  <si>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</si>
  <si>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</si>
  <si>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</si>
  <si>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</si>
  <si>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</si>
  <si>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</si>
  <si>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</si>
  <si>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Down Light Series</t>
  </si>
  <si>
    <t>Nos.</t>
  </si>
  <si>
    <t>Mechanical Store</t>
  </si>
  <si>
    <t>Component</t>
  </si>
  <si>
    <t>Refl-O-69 H-35 L-20mm-PC 69014 SRRR20 &amp; 30W-F</t>
  </si>
  <si>
    <t>Diff. 69.8x1.5mm Prismatic SRRR20W</t>
  </si>
  <si>
    <t>Diff Flim-69.5X0.20mm-PC SRRR20W</t>
  </si>
  <si>
    <t>COB Holder-O-37.5 H-3.5 L-17mm-PC(19X19mm)</t>
  </si>
  <si>
    <t>Torsion Spring - L-49 W-18mm Coil D-1mm D-8 Black</t>
  </si>
  <si>
    <t>Spring Holding Clip L-37 W-25 T-0.70mm MS</t>
  </si>
  <si>
    <t xml:space="preserve">Conn.  2 Pin Ass. Wire Black Male (Small) </t>
  </si>
  <si>
    <t>PBX - COB 8-15W</t>
  </si>
  <si>
    <t>SBX - COB 8-18W (12Nos)</t>
  </si>
  <si>
    <t>Sleeve M4mm-Fiber Glass White</t>
  </si>
  <si>
    <t>Wire Clip-M3-MS</t>
  </si>
  <si>
    <t>Screw No. 4X6.5mm Self Pan Combi. PH - SS</t>
  </si>
  <si>
    <t>Screw M3X6mm CSK PH - SS</t>
  </si>
  <si>
    <t>Rivet 1/8"X1/4" MS (Big)</t>
  </si>
  <si>
    <t>Rivet 3/32" X 3/16" MS (Small)</t>
  </si>
  <si>
    <t>Electronics store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</si>
  <si>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</si>
  <si>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</si>
  <si>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</si>
  <si>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</si>
  <si>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</si>
  <si>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</si>
  <si>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</si>
  <si>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</si>
  <si>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</si>
  <si>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</si>
  <si>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</si>
  <si>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</si>
  <si>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</si>
  <si>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</si>
  <si>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</si>
  <si>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</si>
  <si>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</si>
  <si>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</si>
  <si>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</si>
  <si>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</si>
  <si>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</si>
  <si>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</si>
  <si>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</si>
  <si>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</si>
  <si>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</si>
  <si>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</si>
  <si>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</si>
  <si>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</si>
  <si>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</si>
  <si>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</si>
  <si>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</si>
  <si>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</si>
  <si>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</si>
  <si>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</si>
  <si>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</si>
  <si>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</si>
  <si>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</si>
  <si>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</si>
  <si>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</si>
  <si>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</si>
  <si>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</si>
  <si>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</si>
  <si>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</si>
  <si>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</si>
  <si>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</si>
  <si>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</si>
  <si>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</si>
  <si>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</si>
  <si>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</si>
  <si>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</si>
  <si>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</si>
  <si>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</si>
  <si>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</si>
  <si>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</si>
  <si>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</si>
  <si>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</si>
  <si>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</si>
  <si>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</si>
  <si>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</si>
  <si>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</si>
  <si>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</si>
  <si>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</si>
  <si>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</si>
  <si>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</si>
  <si>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</si>
  <si>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</si>
  <si>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</si>
  <si>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</si>
  <si>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</si>
  <si>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</si>
  <si>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</si>
  <si>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</si>
  <si>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</si>
  <si>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</si>
  <si>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</si>
  <si>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</si>
  <si>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</si>
  <si>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</si>
  <si>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</si>
  <si>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</si>
  <si>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</si>
  <si>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</si>
  <si>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</si>
  <si>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</si>
  <si>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</si>
  <si>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</si>
  <si>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</si>
  <si>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</si>
  <si>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</si>
  <si>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</si>
  <si>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</si>
  <si>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</si>
  <si>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</si>
  <si>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</si>
  <si>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</si>
  <si>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</si>
  <si>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</si>
  <si>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</si>
  <si>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</si>
  <si>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</si>
  <si>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</si>
  <si>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</si>
  <si>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</si>
  <si>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</si>
  <si>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</si>
  <si>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</si>
  <si>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</si>
  <si>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</si>
  <si>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</si>
  <si>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</si>
  <si>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</si>
  <si>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</si>
  <si>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</si>
  <si>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</si>
  <si>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</si>
  <si>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</si>
  <si>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</si>
  <si>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</si>
  <si>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</si>
  <si>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</si>
  <si>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</si>
  <si>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</si>
  <si>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</si>
  <si>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</si>
  <si>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</si>
  <si>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</si>
  <si>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</si>
  <si>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</si>
  <si>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</si>
  <si>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</si>
  <si>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</si>
  <si>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</si>
  <si>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</si>
  <si>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</si>
  <si>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</si>
  <si>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</si>
  <si>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</si>
  <si>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</si>
  <si>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</si>
  <si>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</si>
  <si>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</si>
  <si>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</si>
  <si>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</si>
  <si>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</si>
  <si>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</si>
  <si>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</si>
  <si>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</si>
  <si>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</si>
  <si>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</si>
  <si>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</si>
  <si>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</si>
  <si>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</si>
  <si>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</si>
  <si>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</si>
  <si>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</si>
  <si>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</si>
  <si>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</si>
  <si>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</si>
  <si>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</si>
  <si>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</si>
  <si>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</si>
  <si>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</si>
  <si>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</si>
  <si>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</si>
  <si>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</si>
  <si>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</si>
  <si>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</si>
  <si>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</si>
  <si>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</si>
  <si>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</si>
  <si>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</si>
  <si>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</si>
  <si>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</si>
  <si>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</si>
  <si>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</si>
  <si>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</si>
  <si>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</si>
  <si>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TRIM</t>
  </si>
  <si>
    <t>HOUSING/HS</t>
  </si>
  <si>
    <t>REFLECTOR</t>
  </si>
  <si>
    <t>BEAM ANGLE</t>
  </si>
  <si>
    <t>COLOR TEMP</t>
  </si>
  <si>
    <t>DRIVING SYSTEM</t>
  </si>
  <si>
    <t>EXTRA</t>
  </si>
  <si>
    <t>Formulae</t>
  </si>
  <si>
    <t>Formulae for COST</t>
  </si>
  <si>
    <t>Formulae for Quantity</t>
  </si>
  <si>
    <t>BOM LED PCB</t>
  </si>
  <si>
    <t>COLOUR TEMPERATURE</t>
  </si>
  <si>
    <t>Code</t>
  </si>
  <si>
    <t>Item Name</t>
  </si>
  <si>
    <t xml:space="preserve">Quantity </t>
  </si>
  <si>
    <t>Cost</t>
  </si>
  <si>
    <t>R20</t>
  </si>
  <si>
    <t>Trim-O-97 I-70.5 H-55mm White SRRR20/30W</t>
  </si>
  <si>
    <t>HS 69X42.5mm (Fulai) SRRR20W</t>
  </si>
  <si>
    <t>27-</t>
  </si>
  <si>
    <t>COB 30W 2700K 12LED 34-38V 890mA 19x19mm CRI-90</t>
  </si>
  <si>
    <t>20-</t>
  </si>
  <si>
    <t>PS 20W 500mA 36V Maxic(PCB LT-MX-20W-V2)</t>
  </si>
  <si>
    <t>B20</t>
  </si>
  <si>
    <t>Trim O-97 I-70.5 H-55mm Black SRRR20/30W</t>
  </si>
  <si>
    <t>R30</t>
  </si>
  <si>
    <t>HS 69X54.5mm (Fulai) SRRR20W</t>
  </si>
  <si>
    <t>30-</t>
  </si>
  <si>
    <t>COB 30-36W 3000K 12LED 34-38V 890mA 19x19mm CRI-90</t>
  </si>
  <si>
    <t>20T-</t>
  </si>
  <si>
    <t>PS 20W-500mA 36V Track Dimming</t>
  </si>
  <si>
    <t>40-</t>
  </si>
  <si>
    <t>COB 30-36W 4000K 12LED 34-38V 890mA 19x19mm CRI-90</t>
  </si>
  <si>
    <t>20I-</t>
  </si>
  <si>
    <t>Dali Driver SC-21W PE-L20DA40 (AI-Dimming)-(9-42V)</t>
  </si>
  <si>
    <t>B30</t>
  </si>
  <si>
    <t>50-</t>
  </si>
  <si>
    <t>COB 30-36W 5000K 12LED 34-38V 890mA 19x19mm CRI-90</t>
  </si>
  <si>
    <t>20BT-</t>
  </si>
  <si>
    <t>PS CCT 20W 420MA 36V BT-SC (PCB LT 7-20W-CCT-V 1.1 REV-1)</t>
  </si>
  <si>
    <t>60-</t>
  </si>
  <si>
    <t>COB 30-36W 6000K 12LED 34-38V 890mA 19x19mm CRI-90</t>
  </si>
  <si>
    <t>20ID-</t>
  </si>
  <si>
    <t>Dali Driver DC-20W PE69R4240 (AI-Dimming)-25-40V</t>
  </si>
  <si>
    <t>20BTD-</t>
  </si>
  <si>
    <t>PS CCT 20W 420MA 36V BT-DC (PCB LT 7-20W-CCT-V 1.1 REV-1)</t>
  </si>
  <si>
    <t>27T-</t>
  </si>
  <si>
    <t>30T-</t>
  </si>
  <si>
    <t>PS 30W 730mA 36V Maxic (MX-50W)</t>
  </si>
  <si>
    <t>40T-</t>
  </si>
  <si>
    <t>PS-30W 730mA 36V-TRIAC</t>
  </si>
  <si>
    <t>50T-</t>
  </si>
  <si>
    <t>30I-</t>
  </si>
  <si>
    <t>PS 30W 730MA 36V DALI DIMMING SINGLE COLOUR</t>
  </si>
  <si>
    <t>60T-</t>
  </si>
  <si>
    <t>30BT-</t>
  </si>
  <si>
    <t>PS-30W 650mA 36V-BT</t>
  </si>
  <si>
    <t>30ID-</t>
  </si>
  <si>
    <t>PS-30W 730mA 36V-DALI DC</t>
  </si>
  <si>
    <t>27I-</t>
  </si>
  <si>
    <t>30BTD-</t>
  </si>
  <si>
    <t>PS-30W 650mA 36V-BT DC</t>
  </si>
  <si>
    <t>40I-</t>
  </si>
  <si>
    <t>50I-</t>
  </si>
  <si>
    <t>60I-</t>
  </si>
  <si>
    <t>25ID-</t>
  </si>
  <si>
    <t>LED COB Dual Colour 30W 2700K-5000k</t>
  </si>
  <si>
    <t>27BT-</t>
  </si>
  <si>
    <t>40BT-</t>
  </si>
  <si>
    <t>50BT-</t>
  </si>
  <si>
    <t>60BT-</t>
  </si>
  <si>
    <t>25BTD-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</si>
  <si>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</si>
  <si>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</si>
  <si>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</si>
  <si>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</si>
  <si>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</si>
  <si>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</si>
  <si>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</si>
  <si>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</si>
  <si>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</si>
  <si>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</si>
  <si>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</si>
  <si>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</si>
  <si>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Trim</t>
  </si>
  <si>
    <t>Driving System</t>
  </si>
  <si>
    <t>Watt</t>
  </si>
  <si>
    <t>SRDR20F60-</t>
  </si>
  <si>
    <t>Flood - 68°</t>
  </si>
  <si>
    <t>6000K</t>
  </si>
  <si>
    <t>Round White Trim</t>
  </si>
  <si>
    <t>Constant Current</t>
  </si>
  <si>
    <t>20 Watt</t>
  </si>
  <si>
    <t>SRDR20F50-</t>
  </si>
  <si>
    <t>5000K</t>
  </si>
  <si>
    <t>SRDR20F40-</t>
  </si>
  <si>
    <t>4000K</t>
  </si>
  <si>
    <t>SRDR20F30-</t>
  </si>
  <si>
    <t>3000K</t>
  </si>
  <si>
    <t>SRDB20F60-</t>
  </si>
  <si>
    <t>Round Black Trim</t>
  </si>
  <si>
    <t>SRDB20F50-</t>
  </si>
  <si>
    <t>SRDB20F40-</t>
  </si>
  <si>
    <t>SRDB20F30-</t>
  </si>
  <si>
    <t>SRDR30F60-</t>
  </si>
  <si>
    <t>30 Watt</t>
  </si>
  <si>
    <t>SRDR30F50-</t>
  </si>
  <si>
    <t>SRDR30F40-</t>
  </si>
  <si>
    <t>SRDR30F30-</t>
  </si>
  <si>
    <t>SRDB30F60-</t>
  </si>
  <si>
    <t>SRDB30F50-</t>
  </si>
  <si>
    <t>SRDB30F40-</t>
  </si>
  <si>
    <t>SRDB30F30-</t>
  </si>
  <si>
    <t>SRDR20F60T</t>
  </si>
  <si>
    <t>TRIAC Dimming</t>
  </si>
  <si>
    <t>SRDR20F50T</t>
  </si>
  <si>
    <t>SRDR20F40T</t>
  </si>
  <si>
    <t>SRDR20F30T</t>
  </si>
  <si>
    <t>SRDB20F60T</t>
  </si>
  <si>
    <t>SRDB20F50T</t>
  </si>
  <si>
    <t>SRDB20F40T</t>
  </si>
  <si>
    <t>SRDB20F30T</t>
  </si>
  <si>
    <t>SRDR30F60T</t>
  </si>
  <si>
    <t>SRDR30F50T</t>
  </si>
  <si>
    <t>SRDR30F40T</t>
  </si>
  <si>
    <t>SRDR30F30T</t>
  </si>
  <si>
    <t>SRDB30F60T</t>
  </si>
  <si>
    <t>SRDB30F50T</t>
  </si>
  <si>
    <t>SRDB30F40T</t>
  </si>
  <si>
    <t>SRDB30F30T</t>
  </si>
  <si>
    <t>SRDR20F60I</t>
  </si>
  <si>
    <t>DALI Dimming</t>
  </si>
  <si>
    <t>SRDR20F50I</t>
  </si>
  <si>
    <t>SRDR20F40I</t>
  </si>
  <si>
    <t>SRDR20F30I</t>
  </si>
  <si>
    <t>SRDB20F60I</t>
  </si>
  <si>
    <t>SRDB20F50I</t>
  </si>
  <si>
    <t>SRDB20F40I</t>
  </si>
  <si>
    <t>SRDB20F30I</t>
  </si>
  <si>
    <t>SRDR30F60I</t>
  </si>
  <si>
    <t>SRDR30F50I</t>
  </si>
  <si>
    <t>SRDR30F40I</t>
  </si>
  <si>
    <t>SRDR30F30I</t>
  </si>
  <si>
    <t>SRDB30F60I</t>
  </si>
  <si>
    <t>SRDB30F50I</t>
  </si>
  <si>
    <t>SRDB30F40I</t>
  </si>
  <si>
    <t>SRDB30F30I</t>
  </si>
  <si>
    <t>SRDR20F60BT</t>
  </si>
  <si>
    <t>Bluetooth Dimming</t>
  </si>
  <si>
    <t>SRDR20F50BT</t>
  </si>
  <si>
    <t>SRDR20F40BT</t>
  </si>
  <si>
    <t>SRDR20F30BT</t>
  </si>
  <si>
    <t>SRDB20F60BT</t>
  </si>
  <si>
    <t>SRDB20F50BT</t>
  </si>
  <si>
    <t>SRDB20F40BT</t>
  </si>
  <si>
    <t>SRDB20F30BT</t>
  </si>
  <si>
    <t>SRDR30F60BT</t>
  </si>
  <si>
    <t>SRDR30F50BT</t>
  </si>
  <si>
    <t>SRDR30F40BT</t>
  </si>
  <si>
    <t>SRDR30F30BT</t>
  </si>
  <si>
    <t>SRDB30F60BT</t>
  </si>
  <si>
    <t>SRDB30F50BT</t>
  </si>
  <si>
    <t>SRDB30F40BT</t>
  </si>
  <si>
    <t>SRDB30F30BT</t>
  </si>
  <si>
    <t>SRDR20F25ID</t>
  </si>
  <si>
    <t>2700k - 5000k Dali + Dual Color (Driving System) Only for 20W</t>
  </si>
  <si>
    <t>Dali + Dual Color (2700K - 5000K) Only for 20W</t>
  </si>
  <si>
    <t>SRDB20F25ID</t>
  </si>
  <si>
    <t>SRDR30F25ID</t>
  </si>
  <si>
    <t>SRDB30F25ID</t>
  </si>
  <si>
    <t>SRDR20F25BTD</t>
  </si>
  <si>
    <t>2700k - 5000k Bluetooth + Dual Color (Driving System) Only for 20W</t>
  </si>
  <si>
    <t>Bluetooth + Dual Color (2700K - 5000K) Only for 20W</t>
  </si>
  <si>
    <t>SRDB20F25BTD</t>
  </si>
  <si>
    <t>SRDR30F25BTD</t>
  </si>
  <si>
    <t>SRDB30F25BTD</t>
  </si>
  <si>
    <t>SRDR20F30</t>
  </si>
  <si>
    <t>Unit Price</t>
  </si>
  <si>
    <t>USD</t>
  </si>
  <si>
    <t>INS&amp;FRED</t>
  </si>
  <si>
    <t>BCD</t>
  </si>
  <si>
    <t>Total Cost</t>
  </si>
  <si>
    <t>PS Rate Mention with Total Amt</t>
  </si>
  <si>
    <t>Rate</t>
  </si>
  <si>
    <t>SRDR20-CC</t>
  </si>
  <si>
    <t>SRDR20 Track Dimming</t>
  </si>
  <si>
    <t>SRDR20 Dali Single Color</t>
  </si>
  <si>
    <t>SRDR20 BT Single Color</t>
  </si>
  <si>
    <t>SRDR20  Dali Dual Color</t>
  </si>
  <si>
    <t>SRDR20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</si>
</sst>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&quot;₹&quot;* #,##0.00_ ;_ &quot;₹&quot;* \-#,##0.00_ ;_ &quot;₹&quot;* &quot;-&quot;??_ ;_ @_ "/>
    <numFmt numFmtId="165" formatCode="&quot;$&quot;#,##0.0000"/>
    <numFmt numFmtId="166" formatCode="_-[$$-409]* #,##0.000_ ;_-[$$-409]* \-#,##0.000\ ;_-[$$-409]* &quot;-&quot;??_ ;_-@_ "/>
    <numFmt numFmtId="167" formatCode="_ [$Rs.-4009]\ * #,##0.00_ ;_ [$Rs.-4009]\ * \-#,##0.00_ ;_ [$Rs.-4009]\ * &quot;-&quot;??_ ;_ @_ "/>
    <numFmt numFmtId="168" formatCode="_-[$Rs-420]* #,##0.00_-;_-[$Rs-420]* #,##0.00\-;_-[$Rs-420]* &quot;-&quot;??_-;_-@_-"/>
    <numFmt numFmtId="169" formatCode="&quot;$&quot;#,##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11"/>
      <color indexed="8"/>
      <name val="Calibri"/>
      <family val="2"/>
    </font>
    <font>
      <sz val="10"/>
      <color rgb="FF000000"/>
      <name val="Afacad-Regular"/>
      <charset val="134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4" fontId="20" fillId="0" borderId="0" applyFont="0" applyFill="0" applyBorder="0" applyAlignment="0" applyProtection="0">
      <alignment vertical="center"/>
    </xf>
    <xf numFmtId="0" fontId="3" fillId="0" borderId="0"/>
    <xf numFmtId="0" fontId="2" fillId="0" borderId="0"/>
    <xf numFmtId="0" fontId="15" fillId="0" borderId="0" applyNumberFormat="0" applyFill="0" applyBorder="0" applyAlignment="0" applyProtection="0"/>
    <xf numFmtId="0" fontId="2" fillId="0" borderId="0"/>
  </cellStyleXfs>
  <cellXfs count="143">
    <xf numFmtId="0" fontId="0" fillId="0" borderId="0" xfId="0"/>
    <xf numFmtId="0" fontId="2" fillId="2" borderId="1" xfId="3" applyFill="1" applyBorder="1"/>
    <xf numFmtId="0" fontId="2" fillId="0" borderId="0" xfId="3"/>
    <xf numFmtId="0" fontId="2" fillId="3" borderId="1" xfId="3" applyFill="1" applyBorder="1"/>
    <xf numFmtId="0" fontId="2" fillId="4" borderId="1" xfId="3" applyFill="1" applyBorder="1"/>
    <xf numFmtId="0" fontId="2" fillId="2" borderId="2" xfId="3" applyFill="1" applyBorder="1"/>
    <xf numFmtId="0" fontId="2" fillId="2" borderId="3" xfId="3" applyFill="1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3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0" borderId="0" xfId="0" applyFont="1"/>
    <xf numFmtId="0" fontId="0" fillId="0" borderId="1" xfId="0" applyBorder="1" applyAlignment="1">
      <alignment horizont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wrapText="1"/>
    </xf>
    <xf numFmtId="0" fontId="3" fillId="0" borderId="4" xfId="2" applyBorder="1"/>
    <xf numFmtId="0" fontId="3" fillId="0" borderId="4" xfId="2" applyFont="1" applyBorder="1"/>
    <xf numFmtId="0" fontId="0" fillId="9" borderId="1" xfId="0" applyFill="1" applyBorder="1"/>
    <xf numFmtId="0" fontId="3" fillId="0" borderId="5" xfId="2" applyBorder="1"/>
    <xf numFmtId="0" fontId="3" fillId="0" borderId="1" xfId="2" applyBorder="1"/>
    <xf numFmtId="0" fontId="3" fillId="0" borderId="1" xfId="2" applyFont="1" applyBorder="1"/>
    <xf numFmtId="0" fontId="3" fillId="0" borderId="3" xfId="2" applyBorder="1"/>
    <xf numFmtId="0" fontId="3" fillId="5" borderId="6" xfId="0" applyFont="1" applyFill="1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8" borderId="1" xfId="0" applyFill="1" applyBorder="1"/>
    <xf numFmtId="0" fontId="3" fillId="0" borderId="2" xfId="0" applyFont="1" applyBorder="1"/>
    <xf numFmtId="0" fontId="3" fillId="0" borderId="0" xfId="2"/>
    <xf numFmtId="0" fontId="3" fillId="0" borderId="2" xfId="2" applyBorder="1"/>
    <xf numFmtId="0" fontId="3" fillId="0" borderId="1" xfId="0" applyFont="1" applyBorder="1"/>
    <xf numFmtId="0" fontId="3" fillId="8" borderId="4" xfId="2" applyFill="1" applyBorder="1"/>
    <xf numFmtId="0" fontId="3" fillId="8" borderId="1" xfId="2" applyFill="1" applyBorder="1"/>
    <xf numFmtId="0" fontId="5" fillId="0" borderId="0" xfId="0" applyFont="1"/>
    <xf numFmtId="0" fontId="6" fillId="9" borderId="0" xfId="0" applyFont="1" applyFill="1"/>
    <xf numFmtId="0" fontId="7" fillId="10" borderId="1" xfId="0" applyFont="1" applyFill="1" applyBorder="1" applyAlignment="1">
      <alignment horizontal="center" wrapText="1"/>
    </xf>
    <xf numFmtId="0" fontId="8" fillId="9" borderId="0" xfId="0" applyFont="1" applyFill="1"/>
    <xf numFmtId="0" fontId="0" fillId="9" borderId="0" xfId="0" applyFill="1"/>
    <xf numFmtId="0" fontId="7" fillId="11" borderId="1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center" wrapText="1"/>
    </xf>
    <xf numFmtId="0" fontId="7" fillId="12" borderId="8" xfId="0" applyFont="1" applyFill="1" applyBorder="1" applyAlignment="1">
      <alignment wrapText="1"/>
    </xf>
    <xf numFmtId="0" fontId="9" fillId="9" borderId="9" xfId="0" applyFont="1" applyFill="1" applyBorder="1"/>
    <xf numFmtId="0" fontId="5" fillId="9" borderId="10" xfId="0" applyFont="1" applyFill="1" applyBorder="1"/>
    <xf numFmtId="0" fontId="7" fillId="0" borderId="4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8" xfId="0" applyFont="1" applyBorder="1"/>
    <xf numFmtId="0" fontId="10" fillId="9" borderId="11" xfId="0" applyFont="1" applyFill="1" applyBorder="1" applyAlignment="1">
      <alignment horizontal="left" indent="2"/>
    </xf>
    <xf numFmtId="0" fontId="5" fillId="9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9" borderId="11" xfId="0" applyFont="1" applyFill="1" applyBorder="1" applyAlignment="1">
      <alignment horizontal="left" indent="2"/>
    </xf>
    <xf numFmtId="0" fontId="5" fillId="9" borderId="11" xfId="0" applyFont="1" applyFill="1" applyBorder="1" applyAlignment="1">
      <alignment horizontal="left" indent="2"/>
    </xf>
    <xf numFmtId="0" fontId="11" fillId="9" borderId="11" xfId="0" applyFont="1" applyFill="1" applyBorder="1" applyAlignment="1">
      <alignment horizontal="left" indent="2"/>
    </xf>
    <xf numFmtId="0" fontId="11" fillId="9" borderId="0" xfId="0" applyFont="1" applyFill="1" applyAlignment="1">
      <alignment horizontal="left" indent="2"/>
    </xf>
    <xf numFmtId="0" fontId="11" fillId="9" borderId="11" xfId="0" applyFont="1" applyFill="1" applyBorder="1" applyAlignment="1">
      <alignment horizontal="left" indent="3"/>
    </xf>
    <xf numFmtId="0" fontId="12" fillId="9" borderId="11" xfId="0" applyFont="1" applyFill="1" applyBorder="1" applyAlignment="1">
      <alignment horizontal="left" indent="3"/>
    </xf>
    <xf numFmtId="0" fontId="13" fillId="9" borderId="0" xfId="0" applyFont="1" applyFill="1" applyAlignment="1">
      <alignment horizontal="left" indent="3"/>
    </xf>
    <xf numFmtId="0" fontId="14" fillId="0" borderId="8" xfId="0" applyFont="1" applyBorder="1" applyAlignment="1">
      <alignment wrapText="1"/>
    </xf>
    <xf numFmtId="0" fontId="5" fillId="9" borderId="11" xfId="0" applyFont="1" applyFill="1" applyBorder="1"/>
    <xf numFmtId="0" fontId="5" fillId="9" borderId="12" xfId="0" applyFont="1" applyFill="1" applyBorder="1"/>
    <xf numFmtId="0" fontId="5" fillId="9" borderId="13" xfId="0" applyFont="1" applyFill="1" applyBorder="1"/>
    <xf numFmtId="0" fontId="10" fillId="9" borderId="0" xfId="0" applyFont="1" applyFill="1"/>
    <xf numFmtId="0" fontId="7" fillId="9" borderId="0" xfId="0" applyFont="1" applyFill="1"/>
    <xf numFmtId="0" fontId="7" fillId="11" borderId="2" xfId="0" applyFont="1" applyFill="1" applyBorder="1" applyAlignment="1">
      <alignment horizontal="left" vertical="top" wrapText="1"/>
    </xf>
    <xf numFmtId="0" fontId="7" fillId="11" borderId="8" xfId="0" applyFont="1" applyFill="1" applyBorder="1" applyAlignment="1">
      <alignment horizontal="left" vertical="top" wrapText="1"/>
    </xf>
    <xf numFmtId="0" fontId="11" fillId="9" borderId="0" xfId="0" applyFont="1" applyFill="1" applyAlignment="1">
      <alignment wrapText="1"/>
    </xf>
    <xf numFmtId="0" fontId="11" fillId="9" borderId="0" xfId="0" applyFont="1" applyFill="1" applyAlignment="1">
      <alignment horizontal="left"/>
    </xf>
    <xf numFmtId="0" fontId="11" fillId="9" borderId="0" xfId="0" applyFont="1" applyFill="1" applyAlignment="1">
      <alignment horizontal="left" indent="1"/>
    </xf>
    <xf numFmtId="0" fontId="13" fillId="9" borderId="0" xfId="0" applyFont="1" applyFill="1" applyAlignment="1">
      <alignment horizontal="left" indent="1"/>
    </xf>
    <xf numFmtId="0" fontId="5" fillId="0" borderId="8" xfId="0" applyFont="1" applyBorder="1" applyAlignment="1">
      <alignment wrapText="1"/>
    </xf>
    <xf numFmtId="0" fontId="9" fillId="9" borderId="10" xfId="0" applyFont="1" applyFill="1" applyBorder="1"/>
    <xf numFmtId="0" fontId="15" fillId="9" borderId="0" xfId="4" applyFill="1" applyBorder="1" applyAlignment="1"/>
    <xf numFmtId="0" fontId="15" fillId="9" borderId="0" xfId="4" applyFill="1" applyBorder="1"/>
    <xf numFmtId="0" fontId="9" fillId="9" borderId="14" xfId="0" applyFont="1" applyFill="1" applyBorder="1"/>
    <xf numFmtId="0" fontId="5" fillId="9" borderId="15" xfId="0" applyFont="1" applyFill="1" applyBorder="1" applyAlignment="1">
      <alignment horizontal="left" indent="2"/>
    </xf>
    <xf numFmtId="0" fontId="11" fillId="9" borderId="15" xfId="0" applyFont="1" applyFill="1" applyBorder="1" applyAlignment="1">
      <alignment horizontal="left" indent="2"/>
    </xf>
    <xf numFmtId="0" fontId="5" fillId="9" borderId="15" xfId="0" applyFont="1" applyFill="1" applyBorder="1"/>
    <xf numFmtId="0" fontId="5" fillId="9" borderId="16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9" borderId="0" xfId="0" applyFill="1" applyAlignment="1">
      <alignment readingOrder="1"/>
    </xf>
    <xf numFmtId="0" fontId="0" fillId="0" borderId="0" xfId="0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 applyProtection="1"/>
    <xf numFmtId="0" fontId="18" fillId="4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0" borderId="1" xfId="0" applyFont="1" applyBorder="1"/>
    <xf numFmtId="0" fontId="0" fillId="6" borderId="1" xfId="0" applyFill="1" applyBorder="1"/>
    <xf numFmtId="0" fontId="0" fillId="0" borderId="6" xfId="0" applyFill="1" applyBorder="1" applyAlignment="1">
      <alignment horizontal="center"/>
    </xf>
    <xf numFmtId="0" fontId="21" fillId="0" borderId="1" xfId="0" applyNumberFormat="1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6" fontId="23" fillId="0" borderId="1" xfId="1" applyNumberFormat="1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23" fillId="0" borderId="0" xfId="0" applyFont="1" applyBorder="1"/>
    <xf numFmtId="0" fontId="0" fillId="0" borderId="0" xfId="0" applyBorder="1"/>
    <xf numFmtId="168" fontId="21" fillId="1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/>
    <xf numFmtId="0" fontId="23" fillId="0" borderId="1" xfId="0" applyFont="1" applyBorder="1"/>
    <xf numFmtId="0" fontId="23" fillId="0" borderId="0" xfId="0" applyFont="1"/>
    <xf numFmtId="0" fontId="23" fillId="0" borderId="17" xfId="0" applyFont="1" applyBorder="1"/>
    <xf numFmtId="167" fontId="22" fillId="8" borderId="18" xfId="0" applyNumberFormat="1" applyFont="1" applyFill="1" applyBorder="1" applyAlignment="1">
      <alignment horizontal="center" vertical="center"/>
    </xf>
    <xf numFmtId="0" fontId="1" fillId="0" borderId="0" xfId="0" applyFont="1"/>
    <xf numFmtId="166" fontId="23" fillId="15" borderId="1" xfId="1" applyNumberFormat="1" applyFont="1" applyFill="1" applyBorder="1" applyAlignment="1">
      <alignment horizontal="center" vertical="center"/>
    </xf>
    <xf numFmtId="9" fontId="23" fillId="15" borderId="1" xfId="0" applyNumberFormat="1" applyFont="1" applyFill="1" applyBorder="1" applyAlignment="1">
      <alignment horizontal="center" vertical="center"/>
    </xf>
    <xf numFmtId="167" fontId="23" fillId="0" borderId="1" xfId="0" applyNumberFormat="1" applyFont="1" applyBorder="1" applyAlignment="1">
      <alignment horizontal="center" vertical="center"/>
    </xf>
    <xf numFmtId="167" fontId="23" fillId="15" borderId="1" xfId="0" applyNumberFormat="1" applyFont="1" applyFill="1" applyBorder="1" applyAlignment="1">
      <alignment horizontal="center" vertical="center"/>
    </xf>
    <xf numFmtId="168" fontId="21" fillId="15" borderId="1" xfId="0" applyNumberFormat="1" applyFont="1" applyFill="1" applyBorder="1" applyAlignment="1">
      <alignment horizontal="center" vertical="center"/>
    </xf>
    <xf numFmtId="168" fontId="21" fillId="14" borderId="1" xfId="0" applyNumberFormat="1" applyFont="1" applyFill="1" applyBorder="1" applyAlignment="1">
      <alignment horizontal="right" vertical="center"/>
    </xf>
    <xf numFmtId="169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5" fontId="24" fillId="0" borderId="0" xfId="0" applyNumberFormat="1" applyFont="1" applyBorder="1" applyAlignment="1">
      <alignment horizontal="center" vertical="center"/>
    </xf>
    <xf numFmtId="168" fontId="22" fillId="15" borderId="1" xfId="0" applyNumberFormat="1" applyFont="1" applyFill="1" applyBorder="1" applyAlignment="1">
      <alignment horizontal="right" vertical="center"/>
    </xf>
    <xf numFmtId="0" fontId="23" fillId="0" borderId="19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5" fontId="23" fillId="0" borderId="19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horizontal="center" vertical="center"/>
    </xf>
    <xf numFmtId="0" fontId="22" fillId="13" borderId="2" xfId="0" applyFont="1" applyFill="1" applyBorder="1" applyAlignment="1">
      <alignment horizontal="right" vertical="center"/>
    </xf>
    <xf numFmtId="0" fontId="22" fillId="13" borderId="3" xfId="0" applyFont="1" applyFill="1" applyBorder="1" applyAlignment="1">
      <alignment horizontal="right" vertical="center"/>
    </xf>
    <xf numFmtId="167" fontId="23" fillId="0" borderId="19" xfId="0" applyNumberFormat="1" applyFont="1" applyBorder="1" applyAlignment="1">
      <alignment horizontal="center" vertical="center"/>
    </xf>
    <xf numFmtId="167" fontId="23" fillId="0" borderId="4" xfId="0" applyNumberFormat="1" applyFont="1" applyBorder="1" applyAlignment="1">
      <alignment horizontal="center" vertical="center"/>
    </xf>
    <xf numFmtId="166" fontId="23" fillId="0" borderId="19" xfId="1" applyNumberFormat="1" applyFont="1" applyBorder="1" applyAlignment="1">
      <alignment horizontal="center" vertical="center"/>
    </xf>
    <xf numFmtId="166" fontId="23" fillId="0" borderId="4" xfId="1" applyNumberFormat="1" applyFont="1" applyBorder="1" applyAlignment="1">
      <alignment horizontal="center" vertical="center"/>
    </xf>
    <xf numFmtId="9" fontId="23" fillId="0" borderId="19" xfId="0" applyNumberFormat="1" applyFont="1" applyBorder="1" applyAlignment="1">
      <alignment horizontal="center" vertical="center"/>
    </xf>
    <xf numFmtId="9" fontId="23" fillId="0" borderId="4" xfId="0" applyNumberFormat="1" applyFont="1" applyBorder="1" applyAlignment="1">
      <alignment horizontal="center" vertical="center"/>
    </xf>
    <xf numFmtId="0" fontId="11" fillId="9" borderId="0" xfId="0" applyFont="1" applyFill="1" applyAlignment="1">
      <alignment horizontal="left" wrapText="1"/>
    </xf>
    <xf numFmtId="0" fontId="11" fillId="9" borderId="11" xfId="0" applyFont="1" applyFill="1" applyBorder="1" applyAlignment="1">
      <alignment horizontal="left" wrapText="1" indent="2"/>
    </xf>
    <xf numFmtId="0" fontId="11" fillId="9" borderId="0" xfId="0" applyFont="1" applyFill="1" applyAlignment="1">
      <alignment horizontal="left" wrapText="1" indent="2"/>
    </xf>
    <xf numFmtId="0" fontId="11" fillId="9" borderId="15" xfId="0" applyFont="1" applyFill="1" applyBorder="1" applyAlignment="1">
      <alignment horizontal="left" wrapText="1" indent="2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1" builtinId="4"/>
    <cellStyle name="Hyperlink 2" xfId="4"/>
    <cellStyle name="Normal" xfId="0" builtinId="0"/>
    <cellStyle name="Normal 2" xfId="2"/>
    <cellStyle name="Normal 2 2" xfId="5"/>
    <cellStyle name="Normal 3" xfId="3"/>
  </cellStyles>
  <dxfs count="9">
    <dxf>
      <fill>
        <patternFill patternType="solid"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G8" zoomScale="96" zoomScaleNormal="96" workbookViewId="0">
      <selection activeCell="O23" sqref="O23"/>
    </sheetView>
  </sheetViews>
  <sheetFormatPr defaultColWidth="9" defaultRowHeight="15"/>
  <cols>
    <col min="1" max="1" width="15.140625" customWidth="1"/>
    <col min="2" max="2" width="22.28515625" customWidth="1"/>
    <col min="3" max="3" width="8.28515625" customWidth="1"/>
    <col min="4" max="4" width="23" customWidth="1"/>
    <col min="5" max="5" width="20.42578125" customWidth="1"/>
    <col min="6" max="6" width="50.28515625" customWidth="1"/>
    <col min="7" max="7" width="28.5703125" customWidth="1"/>
    <col min="8" max="8" width="27.7109375" hidden="1" customWidth="1"/>
    <col min="9" max="9" width="31.85546875" hidden="1" customWidth="1"/>
    <col min="10" max="10" width="27.7109375" hidden="1" customWidth="1"/>
    <col min="11" max="11" width="27.140625" customWidth="1"/>
    <col min="12" max="13" width="11.85546875" customWidth="1"/>
    <col min="15" max="15" width="10.28515625" customWidth="1"/>
    <col min="17" max="17" width="10.140625" customWidth="1"/>
  </cols>
  <sheetData>
    <row r="1" spans="1:19" s="85" customFormat="1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93" t="s">
        <v>385</v>
      </c>
      <c r="M1" s="93" t="s">
        <v>223</v>
      </c>
      <c r="N1" s="94" t="s">
        <v>386</v>
      </c>
      <c r="O1" s="95" t="s">
        <v>387</v>
      </c>
      <c r="P1" s="96" t="s">
        <v>388</v>
      </c>
      <c r="Q1" s="97" t="s">
        <v>389</v>
      </c>
    </row>
    <row r="2" spans="1:19">
      <c r="A2" s="31" t="str">
        <f>$D$2</f>
        <v>SRDR20F30</v>
      </c>
      <c r="B2" s="87" t="s">
        <v>11</v>
      </c>
      <c r="C2" s="31" t="s">
        <v>12</v>
      </c>
      <c r="D2" s="88" t="s">
        <v>384</v>
      </c>
      <c r="E2" s="31">
        <v>1</v>
      </c>
      <c r="F2" s="89" t="str">
        <f>'Backend data'!C6</f>
        <v>Trim-O-97 I-70.5 H-55mm White SRRR20/30W</v>
      </c>
      <c r="G2" s="17">
        <v>1</v>
      </c>
      <c r="H2" s="31" t="s">
        <v>13</v>
      </c>
      <c r="I2" s="31" t="s">
        <v>14</v>
      </c>
      <c r="J2" s="31"/>
      <c r="K2" s="31"/>
      <c r="L2" s="114">
        <f>Q2*87</f>
        <v>66.555000000000007</v>
      </c>
      <c r="M2" s="114">
        <f>G2*L2</f>
        <v>66.555000000000007</v>
      </c>
      <c r="N2" s="98">
        <v>0.51</v>
      </c>
      <c r="O2" s="99">
        <v>0.5</v>
      </c>
      <c r="P2" s="100"/>
      <c r="Q2" s="101">
        <f t="shared" ref="Q2:Q20" si="0">N2+(N2*(O2+P2))</f>
        <v>0.76500000000000001</v>
      </c>
    </row>
    <row r="3" spans="1:19">
      <c r="A3" s="31"/>
      <c r="B3" s="31"/>
      <c r="C3" s="31"/>
      <c r="D3" s="31"/>
      <c r="E3" s="31"/>
      <c r="F3" s="89" t="str">
        <f>'Backend data'!D6</f>
        <v>HS 69X42.5mm (Fulai) SRRR20W</v>
      </c>
      <c r="G3" s="17">
        <v>1</v>
      </c>
      <c r="H3" s="31" t="s">
        <v>13</v>
      </c>
      <c r="I3" s="31" t="s">
        <v>14</v>
      </c>
      <c r="J3" s="31"/>
      <c r="K3" s="31"/>
      <c r="L3" s="114">
        <f t="shared" ref="L3:L20" si="1">Q3*87</f>
        <v>109.62</v>
      </c>
      <c r="M3" s="114">
        <f t="shared" ref="M3:M20" si="2">G3*L3</f>
        <v>109.62</v>
      </c>
      <c r="N3" s="98">
        <v>0.84</v>
      </c>
      <c r="O3" s="99">
        <v>0.5</v>
      </c>
      <c r="P3" s="100"/>
      <c r="Q3" s="101">
        <f t="shared" si="0"/>
        <v>1.26</v>
      </c>
    </row>
    <row r="4" spans="1:19">
      <c r="A4" s="31"/>
      <c r="B4" s="31"/>
      <c r="C4" s="31"/>
      <c r="D4" s="31"/>
      <c r="E4" s="31"/>
      <c r="F4" s="31" t="s">
        <v>15</v>
      </c>
      <c r="G4" s="17">
        <v>1</v>
      </c>
      <c r="H4" s="31" t="s">
        <v>13</v>
      </c>
      <c r="I4" s="31" t="s">
        <v>14</v>
      </c>
      <c r="J4" s="31"/>
      <c r="K4" s="31"/>
      <c r="L4" s="114">
        <f t="shared" si="1"/>
        <v>12.528000000000002</v>
      </c>
      <c r="M4" s="114">
        <f t="shared" si="2"/>
        <v>12.528000000000002</v>
      </c>
      <c r="N4" s="98">
        <v>9.6000000000000002E-2</v>
      </c>
      <c r="O4" s="99">
        <v>0.5</v>
      </c>
      <c r="P4" s="100"/>
      <c r="Q4" s="101">
        <f t="shared" si="0"/>
        <v>0.14400000000000002</v>
      </c>
    </row>
    <row r="5" spans="1:19">
      <c r="A5" s="31"/>
      <c r="B5" s="31"/>
      <c r="C5" s="31"/>
      <c r="D5" s="31"/>
      <c r="E5" s="31"/>
      <c r="F5" s="31" t="s">
        <v>16</v>
      </c>
      <c r="G5" s="17">
        <v>1</v>
      </c>
      <c r="H5" s="31" t="s">
        <v>13</v>
      </c>
      <c r="I5" s="31" t="s">
        <v>14</v>
      </c>
      <c r="J5" s="31"/>
      <c r="K5" s="31"/>
      <c r="L5" s="128">
        <f t="shared" si="1"/>
        <v>6.9165000000000001</v>
      </c>
      <c r="M5" s="128">
        <f t="shared" si="2"/>
        <v>6.9165000000000001</v>
      </c>
      <c r="N5" s="130">
        <v>5.2999999999999999E-2</v>
      </c>
      <c r="O5" s="132">
        <v>0.5</v>
      </c>
      <c r="P5" s="122"/>
      <c r="Q5" s="124">
        <f t="shared" si="0"/>
        <v>7.9500000000000001E-2</v>
      </c>
    </row>
    <row r="6" spans="1:19">
      <c r="A6" s="31"/>
      <c r="B6" s="31"/>
      <c r="C6" s="31"/>
      <c r="D6" s="31"/>
      <c r="E6" s="31"/>
      <c r="F6" s="106" t="s">
        <v>17</v>
      </c>
      <c r="G6" s="17">
        <v>1</v>
      </c>
      <c r="H6" s="31" t="s">
        <v>13</v>
      </c>
      <c r="I6" s="31" t="s">
        <v>14</v>
      </c>
      <c r="J6" s="31"/>
      <c r="K6" s="31"/>
      <c r="L6" s="129"/>
      <c r="M6" s="129"/>
      <c r="N6" s="131"/>
      <c r="O6" s="133"/>
      <c r="P6" s="123"/>
      <c r="Q6" s="125"/>
    </row>
    <row r="7" spans="1:19">
      <c r="A7" s="31"/>
      <c r="B7" s="31"/>
      <c r="C7" s="31"/>
      <c r="D7" s="31"/>
      <c r="E7" s="31"/>
      <c r="F7" s="111" t="s">
        <v>18</v>
      </c>
      <c r="G7" s="17">
        <v>1</v>
      </c>
      <c r="H7" s="31" t="s">
        <v>13</v>
      </c>
      <c r="I7" s="31" t="s">
        <v>14</v>
      </c>
      <c r="J7" s="31"/>
      <c r="K7" s="31"/>
      <c r="L7" s="115">
        <f t="shared" si="1"/>
        <v>0</v>
      </c>
      <c r="M7" s="115">
        <f t="shared" si="2"/>
        <v>0</v>
      </c>
      <c r="N7" s="112">
        <v>0</v>
      </c>
      <c r="O7" s="113">
        <v>0.5</v>
      </c>
      <c r="P7" s="100"/>
      <c r="Q7" s="101">
        <f t="shared" si="0"/>
        <v>0</v>
      </c>
    </row>
    <row r="8" spans="1:19">
      <c r="A8" s="31"/>
      <c r="B8" s="31"/>
      <c r="C8" s="31"/>
      <c r="D8" s="31"/>
      <c r="E8" s="31"/>
      <c r="F8" s="31" t="s">
        <v>19</v>
      </c>
      <c r="G8" s="17">
        <v>2</v>
      </c>
      <c r="H8" s="31" t="s">
        <v>13</v>
      </c>
      <c r="I8" s="31" t="s">
        <v>14</v>
      </c>
      <c r="J8" s="31"/>
      <c r="K8" s="31"/>
      <c r="L8" s="114">
        <f t="shared" si="1"/>
        <v>1.044</v>
      </c>
      <c r="M8" s="114">
        <f t="shared" si="2"/>
        <v>2.0880000000000001</v>
      </c>
      <c r="N8" s="98">
        <v>8.0000000000000002E-3</v>
      </c>
      <c r="O8" s="99">
        <v>0.5</v>
      </c>
      <c r="P8" s="100"/>
      <c r="Q8" s="101">
        <f t="shared" si="0"/>
        <v>1.2E-2</v>
      </c>
    </row>
    <row r="9" spans="1:19">
      <c r="A9" s="31"/>
      <c r="B9" s="31"/>
      <c r="C9" s="31"/>
      <c r="D9" s="31"/>
      <c r="E9" s="31"/>
      <c r="F9" s="90" t="s">
        <v>20</v>
      </c>
      <c r="G9" s="17">
        <v>2</v>
      </c>
      <c r="H9" s="31" t="s">
        <v>13</v>
      </c>
      <c r="I9" s="31" t="s">
        <v>14</v>
      </c>
      <c r="J9" s="31"/>
      <c r="K9" s="31"/>
      <c r="L9" s="114">
        <v>2</v>
      </c>
      <c r="M9" s="114">
        <f t="shared" si="2"/>
        <v>4</v>
      </c>
      <c r="N9" s="98">
        <v>0</v>
      </c>
      <c r="O9" s="99">
        <v>0.5</v>
      </c>
      <c r="P9" s="100"/>
      <c r="Q9" s="101">
        <f t="shared" si="0"/>
        <v>0</v>
      </c>
    </row>
    <row r="10" spans="1:19">
      <c r="A10" s="31"/>
      <c r="B10" s="31"/>
      <c r="C10" s="31"/>
      <c r="D10" s="31"/>
      <c r="E10" s="31"/>
      <c r="F10" s="36" t="s">
        <v>21</v>
      </c>
      <c r="G10" s="17">
        <v>1</v>
      </c>
      <c r="H10" s="31" t="s">
        <v>13</v>
      </c>
      <c r="I10" s="31" t="s">
        <v>14</v>
      </c>
      <c r="J10" s="31"/>
      <c r="K10" s="31"/>
      <c r="L10" s="114">
        <f t="shared" si="1"/>
        <v>3.915</v>
      </c>
      <c r="M10" s="114">
        <f t="shared" si="2"/>
        <v>3.915</v>
      </c>
      <c r="N10" s="98">
        <v>0.03</v>
      </c>
      <c r="O10" s="99">
        <v>0.5</v>
      </c>
      <c r="P10" s="100"/>
      <c r="Q10" s="101">
        <f t="shared" si="0"/>
        <v>4.4999999999999998E-2</v>
      </c>
    </row>
    <row r="11" spans="1:19">
      <c r="A11" s="31"/>
      <c r="B11" s="31"/>
      <c r="C11" s="31"/>
      <c r="D11" s="31"/>
      <c r="E11" s="31"/>
      <c r="F11" s="91" t="s">
        <v>22</v>
      </c>
      <c r="G11" s="17">
        <v>1</v>
      </c>
      <c r="H11" s="31" t="s">
        <v>13</v>
      </c>
      <c r="I11" s="31" t="s">
        <v>14</v>
      </c>
      <c r="J11" s="31"/>
      <c r="K11" s="31"/>
      <c r="L11" s="114">
        <v>8.5</v>
      </c>
      <c r="M11" s="114">
        <f t="shared" si="2"/>
        <v>8.5</v>
      </c>
      <c r="N11" s="98">
        <v>0</v>
      </c>
      <c r="O11" s="99">
        <v>0.5</v>
      </c>
      <c r="P11" s="100"/>
      <c r="Q11" s="101">
        <f t="shared" si="0"/>
        <v>0</v>
      </c>
    </row>
    <row r="12" spans="1:19">
      <c r="A12" s="31"/>
      <c r="B12" s="31"/>
      <c r="C12" s="31"/>
      <c r="D12" s="31"/>
      <c r="E12" s="31"/>
      <c r="F12" s="91" t="s">
        <v>23</v>
      </c>
      <c r="G12" s="17">
        <v>0.08</v>
      </c>
      <c r="H12" s="31" t="s">
        <v>13</v>
      </c>
      <c r="I12" s="31" t="s">
        <v>14</v>
      </c>
      <c r="J12" s="31"/>
      <c r="K12" s="31"/>
      <c r="L12" s="114">
        <v>27</v>
      </c>
      <c r="M12" s="114">
        <f t="shared" si="2"/>
        <v>2.16</v>
      </c>
      <c r="N12" s="98">
        <v>0</v>
      </c>
      <c r="O12" s="99">
        <v>0.5</v>
      </c>
      <c r="P12" s="100"/>
      <c r="Q12" s="101">
        <f t="shared" si="0"/>
        <v>0</v>
      </c>
    </row>
    <row r="13" spans="1:19">
      <c r="A13" s="31"/>
      <c r="B13" s="31"/>
      <c r="C13" s="31"/>
      <c r="D13" s="31"/>
      <c r="E13" s="31"/>
      <c r="F13" s="31" t="s">
        <v>24</v>
      </c>
      <c r="G13" s="17">
        <v>0.12</v>
      </c>
      <c r="H13" s="31" t="s">
        <v>13</v>
      </c>
      <c r="I13" s="31" t="s">
        <v>14</v>
      </c>
      <c r="J13" s="31"/>
      <c r="K13" s="31"/>
      <c r="L13" s="114">
        <v>0.68400000000000005</v>
      </c>
      <c r="M13" s="114">
        <f t="shared" si="2"/>
        <v>8.208E-2</v>
      </c>
      <c r="N13" s="98">
        <v>0</v>
      </c>
      <c r="O13" s="99">
        <v>0.5</v>
      </c>
      <c r="P13" s="100"/>
      <c r="Q13" s="101">
        <f t="shared" si="0"/>
        <v>0</v>
      </c>
      <c r="S13" s="103"/>
    </row>
    <row r="14" spans="1:19">
      <c r="A14" s="31"/>
      <c r="B14" s="31"/>
      <c r="C14" s="31"/>
      <c r="D14" s="31"/>
      <c r="E14" s="31"/>
      <c r="F14" s="31" t="s">
        <v>25</v>
      </c>
      <c r="G14" s="92">
        <v>1</v>
      </c>
      <c r="H14" s="31" t="s">
        <v>13</v>
      </c>
      <c r="I14" s="31" t="s">
        <v>14</v>
      </c>
      <c r="J14" s="31"/>
      <c r="K14" s="31"/>
      <c r="L14" s="114">
        <v>0.6</v>
      </c>
      <c r="M14" s="114">
        <f t="shared" si="2"/>
        <v>0.6</v>
      </c>
      <c r="N14" s="98">
        <v>0</v>
      </c>
      <c r="O14" s="99">
        <v>0.5</v>
      </c>
      <c r="P14" s="100"/>
      <c r="Q14" s="101">
        <f t="shared" si="0"/>
        <v>0</v>
      </c>
    </row>
    <row r="15" spans="1:19">
      <c r="A15" s="31"/>
      <c r="B15" s="31"/>
      <c r="C15" s="31"/>
      <c r="D15" s="31"/>
      <c r="E15" s="31"/>
      <c r="F15" s="31" t="s">
        <v>26</v>
      </c>
      <c r="G15" s="17">
        <v>1</v>
      </c>
      <c r="H15" s="31" t="s">
        <v>13</v>
      </c>
      <c r="I15" s="31" t="s">
        <v>14</v>
      </c>
      <c r="J15" s="31"/>
      <c r="K15" s="31"/>
      <c r="L15" s="114">
        <v>0.21</v>
      </c>
      <c r="M15" s="114">
        <f t="shared" si="2"/>
        <v>0.21</v>
      </c>
      <c r="N15" s="98">
        <v>0</v>
      </c>
      <c r="O15" s="99">
        <v>0.5</v>
      </c>
      <c r="P15" s="100"/>
      <c r="Q15" s="101">
        <f t="shared" si="0"/>
        <v>0</v>
      </c>
    </row>
    <row r="16" spans="1:19">
      <c r="A16" s="31"/>
      <c r="B16" s="31"/>
      <c r="C16" s="31"/>
      <c r="D16" s="31"/>
      <c r="E16" s="31"/>
      <c r="F16" s="90" t="s">
        <v>27</v>
      </c>
      <c r="G16" s="17">
        <v>2</v>
      </c>
      <c r="H16" s="31" t="s">
        <v>13</v>
      </c>
      <c r="I16" s="31" t="s">
        <v>14</v>
      </c>
      <c r="J16" s="31"/>
      <c r="K16" s="31"/>
      <c r="L16" s="114">
        <v>0.5</v>
      </c>
      <c r="M16" s="114">
        <f t="shared" si="2"/>
        <v>1</v>
      </c>
      <c r="N16" s="98">
        <v>0</v>
      </c>
      <c r="O16" s="99">
        <v>0.5</v>
      </c>
      <c r="P16" s="100"/>
      <c r="Q16" s="101">
        <f t="shared" si="0"/>
        <v>0</v>
      </c>
    </row>
    <row r="17" spans="1:18">
      <c r="A17" s="31"/>
      <c r="B17" s="31"/>
      <c r="C17" s="31"/>
      <c r="D17" s="31"/>
      <c r="E17" s="31"/>
      <c r="F17" s="31" t="s">
        <v>28</v>
      </c>
      <c r="G17" s="17">
        <v>4</v>
      </c>
      <c r="H17" s="31" t="s">
        <v>13</v>
      </c>
      <c r="I17" s="31" t="s">
        <v>14</v>
      </c>
      <c r="J17" s="31"/>
      <c r="K17" s="31"/>
      <c r="L17" s="114">
        <v>0.26</v>
      </c>
      <c r="M17" s="114">
        <f t="shared" si="2"/>
        <v>1.04</v>
      </c>
      <c r="N17" s="98">
        <v>0</v>
      </c>
      <c r="O17" s="99">
        <v>0.5</v>
      </c>
      <c r="P17" s="100"/>
      <c r="Q17" s="101">
        <f t="shared" si="0"/>
        <v>0</v>
      </c>
    </row>
    <row r="18" spans="1:18">
      <c r="A18" s="31"/>
      <c r="B18" s="31"/>
      <c r="C18" s="31"/>
      <c r="D18" s="31"/>
      <c r="E18" s="31"/>
      <c r="F18" s="31" t="s">
        <v>29</v>
      </c>
      <c r="G18" s="17">
        <v>4</v>
      </c>
      <c r="H18" s="31" t="s">
        <v>13</v>
      </c>
      <c r="I18" s="31" t="s">
        <v>14</v>
      </c>
      <c r="J18" s="31"/>
      <c r="K18" s="31"/>
      <c r="L18" s="114">
        <v>0.32</v>
      </c>
      <c r="M18" s="114">
        <f t="shared" si="2"/>
        <v>1.28</v>
      </c>
      <c r="N18" s="98">
        <v>0</v>
      </c>
      <c r="O18" s="99">
        <v>0.5</v>
      </c>
      <c r="P18" s="100"/>
      <c r="Q18" s="101">
        <f t="shared" si="0"/>
        <v>0</v>
      </c>
    </row>
    <row r="19" spans="1:18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114">
        <f t="shared" si="1"/>
        <v>0</v>
      </c>
      <c r="M19" s="114">
        <f t="shared" si="2"/>
        <v>0</v>
      </c>
      <c r="N19" s="98">
        <v>0</v>
      </c>
      <c r="O19" s="99">
        <v>0.5</v>
      </c>
      <c r="P19" s="100"/>
      <c r="Q19" s="101">
        <f t="shared" si="0"/>
        <v>0</v>
      </c>
    </row>
    <row r="20" spans="1:18">
      <c r="A20" s="31"/>
      <c r="B20" s="31"/>
      <c r="C20" s="31"/>
      <c r="D20" s="31"/>
      <c r="E20" s="31"/>
      <c r="F20" s="89" t="str">
        <f>'Backend data'!G6</f>
        <v>COB 30-36W 3000K 12LED 34-38V 890mA 19x19mm CRI-90</v>
      </c>
      <c r="G20" s="17">
        <v>1</v>
      </c>
      <c r="H20" s="31" t="s">
        <v>30</v>
      </c>
      <c r="I20" s="31" t="s">
        <v>14</v>
      </c>
      <c r="J20" s="31"/>
      <c r="K20" s="31"/>
      <c r="L20" s="115">
        <f t="shared" si="1"/>
        <v>84.825000000000003</v>
      </c>
      <c r="M20" s="115">
        <f t="shared" si="2"/>
        <v>84.825000000000003</v>
      </c>
      <c r="N20" s="112">
        <v>0.65</v>
      </c>
      <c r="O20" s="113">
        <v>0.5</v>
      </c>
      <c r="P20" s="100"/>
      <c r="Q20" s="101">
        <f t="shared" si="0"/>
        <v>0.97500000000000009</v>
      </c>
    </row>
    <row r="21" spans="1:18">
      <c r="A21" s="31"/>
      <c r="B21" s="31"/>
      <c r="C21" s="31"/>
      <c r="D21" s="31"/>
      <c r="E21" s="31"/>
      <c r="F21" s="89" t="str">
        <f>'Backend data'!H6</f>
        <v>PS 20W 500mA 36V Maxic(PCB LT-MX-20W-V2)</v>
      </c>
      <c r="G21" s="17">
        <v>1</v>
      </c>
      <c r="H21" s="31" t="s">
        <v>13</v>
      </c>
      <c r="I21" s="31" t="s">
        <v>14</v>
      </c>
      <c r="J21" s="31"/>
      <c r="K21" s="31"/>
      <c r="L21" s="107"/>
      <c r="M21" s="107"/>
      <c r="N21" s="102" t="s">
        <v>390</v>
      </c>
      <c r="O21" s="108"/>
      <c r="P21" s="108"/>
      <c r="Q21" s="108"/>
    </row>
    <row r="22" spans="1:18" ht="22.5" customHeight="1" thickBot="1">
      <c r="L22" s="109"/>
      <c r="M22" s="110">
        <f>SUM(M2:M21)</f>
        <v>305.31957999999997</v>
      </c>
      <c r="N22" s="108"/>
      <c r="O22" s="108"/>
      <c r="P22" s="108"/>
      <c r="Q22" s="108"/>
    </row>
    <row r="23" spans="1:18" ht="15.75" thickTop="1"/>
    <row r="24" spans="1:18" ht="20.25" customHeight="1">
      <c r="K24" s="126" t="s">
        <v>392</v>
      </c>
      <c r="L24" s="127"/>
      <c r="M24" s="104">
        <f>M22+98</f>
        <v>403.31957999999997</v>
      </c>
    </row>
    <row r="25" spans="1:18" ht="20.25" customHeight="1">
      <c r="K25" s="126" t="s">
        <v>393</v>
      </c>
      <c r="L25" s="127"/>
      <c r="M25" s="116">
        <f>M22</f>
        <v>305.31957999999997</v>
      </c>
      <c r="R25" s="105" t="s">
        <v>391</v>
      </c>
    </row>
    <row r="26" spans="1:18" ht="20.25" customHeight="1">
      <c r="K26" s="126" t="s">
        <v>394</v>
      </c>
      <c r="L26" s="127"/>
      <c r="M26" s="121">
        <f>((M22)+(Q26*87))</f>
        <v>305.31957999999997</v>
      </c>
      <c r="N26" s="118">
        <v>0</v>
      </c>
      <c r="O26" s="119">
        <v>0.5</v>
      </c>
      <c r="P26" s="119"/>
      <c r="Q26" s="120">
        <f>N26+(N26*(O26+P26))</f>
        <v>0</v>
      </c>
      <c r="R26" s="85">
        <f>Q26*87</f>
        <v>0</v>
      </c>
    </row>
    <row r="27" spans="1:18" ht="20.25" customHeight="1">
      <c r="K27" s="126" t="s">
        <v>395</v>
      </c>
      <c r="L27" s="127"/>
      <c r="M27" s="104">
        <f>M22+330</f>
        <v>635.31957999999997</v>
      </c>
      <c r="N27" s="85"/>
      <c r="O27" s="85"/>
      <c r="P27" s="85"/>
      <c r="Q27" s="85"/>
      <c r="R27" s="85"/>
    </row>
    <row r="28" spans="1:18" ht="20.25" customHeight="1">
      <c r="K28" s="126" t="s">
        <v>396</v>
      </c>
      <c r="L28" s="127"/>
      <c r="M28" s="117">
        <f>((M22)+(Q28*87))</f>
        <v>1107.8945800000001</v>
      </c>
      <c r="N28" s="118">
        <v>6.15</v>
      </c>
      <c r="O28" s="119">
        <v>0.5</v>
      </c>
      <c r="P28" s="119"/>
      <c r="Q28" s="120">
        <f>N28+(N28*(O28+P28))</f>
        <v>9.2250000000000014</v>
      </c>
      <c r="R28" s="85">
        <f>Q28*87</f>
        <v>802.57500000000016</v>
      </c>
    </row>
    <row r="29" spans="1:18" ht="20.25" customHeight="1">
      <c r="K29" s="126" t="s">
        <v>397</v>
      </c>
      <c r="L29" s="127"/>
      <c r="M29" s="104">
        <f>M22+330</f>
        <v>635.31957999999997</v>
      </c>
    </row>
  </sheetData>
  <mergeCells count="12">
    <mergeCell ref="P5:P6"/>
    <mergeCell ref="Q5:Q6"/>
    <mergeCell ref="K29:L29"/>
    <mergeCell ref="L5:L6"/>
    <mergeCell ref="M5:M6"/>
    <mergeCell ref="N5:N6"/>
    <mergeCell ref="O5:O6"/>
    <mergeCell ref="K24:L24"/>
    <mergeCell ref="K25:L25"/>
    <mergeCell ref="K26:L26"/>
    <mergeCell ref="K27:L27"/>
    <mergeCell ref="K28:L28"/>
  </mergeCells>
  <conditionalFormatting sqref="F16">
    <cfRule type="containsText" dxfId="8" priority="4" operator="containsText" text="TRIM">
      <formula>NOT(ISERROR(SEARCH("TRIM",F16)))</formula>
    </cfRule>
    <cfRule type="containsText" dxfId="7" priority="3" operator="containsText" text="COB-">
      <formula>NOT(ISERROR(SEARCH("COB-",F16)))</formula>
    </cfRule>
    <cfRule type="containsText" dxfId="6" priority="2" operator="containsText" text="PS-">
      <formula>NOT(ISERROR(SEARCH("PS-",F16)))</formula>
    </cfRule>
    <cfRule type="containsText" dxfId="5" priority="1" operator="containsText" text="REFLECTOR">
      <formula>NOT(ISERROR(SEARCH("REFLECTOR",F16)))</formula>
    </cfRule>
  </conditionalFormatting>
  <conditionalFormatting sqref="F1 F29:F1048576">
    <cfRule type="containsText" dxfId="4" priority="13" operator="containsText" text="PS-">
      <formula>NOT(ISERROR(SEARCH("PS-",F1)))</formula>
    </cfRule>
    <cfRule type="containsText" dxfId="3" priority="16" operator="containsText" text="COB-">
      <formula>NOT(ISERROR(SEARCH("COB-",F1)))</formula>
    </cfRule>
    <cfRule type="containsText" dxfId="2" priority="18" operator="containsText" text="TRIM">
      <formula>NOT(ISERROR(SEARCH("TRIM",F1)))</formula>
    </cfRule>
  </conditionalFormatting>
  <conditionalFormatting sqref="F1:G1 F29:G1048576 G18 G21 G13:G14 G2:G11">
    <cfRule type="containsText" dxfId="1" priority="12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9429716-4D78-4B17-BCCF-F909D4FC8FFC}">
            <xm:f>$F:$F='Backend data'!$C$2:$H$2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G21 F29:G1048576 G18 G13:G14 F1:G1 G2:G11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'SRD20-30W-SKU'!$C$2:$C$73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39" customWidth="1"/>
    <col min="2" max="3" width="23.42578125" style="39" customWidth="1"/>
    <col min="4" max="4" width="5.85546875" style="40" customWidth="1"/>
    <col min="5" max="11" width="8.7109375" style="40"/>
    <col min="12" max="12" width="6.140625" style="40" customWidth="1"/>
    <col min="13" max="18" width="8.7109375" style="40"/>
    <col min="19" max="16384" width="8.7109375" style="39"/>
  </cols>
  <sheetData>
    <row r="1" spans="1:17" ht="15">
      <c r="A1" s="41" t="s">
        <v>31</v>
      </c>
      <c r="B1" s="41" t="s">
        <v>32</v>
      </c>
      <c r="C1" s="41" t="s">
        <v>33</v>
      </c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>
      <c r="A2" s="44" t="s">
        <v>34</v>
      </c>
      <c r="B2" s="45"/>
      <c r="C2" s="46" t="s">
        <v>35</v>
      </c>
      <c r="E2" s="47"/>
      <c r="F2" s="48"/>
      <c r="G2" s="48"/>
      <c r="H2" s="48"/>
      <c r="I2" s="48"/>
      <c r="J2" s="48"/>
      <c r="K2" s="48"/>
      <c r="L2" s="48"/>
      <c r="M2" s="48"/>
      <c r="N2" s="48"/>
      <c r="O2" s="75"/>
      <c r="P2" s="75"/>
      <c r="Q2" s="78"/>
    </row>
    <row r="3" spans="1:17">
      <c r="A3" s="49" t="s">
        <v>0</v>
      </c>
      <c r="B3" s="50" t="s">
        <v>36</v>
      </c>
      <c r="C3" s="51"/>
      <c r="E3" s="52" t="s">
        <v>37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79"/>
    </row>
    <row r="4" spans="1:17">
      <c r="A4" s="54" t="s">
        <v>1</v>
      </c>
      <c r="B4" s="50" t="s">
        <v>36</v>
      </c>
      <c r="C4" s="51"/>
      <c r="E4" s="55" t="s">
        <v>38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79"/>
    </row>
    <row r="5" spans="1:17" ht="12.6" customHeight="1">
      <c r="A5" s="54" t="s">
        <v>39</v>
      </c>
      <c r="B5" s="50" t="s">
        <v>36</v>
      </c>
      <c r="C5" s="51"/>
      <c r="E5" s="135" t="s">
        <v>40</v>
      </c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7"/>
    </row>
    <row r="6" spans="1:17" ht="12.6" customHeight="1">
      <c r="A6" s="54" t="s">
        <v>41</v>
      </c>
      <c r="B6" s="50" t="s">
        <v>36</v>
      </c>
      <c r="C6" s="51"/>
      <c r="E6" s="135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7" ht="12.6" customHeight="1">
      <c r="A7" s="54" t="s">
        <v>42</v>
      </c>
      <c r="B7" s="50" t="s">
        <v>36</v>
      </c>
      <c r="C7" s="51"/>
      <c r="E7" s="135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7"/>
    </row>
    <row r="8" spans="1:17" ht="12.6" customHeight="1">
      <c r="A8" s="54" t="s">
        <v>43</v>
      </c>
      <c r="B8" s="50" t="s">
        <v>36</v>
      </c>
      <c r="C8" s="51"/>
      <c r="E8" s="135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</row>
    <row r="9" spans="1:17" ht="12.95" customHeight="1">
      <c r="A9" s="54" t="s">
        <v>44</v>
      </c>
      <c r="B9" s="50" t="s">
        <v>36</v>
      </c>
      <c r="C9" s="51"/>
      <c r="E9" s="135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7"/>
    </row>
    <row r="10" spans="1:17">
      <c r="A10" s="54" t="s">
        <v>45</v>
      </c>
      <c r="B10" s="50" t="s">
        <v>36</v>
      </c>
      <c r="C10" s="51"/>
      <c r="E10" s="56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79"/>
    </row>
    <row r="11" spans="1:17">
      <c r="A11" s="54" t="s">
        <v>2</v>
      </c>
      <c r="B11" s="50" t="s">
        <v>36</v>
      </c>
      <c r="C11" s="51"/>
      <c r="E11" s="55" t="s">
        <v>46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79"/>
    </row>
    <row r="12" spans="1:17">
      <c r="A12" s="54" t="s">
        <v>47</v>
      </c>
      <c r="B12" s="50" t="s">
        <v>36</v>
      </c>
      <c r="C12" s="51"/>
      <c r="E12" s="57" t="s">
        <v>48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80"/>
    </row>
    <row r="13" spans="1:17">
      <c r="A13" s="54" t="s">
        <v>49</v>
      </c>
      <c r="B13" s="50" t="s">
        <v>36</v>
      </c>
      <c r="C13" s="51"/>
      <c r="E13" s="59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79"/>
    </row>
    <row r="14" spans="1:17" ht="15">
      <c r="A14" s="54" t="s">
        <v>50</v>
      </c>
      <c r="B14" s="50" t="s">
        <v>36</v>
      </c>
      <c r="C14" s="51"/>
      <c r="E14" s="60" t="s">
        <v>51</v>
      </c>
      <c r="F14" s="61"/>
      <c r="G14" s="61"/>
      <c r="H14" s="61"/>
      <c r="I14" s="61"/>
      <c r="J14" s="61"/>
      <c r="K14" s="61"/>
      <c r="L14" s="61"/>
      <c r="M14" s="76" t="s">
        <v>52</v>
      </c>
      <c r="N14" s="53"/>
      <c r="O14" s="53"/>
      <c r="P14" s="53"/>
      <c r="Q14" s="79"/>
    </row>
    <row r="15" spans="1:17" ht="15">
      <c r="A15" s="54" t="s">
        <v>53</v>
      </c>
      <c r="B15" s="50" t="s">
        <v>36</v>
      </c>
      <c r="C15" s="62" t="s">
        <v>54</v>
      </c>
      <c r="E15" s="6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81"/>
    </row>
    <row r="16" spans="1:17">
      <c r="A16" s="54" t="s">
        <v>55</v>
      </c>
      <c r="B16" s="50" t="s">
        <v>36</v>
      </c>
      <c r="C16" s="51"/>
      <c r="E16" s="64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82"/>
    </row>
    <row r="17" spans="1:17" ht="15">
      <c r="A17" s="54" t="s">
        <v>56</v>
      </c>
      <c r="B17" s="50" t="s">
        <v>36</v>
      </c>
      <c r="C17" s="51"/>
      <c r="E17" s="66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ht="15">
      <c r="A18" s="54" t="s">
        <v>57</v>
      </c>
      <c r="B18" s="50" t="s">
        <v>36</v>
      </c>
      <c r="C18" s="51"/>
      <c r="E18" s="67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</row>
    <row r="19" spans="1:17">
      <c r="A19" s="54" t="s">
        <v>58</v>
      </c>
      <c r="B19" s="50" t="s">
        <v>36</v>
      </c>
      <c r="C19" s="51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</row>
    <row r="20" spans="1:17" ht="25.5">
      <c r="A20" s="54" t="s">
        <v>59</v>
      </c>
      <c r="B20" s="50" t="s">
        <v>36</v>
      </c>
      <c r="C20" s="51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</row>
    <row r="21" spans="1:17">
      <c r="A21" s="54" t="s">
        <v>60</v>
      </c>
      <c r="B21" s="50" t="s">
        <v>36</v>
      </c>
      <c r="C21" s="51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</row>
    <row r="22" spans="1:17">
      <c r="A22" s="44" t="s">
        <v>61</v>
      </c>
      <c r="B22" s="68"/>
      <c r="C22" s="69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</row>
    <row r="23" spans="1:17" ht="38.25">
      <c r="A23" s="54" t="s">
        <v>62</v>
      </c>
      <c r="B23" s="50" t="s">
        <v>63</v>
      </c>
      <c r="C23" s="51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</row>
    <row r="24" spans="1:17" ht="15">
      <c r="A24" s="54" t="s">
        <v>64</v>
      </c>
      <c r="B24" s="50" t="s">
        <v>36</v>
      </c>
      <c r="C24" s="51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</row>
    <row r="25" spans="1:17" ht="15">
      <c r="A25" s="54" t="s">
        <v>65</v>
      </c>
      <c r="B25" s="50" t="s">
        <v>36</v>
      </c>
      <c r="C25" s="51"/>
      <c r="E25" s="67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</row>
    <row r="26" spans="1:17">
      <c r="A26" s="54" t="s">
        <v>66</v>
      </c>
      <c r="B26" s="50" t="s">
        <v>36</v>
      </c>
      <c r="C26" s="5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</row>
    <row r="27" spans="1:17" ht="15">
      <c r="A27" s="54" t="s">
        <v>67</v>
      </c>
      <c r="B27" s="50" t="s">
        <v>36</v>
      </c>
      <c r="C27" s="51"/>
      <c r="E27" s="72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</row>
    <row r="28" spans="1:17" ht="15">
      <c r="A28" s="54" t="s">
        <v>68</v>
      </c>
      <c r="B28" s="50" t="s">
        <v>36</v>
      </c>
      <c r="C28" s="51"/>
      <c r="E28" s="73"/>
      <c r="F28" s="73"/>
      <c r="G28" s="73"/>
      <c r="H28" s="73"/>
      <c r="I28" s="73"/>
      <c r="J28" s="73"/>
      <c r="K28" s="73"/>
      <c r="L28" s="73"/>
      <c r="M28" s="77"/>
      <c r="N28" s="43"/>
      <c r="O28" s="43"/>
      <c r="P28" s="43"/>
      <c r="Q28" s="43"/>
    </row>
    <row r="29" spans="1:17" ht="15">
      <c r="A29" s="54" t="s">
        <v>69</v>
      </c>
      <c r="B29" s="50" t="s">
        <v>36</v>
      </c>
      <c r="C29" s="51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  <row r="30" spans="1:17" ht="15">
      <c r="A30" s="54" t="s">
        <v>70</v>
      </c>
      <c r="B30" s="50" t="s">
        <v>36</v>
      </c>
      <c r="C30" s="51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</row>
    <row r="31" spans="1:17" ht="38.25">
      <c r="A31" s="54" t="s">
        <v>71</v>
      </c>
      <c r="B31" s="50" t="s">
        <v>72</v>
      </c>
      <c r="C31" s="51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7" ht="15">
      <c r="A32" s="44" t="s">
        <v>73</v>
      </c>
      <c r="B32" s="68"/>
      <c r="C32" s="69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3">
      <c r="A33" s="54" t="s">
        <v>74</v>
      </c>
      <c r="B33" s="50" t="s">
        <v>36</v>
      </c>
      <c r="C33" s="51"/>
    </row>
    <row r="34" spans="1:3">
      <c r="A34" s="54" t="s">
        <v>75</v>
      </c>
      <c r="B34" s="50" t="s">
        <v>36</v>
      </c>
      <c r="C34" s="51"/>
    </row>
    <row r="35" spans="1:3">
      <c r="A35" s="54" t="s">
        <v>76</v>
      </c>
      <c r="B35" s="50" t="s">
        <v>36</v>
      </c>
      <c r="C35" s="51"/>
    </row>
    <row r="36" spans="1:3">
      <c r="A36" s="54" t="s">
        <v>77</v>
      </c>
      <c r="B36" s="50" t="s">
        <v>36</v>
      </c>
      <c r="C36" s="51"/>
    </row>
    <row r="37" spans="1:3" ht="76.5">
      <c r="A37" s="54" t="s">
        <v>78</v>
      </c>
      <c r="B37" s="50" t="s">
        <v>36</v>
      </c>
      <c r="C37" s="62" t="s">
        <v>79</v>
      </c>
    </row>
    <row r="38" spans="1:3" ht="38.25">
      <c r="A38" s="54" t="s">
        <v>80</v>
      </c>
      <c r="B38" s="50" t="s">
        <v>36</v>
      </c>
      <c r="C38" s="62" t="s">
        <v>81</v>
      </c>
    </row>
    <row r="39" spans="1:3">
      <c r="A39" s="44" t="s">
        <v>82</v>
      </c>
      <c r="B39" s="68"/>
      <c r="C39" s="69"/>
    </row>
    <row r="40" spans="1:3" ht="25.5">
      <c r="A40" s="54" t="s">
        <v>83</v>
      </c>
      <c r="B40" s="50" t="s">
        <v>36</v>
      </c>
      <c r="C40" s="51"/>
    </row>
    <row r="41" spans="1:3">
      <c r="A41" s="54" t="s">
        <v>84</v>
      </c>
      <c r="B41" s="50" t="s">
        <v>36</v>
      </c>
      <c r="C41" s="51"/>
    </row>
    <row r="42" spans="1:3" ht="25.5">
      <c r="A42" s="54" t="s">
        <v>85</v>
      </c>
      <c r="B42" s="50" t="s">
        <v>36</v>
      </c>
      <c r="C42" s="51"/>
    </row>
    <row r="43" spans="1:3" ht="25.5">
      <c r="A43" s="54" t="s">
        <v>86</v>
      </c>
      <c r="B43" s="50" t="s">
        <v>36</v>
      </c>
      <c r="C43" s="51"/>
    </row>
    <row r="44" spans="1:3">
      <c r="A44" s="54" t="s">
        <v>87</v>
      </c>
      <c r="B44" s="50" t="s">
        <v>36</v>
      </c>
      <c r="C44" s="51"/>
    </row>
    <row r="45" spans="1:3" ht="25.5">
      <c r="A45" s="54" t="s">
        <v>88</v>
      </c>
      <c r="B45" s="50" t="s">
        <v>36</v>
      </c>
      <c r="C45" s="51"/>
    </row>
    <row r="46" spans="1:3">
      <c r="A46" s="44" t="s">
        <v>89</v>
      </c>
      <c r="B46" s="68"/>
      <c r="C46" s="69"/>
    </row>
    <row r="47" spans="1:3">
      <c r="A47" s="54" t="s">
        <v>3</v>
      </c>
      <c r="B47" s="50" t="s">
        <v>36</v>
      </c>
      <c r="C47" s="51"/>
    </row>
    <row r="48" spans="1:3">
      <c r="A48" s="54" t="s">
        <v>4</v>
      </c>
      <c r="B48" s="50" t="s">
        <v>36</v>
      </c>
      <c r="C48" s="51"/>
    </row>
    <row r="49" spans="1:3">
      <c r="A49" s="54" t="s">
        <v>5</v>
      </c>
      <c r="B49" s="50" t="s">
        <v>36</v>
      </c>
      <c r="C49" s="51"/>
    </row>
    <row r="50" spans="1:3">
      <c r="A50" s="54" t="s">
        <v>6</v>
      </c>
      <c r="B50" s="50" t="s">
        <v>36</v>
      </c>
      <c r="C50" s="51"/>
    </row>
    <row r="51" spans="1:3" ht="38.25">
      <c r="A51" s="54" t="s">
        <v>7</v>
      </c>
      <c r="B51" s="50" t="s">
        <v>63</v>
      </c>
      <c r="C51" s="51"/>
    </row>
    <row r="52" spans="1:3" ht="25.5">
      <c r="A52" s="54" t="s">
        <v>8</v>
      </c>
      <c r="B52" s="50" t="s">
        <v>36</v>
      </c>
      <c r="C52" s="74" t="s">
        <v>90</v>
      </c>
    </row>
    <row r="53" spans="1:3">
      <c r="A53" s="54" t="s">
        <v>9</v>
      </c>
      <c r="B53" s="50" t="s">
        <v>36</v>
      </c>
      <c r="C53" s="51"/>
    </row>
    <row r="54" spans="1:3" ht="38.25">
      <c r="A54" s="54" t="s">
        <v>10</v>
      </c>
      <c r="B54" s="50" t="s">
        <v>72</v>
      </c>
      <c r="C54" s="51"/>
    </row>
    <row r="55" spans="1:3" ht="25.5">
      <c r="A55" s="44" t="s">
        <v>91</v>
      </c>
      <c r="B55" s="68"/>
      <c r="C55" s="69"/>
    </row>
    <row r="56" spans="1:3" ht="25.5">
      <c r="A56" s="54" t="s">
        <v>92</v>
      </c>
      <c r="B56" s="50" t="s">
        <v>36</v>
      </c>
      <c r="C56" s="51"/>
    </row>
    <row r="57" spans="1:3" ht="25.5">
      <c r="A57" s="54" t="s">
        <v>93</v>
      </c>
      <c r="B57" s="50" t="s">
        <v>36</v>
      </c>
      <c r="C57" s="51"/>
    </row>
    <row r="58" spans="1:3" ht="25.5">
      <c r="A58" s="54" t="s">
        <v>94</v>
      </c>
      <c r="B58" s="50" t="s">
        <v>36</v>
      </c>
      <c r="C58" s="51"/>
    </row>
    <row r="59" spans="1:3" ht="25.5">
      <c r="A59" s="54" t="s">
        <v>95</v>
      </c>
      <c r="B59" s="50" t="s">
        <v>36</v>
      </c>
      <c r="C59" s="51"/>
    </row>
    <row r="60" spans="1:3">
      <c r="A60" s="54" t="s">
        <v>96</v>
      </c>
      <c r="B60" s="50" t="s">
        <v>97</v>
      </c>
      <c r="C60" s="51"/>
    </row>
    <row r="61" spans="1:3">
      <c r="A61" s="54" t="s">
        <v>98</v>
      </c>
      <c r="B61" s="50" t="s">
        <v>97</v>
      </c>
      <c r="C61" s="51"/>
    </row>
    <row r="62" spans="1:3" ht="63.75">
      <c r="A62" s="54" t="s">
        <v>99</v>
      </c>
      <c r="B62" s="50" t="s">
        <v>100</v>
      </c>
      <c r="C62" s="51"/>
    </row>
    <row r="63" spans="1:3" ht="25.5">
      <c r="A63" s="54" t="s">
        <v>101</v>
      </c>
      <c r="B63" s="50" t="s">
        <v>36</v>
      </c>
      <c r="C63" s="51"/>
    </row>
    <row r="64" spans="1:3" ht="25.5">
      <c r="A64" s="44" t="s">
        <v>102</v>
      </c>
      <c r="B64" s="68"/>
      <c r="C64" s="69"/>
    </row>
    <row r="65" spans="1:3" ht="25.5">
      <c r="A65" s="54" t="s">
        <v>103</v>
      </c>
      <c r="B65" s="50" t="s">
        <v>36</v>
      </c>
      <c r="C65" s="51"/>
    </row>
    <row r="66" spans="1:3" ht="25.5">
      <c r="A66" s="54" t="s">
        <v>104</v>
      </c>
      <c r="B66" s="50" t="s">
        <v>36</v>
      </c>
      <c r="C66" s="51"/>
    </row>
    <row r="67" spans="1:3" ht="25.5">
      <c r="A67" s="54" t="s">
        <v>105</v>
      </c>
      <c r="B67" s="50" t="s">
        <v>36</v>
      </c>
      <c r="C67" s="51"/>
    </row>
    <row r="68" spans="1:3" ht="25.5">
      <c r="A68" s="54" t="s">
        <v>106</v>
      </c>
      <c r="B68" s="50" t="s">
        <v>36</v>
      </c>
      <c r="C68" s="51"/>
    </row>
    <row r="69" spans="1:3">
      <c r="A69" s="54" t="s">
        <v>107</v>
      </c>
      <c r="B69" s="50" t="s">
        <v>97</v>
      </c>
      <c r="C69" s="51"/>
    </row>
    <row r="70" spans="1:3">
      <c r="A70" s="54" t="s">
        <v>108</v>
      </c>
      <c r="B70" s="50" t="s">
        <v>97</v>
      </c>
      <c r="C70" s="51"/>
    </row>
    <row r="71" spans="1:3" ht="63.75">
      <c r="A71" s="54" t="s">
        <v>109</v>
      </c>
      <c r="B71" s="50" t="s">
        <v>100</v>
      </c>
      <c r="C71" s="51"/>
    </row>
    <row r="72" spans="1:3" ht="25.5">
      <c r="A72" s="54" t="s">
        <v>110</v>
      </c>
      <c r="B72" s="50" t="s">
        <v>36</v>
      </c>
      <c r="C72" s="51"/>
    </row>
    <row r="73" spans="1:3">
      <c r="A73" s="44" t="s">
        <v>111</v>
      </c>
      <c r="B73" s="68"/>
      <c r="C73" s="69"/>
    </row>
    <row r="74" spans="1:3">
      <c r="A74" s="54" t="s">
        <v>112</v>
      </c>
      <c r="B74" s="50" t="s">
        <v>97</v>
      </c>
      <c r="C74" s="51"/>
    </row>
    <row r="75" spans="1:3" ht="51">
      <c r="A75" s="54" t="s">
        <v>113</v>
      </c>
      <c r="B75" s="50" t="s">
        <v>97</v>
      </c>
      <c r="C75" s="62" t="s">
        <v>114</v>
      </c>
    </row>
    <row r="76" spans="1:3">
      <c r="A76" s="54" t="s">
        <v>115</v>
      </c>
      <c r="B76" s="50" t="s">
        <v>97</v>
      </c>
      <c r="C76" s="51"/>
    </row>
    <row r="77" spans="1:3">
      <c r="A77" s="54" t="s">
        <v>116</v>
      </c>
      <c r="B77" s="50" t="s">
        <v>97</v>
      </c>
      <c r="C77" s="51"/>
    </row>
    <row r="78" spans="1:3">
      <c r="A78" s="54" t="s">
        <v>117</v>
      </c>
      <c r="B78" s="50" t="s">
        <v>97</v>
      </c>
      <c r="C78" s="51"/>
    </row>
    <row r="79" spans="1:3">
      <c r="A79" s="44" t="s">
        <v>118</v>
      </c>
      <c r="B79" s="68"/>
      <c r="C79" s="69"/>
    </row>
    <row r="80" spans="1:3">
      <c r="A80" s="54" t="s">
        <v>119</v>
      </c>
      <c r="B80" s="50" t="s">
        <v>97</v>
      </c>
      <c r="C80" s="51"/>
    </row>
    <row r="81" spans="1:3" ht="63.75">
      <c r="A81" s="54" t="s">
        <v>120</v>
      </c>
      <c r="B81" s="50" t="s">
        <v>97</v>
      </c>
      <c r="C81" s="62" t="s">
        <v>121</v>
      </c>
    </row>
    <row r="82" spans="1:3">
      <c r="A82" s="54" t="s">
        <v>122</v>
      </c>
      <c r="B82" s="50" t="s">
        <v>97</v>
      </c>
      <c r="C82" s="51"/>
    </row>
    <row r="83" spans="1:3" ht="25.5">
      <c r="A83" s="54" t="s">
        <v>123</v>
      </c>
      <c r="B83" s="50" t="s">
        <v>97</v>
      </c>
      <c r="C83" s="62" t="s">
        <v>124</v>
      </c>
    </row>
    <row r="84" spans="1:3">
      <c r="A84" s="54" t="s">
        <v>125</v>
      </c>
      <c r="B84" s="50" t="s">
        <v>97</v>
      </c>
      <c r="C84" s="51"/>
    </row>
    <row r="85" spans="1:3">
      <c r="A85" s="54" t="s">
        <v>126</v>
      </c>
      <c r="B85" s="50" t="s">
        <v>97</v>
      </c>
      <c r="C85" s="51"/>
    </row>
    <row r="86" spans="1:3">
      <c r="A86" s="54" t="s">
        <v>127</v>
      </c>
      <c r="B86" s="50" t="s">
        <v>97</v>
      </c>
      <c r="C86" s="51"/>
    </row>
    <row r="87" spans="1:3">
      <c r="A87" s="54" t="s">
        <v>128</v>
      </c>
      <c r="B87" s="50" t="s">
        <v>97</v>
      </c>
      <c r="C87" s="51"/>
    </row>
    <row r="88" spans="1:3">
      <c r="A88" s="54" t="s">
        <v>129</v>
      </c>
      <c r="B88" s="50" t="s">
        <v>97</v>
      </c>
      <c r="C88" s="51"/>
    </row>
    <row r="89" spans="1:3">
      <c r="A89" s="54" t="s">
        <v>130</v>
      </c>
      <c r="B89" s="50" t="s">
        <v>97</v>
      </c>
      <c r="C89" s="51"/>
    </row>
    <row r="90" spans="1:3">
      <c r="A90" s="54" t="s">
        <v>131</v>
      </c>
      <c r="B90" s="50" t="s">
        <v>97</v>
      </c>
      <c r="C90" s="51"/>
    </row>
    <row r="91" spans="1:3">
      <c r="A91" s="54" t="s">
        <v>132</v>
      </c>
      <c r="B91" s="50" t="s">
        <v>97</v>
      </c>
      <c r="C91" s="51"/>
    </row>
    <row r="92" spans="1:3">
      <c r="A92" s="54" t="s">
        <v>133</v>
      </c>
      <c r="B92" s="50" t="s">
        <v>97</v>
      </c>
      <c r="C92" s="51"/>
    </row>
    <row r="93" spans="1:3" ht="25.5">
      <c r="A93" s="54" t="s">
        <v>134</v>
      </c>
      <c r="B93" s="50" t="s">
        <v>97</v>
      </c>
      <c r="C93" s="51"/>
    </row>
    <row r="94" spans="1:3" ht="25.5">
      <c r="A94" s="54" t="s">
        <v>135</v>
      </c>
      <c r="B94" s="50" t="s">
        <v>97</v>
      </c>
      <c r="C94" s="51"/>
    </row>
    <row r="95" spans="1:3" ht="25.5">
      <c r="A95" s="54" t="s">
        <v>136</v>
      </c>
      <c r="B95" s="50" t="s">
        <v>97</v>
      </c>
      <c r="C95" s="62" t="s">
        <v>137</v>
      </c>
    </row>
    <row r="96" spans="1:3">
      <c r="A96" s="44" t="s">
        <v>138</v>
      </c>
      <c r="B96" s="68"/>
      <c r="C96" s="69"/>
    </row>
    <row r="97" spans="1:3">
      <c r="A97" s="54" t="s">
        <v>139</v>
      </c>
      <c r="B97" s="50" t="s">
        <v>97</v>
      </c>
      <c r="C97" s="51"/>
    </row>
    <row r="98" spans="1:3">
      <c r="A98" s="54" t="s">
        <v>140</v>
      </c>
      <c r="B98" s="50" t="s">
        <v>97</v>
      </c>
      <c r="C98" s="51"/>
    </row>
    <row r="99" spans="1:3">
      <c r="A99" s="54" t="s">
        <v>141</v>
      </c>
      <c r="B99" s="50" t="s">
        <v>97</v>
      </c>
      <c r="C99" s="51"/>
    </row>
    <row r="100" spans="1:3">
      <c r="A100" s="54" t="s">
        <v>142</v>
      </c>
      <c r="B100" s="50" t="s">
        <v>97</v>
      </c>
      <c r="C100" s="51"/>
    </row>
    <row r="101" spans="1:3">
      <c r="A101" s="54" t="s">
        <v>143</v>
      </c>
      <c r="B101" s="50" t="s">
        <v>97</v>
      </c>
      <c r="C101" s="51"/>
    </row>
    <row r="102" spans="1:3">
      <c r="A102" s="44" t="s">
        <v>144</v>
      </c>
      <c r="B102" s="68"/>
      <c r="C102" s="69"/>
    </row>
    <row r="103" spans="1:3">
      <c r="A103" s="54" t="s">
        <v>145</v>
      </c>
      <c r="B103" s="50" t="s">
        <v>97</v>
      </c>
      <c r="C103" s="51"/>
    </row>
    <row r="104" spans="1:3">
      <c r="A104" s="54" t="s">
        <v>146</v>
      </c>
      <c r="B104" s="50" t="s">
        <v>36</v>
      </c>
      <c r="C104" s="51"/>
    </row>
    <row r="105" spans="1:3">
      <c r="A105" s="44" t="s">
        <v>147</v>
      </c>
      <c r="B105" s="68"/>
      <c r="C105" s="69"/>
    </row>
    <row r="106" spans="1:3">
      <c r="A106" s="54" t="s">
        <v>148</v>
      </c>
      <c r="B106" s="50" t="s">
        <v>36</v>
      </c>
      <c r="C106" s="51"/>
    </row>
    <row r="107" spans="1:3">
      <c r="A107" s="54" t="s">
        <v>149</v>
      </c>
      <c r="B107" s="50" t="s">
        <v>36</v>
      </c>
      <c r="C107" s="51"/>
    </row>
    <row r="108" spans="1:3">
      <c r="A108" s="54" t="s">
        <v>150</v>
      </c>
      <c r="B108" s="50" t="s">
        <v>36</v>
      </c>
      <c r="C108" s="51"/>
    </row>
    <row r="109" spans="1:3">
      <c r="A109" s="54" t="s">
        <v>151</v>
      </c>
      <c r="B109" s="50" t="s">
        <v>36</v>
      </c>
      <c r="C109" s="51"/>
    </row>
    <row r="110" spans="1:3">
      <c r="A110" s="54" t="s">
        <v>152</v>
      </c>
      <c r="B110" s="50" t="s">
        <v>36</v>
      </c>
      <c r="C110" s="51"/>
    </row>
    <row r="111" spans="1:3">
      <c r="A111" s="54" t="s">
        <v>153</v>
      </c>
      <c r="B111" s="50" t="s">
        <v>36</v>
      </c>
      <c r="C111" s="51"/>
    </row>
    <row r="112" spans="1:3">
      <c r="A112" s="44" t="s">
        <v>154</v>
      </c>
      <c r="B112" s="68"/>
      <c r="C112" s="69"/>
    </row>
    <row r="113" spans="1:3">
      <c r="A113" s="54" t="s">
        <v>155</v>
      </c>
      <c r="B113" s="50" t="s">
        <v>36</v>
      </c>
      <c r="C113" s="51"/>
    </row>
    <row r="114" spans="1:3">
      <c r="A114" s="54" t="s">
        <v>156</v>
      </c>
      <c r="B114" s="50" t="s">
        <v>36</v>
      </c>
      <c r="C114" s="51"/>
    </row>
    <row r="115" spans="1:3">
      <c r="A115" s="54" t="s">
        <v>157</v>
      </c>
      <c r="B115" s="50" t="s">
        <v>36</v>
      </c>
      <c r="C115" s="51"/>
    </row>
    <row r="116" spans="1:3">
      <c r="A116" s="44" t="s">
        <v>158</v>
      </c>
      <c r="B116" s="68"/>
      <c r="C116" s="69"/>
    </row>
    <row r="117" spans="1:3" ht="25.5">
      <c r="A117" s="54" t="s">
        <v>159</v>
      </c>
      <c r="B117" s="50" t="s">
        <v>36</v>
      </c>
      <c r="C117" s="51"/>
    </row>
    <row r="118" spans="1:3">
      <c r="A118" s="54" t="s">
        <v>160</v>
      </c>
      <c r="B118" s="50" t="s">
        <v>36</v>
      </c>
      <c r="C118" s="51"/>
    </row>
    <row r="119" spans="1:3">
      <c r="A119" s="54" t="s">
        <v>161</v>
      </c>
      <c r="B119" s="50" t="s">
        <v>36</v>
      </c>
      <c r="C119" s="51"/>
    </row>
    <row r="120" spans="1:3">
      <c r="A120" s="44" t="s">
        <v>162</v>
      </c>
      <c r="B120" s="68"/>
      <c r="C120" s="69"/>
    </row>
    <row r="121" spans="1:3">
      <c r="A121" s="54" t="s">
        <v>163</v>
      </c>
      <c r="B121" s="50" t="s">
        <v>164</v>
      </c>
      <c r="C121" s="51"/>
    </row>
    <row r="122" spans="1:3">
      <c r="A122" s="54" t="s">
        <v>165</v>
      </c>
      <c r="B122" s="50" t="s">
        <v>166</v>
      </c>
      <c r="C122" s="51"/>
    </row>
    <row r="123" spans="1:3">
      <c r="A123" s="44" t="s">
        <v>167</v>
      </c>
      <c r="B123" s="68"/>
      <c r="C123" s="69"/>
    </row>
    <row r="124" spans="1:3">
      <c r="A124" s="54" t="s">
        <v>168</v>
      </c>
      <c r="B124" s="50" t="s">
        <v>97</v>
      </c>
      <c r="C124" s="51"/>
    </row>
    <row r="125" spans="1:3">
      <c r="A125" s="54" t="s">
        <v>169</v>
      </c>
      <c r="B125" s="50" t="s">
        <v>97</v>
      </c>
      <c r="C125" s="51"/>
    </row>
    <row r="126" spans="1:3" ht="25.5">
      <c r="A126" s="44" t="s">
        <v>170</v>
      </c>
      <c r="B126" s="68"/>
      <c r="C126" s="69"/>
    </row>
    <row r="127" spans="1:3">
      <c r="A127" s="54" t="s">
        <v>171</v>
      </c>
      <c r="B127" s="50" t="s">
        <v>97</v>
      </c>
      <c r="C127" s="51"/>
    </row>
    <row r="128" spans="1:3">
      <c r="A128" s="54" t="s">
        <v>172</v>
      </c>
      <c r="B128" s="50" t="s">
        <v>97</v>
      </c>
      <c r="C128" s="51"/>
    </row>
    <row r="129" spans="1:3">
      <c r="A129" s="44" t="s">
        <v>173</v>
      </c>
      <c r="B129" s="68"/>
      <c r="C129" s="69"/>
    </row>
    <row r="130" spans="1:3" ht="51">
      <c r="A130" s="54" t="s">
        <v>174</v>
      </c>
      <c r="B130" s="83" t="s">
        <v>175</v>
      </c>
      <c r="C130" s="51"/>
    </row>
    <row r="131" spans="1:3" ht="51">
      <c r="A131" s="54" t="s">
        <v>176</v>
      </c>
      <c r="B131" s="83" t="s">
        <v>175</v>
      </c>
      <c r="C131" s="51"/>
    </row>
    <row r="132" spans="1:3" ht="51">
      <c r="A132" s="54" t="s">
        <v>177</v>
      </c>
      <c r="B132" s="83" t="s">
        <v>175</v>
      </c>
      <c r="C132" s="51"/>
    </row>
    <row r="133" spans="1:3" ht="38.25">
      <c r="A133" s="54" t="s">
        <v>178</v>
      </c>
      <c r="B133" s="83" t="s">
        <v>179</v>
      </c>
      <c r="C133" s="51"/>
    </row>
    <row r="134" spans="1:3">
      <c r="A134" s="54" t="s">
        <v>180</v>
      </c>
      <c r="B134" s="83" t="s">
        <v>181</v>
      </c>
      <c r="C134" s="51"/>
    </row>
    <row r="135" spans="1:3">
      <c r="A135" s="54" t="s">
        <v>182</v>
      </c>
      <c r="B135" s="83" t="s">
        <v>183</v>
      </c>
      <c r="C135" s="51"/>
    </row>
    <row r="136" spans="1:3">
      <c r="A136" s="54" t="s">
        <v>184</v>
      </c>
      <c r="B136" s="83" t="s">
        <v>185</v>
      </c>
      <c r="C136" s="51"/>
    </row>
    <row r="137" spans="1:3">
      <c r="A137" s="54" t="s">
        <v>186</v>
      </c>
      <c r="B137" s="83" t="s">
        <v>187</v>
      </c>
      <c r="C137" s="51"/>
    </row>
    <row r="138" spans="1:3">
      <c r="A138" s="54" t="s">
        <v>188</v>
      </c>
      <c r="B138" s="83" t="s">
        <v>189</v>
      </c>
      <c r="C138" s="51"/>
    </row>
    <row r="139" spans="1:3">
      <c r="A139" s="54" t="s">
        <v>190</v>
      </c>
      <c r="B139" s="83" t="s">
        <v>189</v>
      </c>
      <c r="C139" s="51"/>
    </row>
    <row r="140" spans="1:3">
      <c r="A140" s="54" t="s">
        <v>191</v>
      </c>
      <c r="B140" s="83" t="s">
        <v>189</v>
      </c>
      <c r="C140" s="51"/>
    </row>
    <row r="141" spans="1:3">
      <c r="A141" s="44" t="s">
        <v>192</v>
      </c>
      <c r="B141" s="68"/>
      <c r="C141" s="69"/>
    </row>
    <row r="142" spans="1:3">
      <c r="A142" s="54" t="s">
        <v>193</v>
      </c>
      <c r="B142" s="50" t="s">
        <v>36</v>
      </c>
      <c r="C142" s="51"/>
    </row>
    <row r="143" spans="1:3">
      <c r="A143" s="54" t="s">
        <v>194</v>
      </c>
      <c r="B143" s="50" t="s">
        <v>36</v>
      </c>
      <c r="C143" s="51"/>
    </row>
    <row r="144" spans="1:3">
      <c r="A144" s="44" t="s">
        <v>195</v>
      </c>
      <c r="B144" s="68"/>
      <c r="C144" s="69"/>
    </row>
    <row r="145" spans="1:3">
      <c r="A145" s="54" t="s">
        <v>196</v>
      </c>
      <c r="B145" s="50" t="s">
        <v>36</v>
      </c>
      <c r="C145" s="51"/>
    </row>
    <row r="146" spans="1:3">
      <c r="A146" s="54" t="s">
        <v>197</v>
      </c>
      <c r="B146" s="50" t="s">
        <v>36</v>
      </c>
      <c r="C146" s="51"/>
    </row>
    <row r="147" spans="1:3">
      <c r="A147" s="54" t="s">
        <v>198</v>
      </c>
      <c r="B147" s="50" t="s">
        <v>36</v>
      </c>
      <c r="C147" s="51"/>
    </row>
    <row r="148" spans="1:3">
      <c r="A148" s="54" t="s">
        <v>199</v>
      </c>
      <c r="B148" s="50" t="s">
        <v>36</v>
      </c>
      <c r="C148" s="51"/>
    </row>
    <row r="149" spans="1:3">
      <c r="A149" s="54" t="s">
        <v>200</v>
      </c>
      <c r="B149" s="50" t="s">
        <v>36</v>
      </c>
      <c r="C149" s="51"/>
    </row>
    <row r="150" spans="1:3">
      <c r="A150" s="54" t="s">
        <v>201</v>
      </c>
      <c r="B150" s="50" t="s">
        <v>36</v>
      </c>
      <c r="C150" s="51"/>
    </row>
    <row r="151" spans="1:3">
      <c r="A151" s="54" t="s">
        <v>202</v>
      </c>
      <c r="B151" s="50" t="s">
        <v>36</v>
      </c>
      <c r="C151" s="51"/>
    </row>
    <row r="152" spans="1:3">
      <c r="A152" s="54" t="s">
        <v>203</v>
      </c>
      <c r="B152" s="50" t="s">
        <v>36</v>
      </c>
      <c r="C152" s="51"/>
    </row>
    <row r="153" spans="1:3">
      <c r="A153" s="54" t="s">
        <v>204</v>
      </c>
      <c r="B153" s="50" t="s">
        <v>36</v>
      </c>
      <c r="C153" s="51"/>
    </row>
    <row r="154" spans="1:3">
      <c r="A154" s="54" t="s">
        <v>205</v>
      </c>
      <c r="B154" s="50" t="s">
        <v>36</v>
      </c>
      <c r="C154" s="51"/>
    </row>
    <row r="155" spans="1:3" ht="25.5">
      <c r="A155" s="54" t="s">
        <v>206</v>
      </c>
      <c r="B155" s="50" t="s">
        <v>36</v>
      </c>
      <c r="C155" s="51"/>
    </row>
    <row r="156" spans="1:3">
      <c r="A156" s="54" t="s">
        <v>207</v>
      </c>
      <c r="B156" s="50" t="s">
        <v>36</v>
      </c>
      <c r="C156" s="51"/>
    </row>
    <row r="241" spans="5:7" ht="15">
      <c r="E241" s="43"/>
      <c r="F241" s="43"/>
      <c r="G241" s="43"/>
    </row>
    <row r="242" spans="5:7" ht="15">
      <c r="E242" s="43"/>
      <c r="F242" s="43"/>
      <c r="G242" s="43"/>
    </row>
    <row r="243" spans="5:7" ht="15">
      <c r="E243" s="43"/>
      <c r="F243" s="43"/>
      <c r="G243" s="84"/>
    </row>
    <row r="244" spans="5:7" ht="15">
      <c r="E244" s="43"/>
      <c r="F244" s="43"/>
      <c r="G244" s="84"/>
    </row>
    <row r="245" spans="5:7" ht="15">
      <c r="E245" s="43"/>
      <c r="F245" s="43"/>
      <c r="G245" s="84"/>
    </row>
    <row r="246" spans="5:7" ht="15">
      <c r="E246" s="43"/>
      <c r="F246" s="43"/>
      <c r="G246" s="84"/>
    </row>
    <row r="247" spans="5:7" ht="15">
      <c r="E247" s="43"/>
      <c r="F247" s="43"/>
      <c r="G247" s="84"/>
    </row>
    <row r="248" spans="5:7" ht="15">
      <c r="E248" s="43"/>
      <c r="F248" s="43"/>
      <c r="G248" s="84"/>
    </row>
    <row r="249" spans="5:7" ht="15">
      <c r="E249" s="43"/>
      <c r="F249" s="43"/>
      <c r="G249" s="84"/>
    </row>
    <row r="250" spans="5:7" ht="15">
      <c r="E250" s="43"/>
      <c r="F250" s="43"/>
      <c r="G250" s="84"/>
    </row>
    <row r="251" spans="5:7" ht="15">
      <c r="E251" s="43"/>
      <c r="F251" s="43"/>
      <c r="G251" s="84"/>
    </row>
    <row r="252" spans="5:7" ht="15">
      <c r="E252" s="43"/>
      <c r="F252" s="43"/>
      <c r="G252" s="84"/>
    </row>
    <row r="253" spans="5:7" ht="15">
      <c r="E253" s="43"/>
      <c r="F253" s="43"/>
      <c r="G253" s="84"/>
    </row>
    <row r="254" spans="5:7" ht="15">
      <c r="E254" s="43"/>
      <c r="F254" s="43"/>
      <c r="G254" s="84"/>
    </row>
    <row r="255" spans="5:7" ht="15">
      <c r="E255" s="43"/>
      <c r="F255" s="43"/>
      <c r="G255" s="84"/>
    </row>
    <row r="256" spans="5:7" ht="15">
      <c r="E256" s="43"/>
      <c r="F256" s="43"/>
      <c r="G256" s="84"/>
    </row>
    <row r="257" spans="5:7" ht="15">
      <c r="E257" s="43"/>
      <c r="F257" s="43"/>
      <c r="G257" s="84"/>
    </row>
    <row r="258" spans="5:7" ht="15">
      <c r="E258" s="43"/>
      <c r="F258" s="43"/>
      <c r="G258" s="84"/>
    </row>
    <row r="259" spans="5:7" ht="15">
      <c r="E259" s="43"/>
      <c r="F259" s="43"/>
      <c r="G259" s="84"/>
    </row>
    <row r="260" spans="5:7" ht="15">
      <c r="E260" s="43"/>
      <c r="F260" s="43"/>
      <c r="G260" s="84"/>
    </row>
    <row r="261" spans="5:7" ht="15">
      <c r="E261" s="43"/>
      <c r="F261" s="43"/>
      <c r="G261" s="84"/>
    </row>
    <row r="262" spans="5:7" ht="15">
      <c r="E262" s="43"/>
      <c r="F262" s="43"/>
      <c r="G262" s="84"/>
    </row>
    <row r="263" spans="5:7" ht="15">
      <c r="E263" s="43"/>
      <c r="F263" s="43"/>
      <c r="G263" s="84"/>
    </row>
    <row r="264" spans="5:7" ht="15">
      <c r="E264" s="43"/>
      <c r="F264" s="43"/>
      <c r="G264" s="84"/>
    </row>
    <row r="265" spans="5:7" ht="15">
      <c r="E265" s="43"/>
      <c r="F265" s="43"/>
      <c r="G265" s="84"/>
    </row>
    <row r="266" spans="5:7" ht="15">
      <c r="E266" s="43"/>
      <c r="F266" s="43"/>
      <c r="G266" s="43"/>
    </row>
    <row r="267" spans="5:7" ht="15">
      <c r="E267" s="43"/>
      <c r="F267" s="43"/>
      <c r="G267" s="43"/>
    </row>
    <row r="268" spans="5:7" ht="15">
      <c r="E268" s="43"/>
      <c r="F268" s="43"/>
      <c r="G268" s="43"/>
    </row>
    <row r="269" spans="5:7" ht="15">
      <c r="E269" s="43"/>
      <c r="F269" s="43"/>
      <c r="G269" s="43"/>
    </row>
    <row r="270" spans="5:7" ht="15">
      <c r="E270" s="43"/>
      <c r="F270" s="43"/>
      <c r="G270" s="43"/>
    </row>
    <row r="271" spans="5:7" ht="15">
      <c r="E271" s="43"/>
      <c r="F271" s="43"/>
      <c r="G271" s="43"/>
    </row>
    <row r="272" spans="5:7" ht="15">
      <c r="E272" s="43"/>
      <c r="F272" s="43"/>
      <c r="G272" s="43"/>
    </row>
    <row r="353" spans="5:5" ht="15">
      <c r="E353" s="43"/>
    </row>
    <row r="354" spans="5:5" ht="15">
      <c r="E354" s="43"/>
    </row>
    <row r="355" spans="5:5" ht="15">
      <c r="E355" s="43"/>
    </row>
    <row r="356" spans="5:5" ht="15">
      <c r="E356" s="43"/>
    </row>
    <row r="358" spans="5:5" ht="15">
      <c r="E358" s="43"/>
    </row>
    <row r="360" spans="5:5" ht="15">
      <c r="E360" s="43"/>
    </row>
    <row r="362" spans="5:5" ht="15">
      <c r="E362" s="43"/>
    </row>
    <row r="365" spans="5:5" ht="15">
      <c r="E365" s="43"/>
    </row>
    <row r="366" spans="5:5" ht="15">
      <c r="E366" s="43"/>
    </row>
    <row r="367" spans="5:5" ht="15">
      <c r="E367" s="43"/>
    </row>
    <row r="368" spans="5:5" ht="15">
      <c r="E368" s="43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X13" workbookViewId="0">
      <selection activeCell="AA23" sqref="AA23:AB28"/>
    </sheetView>
  </sheetViews>
  <sheetFormatPr defaultColWidth="9" defaultRowHeight="15"/>
  <cols>
    <col min="1" max="1" width="2" customWidth="1"/>
    <col min="2" max="2" width="11.5703125" customWidth="1"/>
    <col min="3" max="3" width="57.85546875" style="7" customWidth="1"/>
    <col min="4" max="4" width="10.85546875" customWidth="1"/>
    <col min="5" max="5" width="10.42578125" customWidth="1"/>
    <col min="6" max="6" width="11.85546875" customWidth="1"/>
    <col min="7" max="7" width="29.5703125" customWidth="1"/>
    <col min="8" max="8" width="46" style="7" customWidth="1"/>
    <col min="9" max="9" width="12.7109375" customWidth="1"/>
    <col min="11" max="11" width="2.7109375" customWidth="1"/>
    <col min="13" max="13" width="55.42578125" style="7" customWidth="1"/>
    <col min="16" max="16" width="2.28515625" customWidth="1"/>
    <col min="18" max="18" width="57.5703125" style="7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6.7109375" style="7" customWidth="1"/>
    <col min="31" max="31" width="1.7109375" customWidth="1"/>
    <col min="33" max="33" width="20.28515625" customWidth="1"/>
  </cols>
  <sheetData>
    <row r="1" spans="2:9">
      <c r="C1" s="8"/>
    </row>
    <row r="2" spans="2:9">
      <c r="C2" s="9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9" t="s">
        <v>213</v>
      </c>
      <c r="I2" s="27" t="s">
        <v>214</v>
      </c>
    </row>
    <row r="3" spans="2:9">
      <c r="C3" s="11" t="str">
        <f>MID('Stock Item'!$D$2,4,3)</f>
        <v>R20</v>
      </c>
      <c r="D3" s="8" t="str">
        <f>MID('Stock Item'!$D$2,5,2)</f>
        <v>20</v>
      </c>
      <c r="E3" s="11" t="str">
        <f>MID('Stock Item'!$D$2,3,1)</f>
        <v>D</v>
      </c>
      <c r="F3" s="11" t="str">
        <f>MID('Stock Item'!$D$2,7,1)</f>
        <v>F</v>
      </c>
      <c r="G3" s="7" t="str">
        <f>MID('Stock Item'!$D$2,8,2)</f>
        <v>30</v>
      </c>
      <c r="H3" s="11" t="str">
        <f>MID('Stock Item'!$D$2,8,11)</f>
        <v>30</v>
      </c>
      <c r="I3" t="str">
        <f>MID('Stock Item'!$D$2,2,1)</f>
        <v>R</v>
      </c>
    </row>
    <row r="4" spans="2:9">
      <c r="D4" s="12" t="str">
        <f>CONCATENATE(C3)</f>
        <v>R20</v>
      </c>
      <c r="G4" s="12" t="str">
        <f>CONCATENATE($H$3,"-")</f>
        <v>30-</v>
      </c>
      <c r="H4" s="7" t="str">
        <f>CONCATENATE(D3,"-")</f>
        <v>20-</v>
      </c>
    </row>
    <row r="6" spans="2:9">
      <c r="B6" s="9" t="s">
        <v>215</v>
      </c>
      <c r="C6" s="13" t="str">
        <f>VLOOKUP($C$3,$B$23:$E$72,2,0)</f>
        <v>Trim-O-97 I-70.5 H-55mm White SRRR20/30W</v>
      </c>
      <c r="D6" s="14" t="str">
        <f>VLOOKUP($D$4,G23:$J$100,2,0)</f>
        <v>HS 69X42.5mm (Fulai) SRRR20W</v>
      </c>
      <c r="E6" s="14" t="e">
        <f>VLOOKUP($E$3,$L$23:$O$72,2,0)</f>
        <v>#N/A</v>
      </c>
      <c r="F6" s="14" t="e">
        <f>VLOOKUP($F$3,$Q$23:$T$72,2,0)</f>
        <v>#N/A</v>
      </c>
      <c r="G6" s="14" t="str">
        <f>VLOOKUP($G$4,$V$23:$Y$72,2,0)</f>
        <v>COB 30-36W 3000K 12LED 34-38V 890mA 19x19mm CRI-90</v>
      </c>
      <c r="H6" s="15" t="str">
        <f>VLOOKUP($H$4,$AA$23:$AD$72,2,0)</f>
        <v>PS 20W 500mA 36V Maxic(PCB LT-MX-20W-V2)</v>
      </c>
      <c r="I6" s="15" t="e">
        <f>VLOOKUP($I$3,AF23:$AI$100,2,0)</f>
        <v>#N/A</v>
      </c>
    </row>
    <row r="7" spans="2:9" ht="30">
      <c r="B7" s="9" t="s">
        <v>216</v>
      </c>
      <c r="C7" s="13">
        <f>VLOOKUP($C$3,$B$23:$E$72,4,0)</f>
        <v>0</v>
      </c>
      <c r="D7" s="14">
        <f>VLOOKUP($D$4,G23:$J$100,4,0)</f>
        <v>0</v>
      </c>
      <c r="E7" s="14" t="e">
        <f>VLOOKUP($E$3,$L$23:$O$72,4,0)</f>
        <v>#N/A</v>
      </c>
      <c r="F7" s="14" t="e">
        <f>VLOOKUP($F$3,$Q$23:$T$72,4,0)</f>
        <v>#N/A</v>
      </c>
      <c r="G7" s="14">
        <f>VLOOKUP($G$4,$V$23:$Y$72,4,0)</f>
        <v>0</v>
      </c>
      <c r="H7" s="15">
        <f>VLOOKUP($H$4,$AA$23:$AD$72,4,0)</f>
        <v>0</v>
      </c>
      <c r="I7" s="15" t="e">
        <f>VLOOKUP($I$3,$AF$23:$AI$100,4,0)</f>
        <v>#N/A</v>
      </c>
    </row>
    <row r="8" spans="2:9" ht="45">
      <c r="B8" s="9" t="s">
        <v>217</v>
      </c>
      <c r="C8" s="13">
        <f>VLOOKUP($C$3,$B$23:$E$72,3,0)</f>
        <v>0</v>
      </c>
      <c r="D8" s="14">
        <f>VLOOKUP($D$4,G23:$J$100,3,0)</f>
        <v>0</v>
      </c>
      <c r="E8" s="14" t="e">
        <f>VLOOKUP($E$3,$L$23:$O$72,3,0)</f>
        <v>#N/A</v>
      </c>
      <c r="F8" s="14" t="e">
        <f>VLOOKUP($F$3,$Q$23:$T$72,3,0)</f>
        <v>#N/A</v>
      </c>
      <c r="G8" s="14">
        <f>VLOOKUP($G$4,$V$23:$Y$72,3,0)</f>
        <v>0</v>
      </c>
      <c r="H8" s="15">
        <f>VLOOKUP($H$4,$AA$23:$AD$72,3,0)</f>
        <v>0</v>
      </c>
      <c r="I8" s="15" t="e">
        <f>VLOOKUP($I$3,$AF$23:$AI$100,3,0)</f>
        <v>#N/A</v>
      </c>
    </row>
    <row r="10" spans="2:9">
      <c r="H10" s="16" t="s">
        <v>218</v>
      </c>
    </row>
    <row r="19" spans="2:35" ht="13.9" customHeight="1"/>
    <row r="21" spans="2:35">
      <c r="B21" s="141" t="s">
        <v>208</v>
      </c>
      <c r="C21" s="142"/>
      <c r="D21" s="142"/>
      <c r="E21" s="142"/>
      <c r="G21" s="141" t="s">
        <v>209</v>
      </c>
      <c r="H21" s="142"/>
      <c r="I21" s="142"/>
      <c r="J21" s="142"/>
      <c r="L21" s="141" t="s">
        <v>210</v>
      </c>
      <c r="M21" s="142"/>
      <c r="N21" s="142"/>
      <c r="O21" s="142"/>
      <c r="Q21" s="141" t="s">
        <v>211</v>
      </c>
      <c r="R21" s="142"/>
      <c r="S21" s="142"/>
      <c r="T21" s="142"/>
      <c r="V21" s="141" t="s">
        <v>219</v>
      </c>
      <c r="W21" s="142"/>
      <c r="X21" s="142"/>
      <c r="Y21" s="142"/>
      <c r="AA21" s="138" t="s">
        <v>213</v>
      </c>
      <c r="AB21" s="139"/>
      <c r="AC21" s="139"/>
      <c r="AD21" s="140"/>
      <c r="AF21" s="138" t="s">
        <v>214</v>
      </c>
      <c r="AG21" s="139"/>
      <c r="AH21" s="139"/>
      <c r="AI21" s="140"/>
    </row>
    <row r="22" spans="2:35">
      <c r="B22" s="18" t="s">
        <v>220</v>
      </c>
      <c r="C22" s="19" t="s">
        <v>221</v>
      </c>
      <c r="D22" s="18" t="s">
        <v>222</v>
      </c>
      <c r="E22" s="18" t="s">
        <v>223</v>
      </c>
      <c r="G22" s="18" t="s">
        <v>220</v>
      </c>
      <c r="H22" s="19" t="s">
        <v>221</v>
      </c>
      <c r="I22" s="18" t="s">
        <v>222</v>
      </c>
      <c r="J22" s="18" t="s">
        <v>223</v>
      </c>
      <c r="L22" s="18" t="s">
        <v>220</v>
      </c>
      <c r="M22" s="19" t="s">
        <v>221</v>
      </c>
      <c r="N22" s="18" t="s">
        <v>222</v>
      </c>
      <c r="O22" s="18" t="s">
        <v>223</v>
      </c>
      <c r="Q22" s="18" t="s">
        <v>220</v>
      </c>
      <c r="R22" s="19" t="s">
        <v>221</v>
      </c>
      <c r="S22" s="18" t="s">
        <v>222</v>
      </c>
      <c r="T22" s="18" t="s">
        <v>223</v>
      </c>
      <c r="V22" s="18" t="s">
        <v>220</v>
      </c>
      <c r="W22" s="18" t="s">
        <v>221</v>
      </c>
      <c r="X22" s="18" t="s">
        <v>222</v>
      </c>
      <c r="Y22" s="18" t="s">
        <v>223</v>
      </c>
      <c r="AA22" s="18" t="s">
        <v>220</v>
      </c>
      <c r="AB22" s="19" t="s">
        <v>221</v>
      </c>
      <c r="AC22" s="18" t="s">
        <v>222</v>
      </c>
      <c r="AD22" s="18" t="s">
        <v>223</v>
      </c>
      <c r="AF22" s="18" t="s">
        <v>220</v>
      </c>
      <c r="AG22" s="18" t="s">
        <v>221</v>
      </c>
      <c r="AH22" s="18" t="s">
        <v>222</v>
      </c>
      <c r="AI22" s="18" t="s">
        <v>223</v>
      </c>
    </row>
    <row r="23" spans="2:35">
      <c r="B23" s="20" t="s">
        <v>224</v>
      </c>
      <c r="C23" s="21" t="s">
        <v>225</v>
      </c>
      <c r="D23" s="22"/>
      <c r="E23" s="22"/>
      <c r="G23" s="23" t="s">
        <v>224</v>
      </c>
      <c r="H23" s="20" t="s">
        <v>226</v>
      </c>
      <c r="L23" s="28"/>
      <c r="M23" s="29"/>
      <c r="Q23" s="26"/>
      <c r="R23" s="33"/>
      <c r="V23" s="31" t="s">
        <v>227</v>
      </c>
      <c r="W23" s="22" t="s">
        <v>228</v>
      </c>
      <c r="X23" s="31"/>
      <c r="AA23" s="23" t="s">
        <v>229</v>
      </c>
      <c r="AB23" s="20" t="s">
        <v>230</v>
      </c>
      <c r="AF23" s="36"/>
      <c r="AG23" s="36"/>
    </row>
    <row r="24" spans="2:35">
      <c r="B24" s="24" t="s">
        <v>231</v>
      </c>
      <c r="C24" s="25" t="s">
        <v>232</v>
      </c>
      <c r="D24" s="22"/>
      <c r="E24" s="22"/>
      <c r="G24" s="26" t="s">
        <v>233</v>
      </c>
      <c r="H24" s="20" t="s">
        <v>234</v>
      </c>
      <c r="L24" s="30"/>
      <c r="M24" s="31"/>
      <c r="Q24" s="26"/>
      <c r="R24" s="33"/>
      <c r="V24" s="31" t="s">
        <v>235</v>
      </c>
      <c r="W24" s="22" t="s">
        <v>236</v>
      </c>
      <c r="X24" s="31"/>
      <c r="AA24" s="26" t="s">
        <v>237</v>
      </c>
      <c r="AB24" s="37" t="s">
        <v>238</v>
      </c>
      <c r="AF24" s="36"/>
      <c r="AG24" s="36"/>
    </row>
    <row r="25" spans="2:35">
      <c r="B25" s="24" t="s">
        <v>233</v>
      </c>
      <c r="C25" s="21" t="s">
        <v>225</v>
      </c>
      <c r="D25" s="22"/>
      <c r="E25" s="22"/>
      <c r="L25" s="30"/>
      <c r="M25" s="32"/>
      <c r="V25" s="31" t="s">
        <v>239</v>
      </c>
      <c r="W25" s="22" t="s">
        <v>240</v>
      </c>
      <c r="X25" s="31"/>
      <c r="AA25" s="26" t="s">
        <v>241</v>
      </c>
      <c r="AB25" s="37" t="s">
        <v>242</v>
      </c>
      <c r="AF25" s="31"/>
      <c r="AG25" s="36"/>
    </row>
    <row r="26" spans="2:35">
      <c r="B26" s="24" t="s">
        <v>243</v>
      </c>
      <c r="C26" s="25" t="s">
        <v>232</v>
      </c>
      <c r="D26" s="22"/>
      <c r="E26" s="22"/>
      <c r="G26" s="23" t="s">
        <v>231</v>
      </c>
      <c r="H26" s="20" t="s">
        <v>226</v>
      </c>
      <c r="L26" s="30"/>
      <c r="M26" s="31"/>
      <c r="V26" s="31" t="s">
        <v>244</v>
      </c>
      <c r="W26" s="22" t="s">
        <v>245</v>
      </c>
      <c r="X26" s="31"/>
      <c r="AA26" s="26" t="s">
        <v>246</v>
      </c>
      <c r="AB26" s="20" t="s">
        <v>247</v>
      </c>
      <c r="AF26" s="31"/>
      <c r="AG26" s="36"/>
    </row>
    <row r="27" spans="2:35">
      <c r="G27" s="26" t="s">
        <v>243</v>
      </c>
      <c r="H27" s="20" t="s">
        <v>234</v>
      </c>
      <c r="V27" s="31" t="s">
        <v>248</v>
      </c>
      <c r="W27" s="22" t="s">
        <v>249</v>
      </c>
      <c r="X27" s="31"/>
      <c r="AA27" s="26" t="s">
        <v>250</v>
      </c>
      <c r="AB27" s="24" t="s">
        <v>251</v>
      </c>
    </row>
    <row r="28" spans="2:35">
      <c r="V28" s="31"/>
      <c r="W28" s="34"/>
      <c r="X28" s="31"/>
      <c r="AA28" s="26" t="s">
        <v>252</v>
      </c>
      <c r="AB28" s="38" t="s">
        <v>253</v>
      </c>
    </row>
    <row r="29" spans="2:35">
      <c r="V29" s="31" t="s">
        <v>254</v>
      </c>
      <c r="W29" s="22" t="s">
        <v>228</v>
      </c>
      <c r="X29" s="31"/>
      <c r="AA29" s="34"/>
      <c r="AB29" s="34"/>
    </row>
    <row r="30" spans="2:35">
      <c r="V30" s="31" t="s">
        <v>255</v>
      </c>
      <c r="W30" s="22" t="s">
        <v>236</v>
      </c>
      <c r="X30" s="31"/>
      <c r="AA30" s="26" t="s">
        <v>235</v>
      </c>
      <c r="AB30" s="24" t="s">
        <v>256</v>
      </c>
    </row>
    <row r="31" spans="2:35">
      <c r="V31" s="31" t="s">
        <v>257</v>
      </c>
      <c r="W31" s="22" t="s">
        <v>240</v>
      </c>
      <c r="AA31" s="26" t="s">
        <v>255</v>
      </c>
      <c r="AB31" s="24" t="s">
        <v>258</v>
      </c>
    </row>
    <row r="32" spans="2:35">
      <c r="V32" s="31" t="s">
        <v>259</v>
      </c>
      <c r="W32" s="22" t="s">
        <v>245</v>
      </c>
      <c r="AA32" s="26" t="s">
        <v>260</v>
      </c>
      <c r="AB32" s="24" t="s">
        <v>261</v>
      </c>
    </row>
    <row r="33" spans="22:28">
      <c r="V33" s="31" t="s">
        <v>262</v>
      </c>
      <c r="W33" s="22" t="s">
        <v>249</v>
      </c>
      <c r="AA33" s="26" t="s">
        <v>263</v>
      </c>
      <c r="AB33" s="24" t="s">
        <v>264</v>
      </c>
    </row>
    <row r="34" spans="22:28">
      <c r="V34" s="34"/>
      <c r="W34" s="34"/>
      <c r="AA34" s="26" t="s">
        <v>265</v>
      </c>
      <c r="AB34" s="24" t="s">
        <v>266</v>
      </c>
    </row>
    <row r="35" spans="22:28">
      <c r="V35" s="35" t="s">
        <v>267</v>
      </c>
      <c r="W35" s="22" t="s">
        <v>228</v>
      </c>
      <c r="AA35" s="26" t="s">
        <v>268</v>
      </c>
      <c r="AB35" s="24" t="s">
        <v>269</v>
      </c>
    </row>
    <row r="36" spans="22:28">
      <c r="V36" s="35" t="s">
        <v>260</v>
      </c>
      <c r="W36" s="22" t="s">
        <v>236</v>
      </c>
      <c r="AB36"/>
    </row>
    <row r="37" spans="22:28">
      <c r="V37" s="35" t="s">
        <v>270</v>
      </c>
      <c r="W37" s="22" t="s">
        <v>240</v>
      </c>
      <c r="AB37"/>
    </row>
    <row r="38" spans="22:28">
      <c r="V38" s="35" t="s">
        <v>271</v>
      </c>
      <c r="W38" s="22" t="s">
        <v>245</v>
      </c>
      <c r="AB38"/>
    </row>
    <row r="39" spans="22:28">
      <c r="V39" s="35" t="s">
        <v>272</v>
      </c>
      <c r="W39" s="22" t="s">
        <v>249</v>
      </c>
      <c r="AB39"/>
    </row>
    <row r="40" spans="22:28">
      <c r="V40" s="35" t="s">
        <v>273</v>
      </c>
      <c r="W40" s="22" t="s">
        <v>274</v>
      </c>
      <c r="AB40"/>
    </row>
    <row r="41" spans="22:28">
      <c r="V41" s="26"/>
      <c r="W41" s="35"/>
      <c r="AB41"/>
    </row>
    <row r="42" spans="22:28">
      <c r="V42" s="35" t="s">
        <v>275</v>
      </c>
      <c r="W42" s="22" t="s">
        <v>228</v>
      </c>
      <c r="AB42"/>
    </row>
    <row r="43" spans="22:28">
      <c r="V43" s="35" t="s">
        <v>263</v>
      </c>
      <c r="W43" s="22" t="s">
        <v>236</v>
      </c>
      <c r="AB43"/>
    </row>
    <row r="44" spans="22:28">
      <c r="V44" s="35" t="s">
        <v>276</v>
      </c>
      <c r="W44" s="22" t="s">
        <v>240</v>
      </c>
      <c r="AB44"/>
    </row>
    <row r="45" spans="22:28">
      <c r="V45" s="35" t="s">
        <v>277</v>
      </c>
      <c r="W45" s="22" t="s">
        <v>245</v>
      </c>
      <c r="AB45"/>
    </row>
    <row r="46" spans="22:28">
      <c r="V46" s="35" t="s">
        <v>278</v>
      </c>
      <c r="W46" s="22" t="s">
        <v>249</v>
      </c>
      <c r="AB46"/>
    </row>
    <row r="47" spans="22:28">
      <c r="V47" s="35" t="s">
        <v>279</v>
      </c>
      <c r="W47" s="22" t="s">
        <v>274</v>
      </c>
      <c r="AB47"/>
    </row>
    <row r="48" spans="22:28">
      <c r="AB48"/>
    </row>
    <row r="49" spans="28:28">
      <c r="AB49"/>
    </row>
  </sheetData>
  <mergeCells count="7">
    <mergeCell ref="AA21:AD21"/>
    <mergeCell ref="AF21:AI21"/>
    <mergeCell ref="B21:E21"/>
    <mergeCell ref="G21:J21"/>
    <mergeCell ref="L21:O21"/>
    <mergeCell ref="Q21:T21"/>
    <mergeCell ref="V21:Y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V73"/>
  <sheetViews>
    <sheetView topLeftCell="A44" zoomScale="77" zoomScaleNormal="77" workbookViewId="0">
      <selection activeCell="L66" sqref="L66"/>
    </sheetView>
  </sheetViews>
  <sheetFormatPr defaultColWidth="9.140625" defaultRowHeight="15"/>
  <cols>
    <col min="1" max="1" width="7" style="2" customWidth="1"/>
    <col min="2" max="2" width="14.140625" style="2" customWidth="1"/>
    <col min="3" max="3" width="14.42578125" style="3" customWidth="1"/>
    <col min="4" max="4" width="9.7109375" style="2" customWidth="1"/>
    <col min="5" max="5" width="11" style="2" customWidth="1"/>
    <col min="6" max="6" width="11.85546875" style="2" customWidth="1"/>
    <col min="7" max="7" width="7.42578125" style="2" customWidth="1"/>
    <col min="8" max="8" width="6.42578125" style="2" customWidth="1"/>
    <col min="9" max="9" width="6.85546875" style="2" customWidth="1"/>
    <col min="10" max="10" width="6.42578125" style="2" customWidth="1"/>
    <col min="11" max="11" width="11.5703125" style="2" customWidth="1"/>
    <col min="12" max="12" width="61.42578125" style="2" customWidth="1"/>
    <col min="13" max="13" width="17.28515625" style="2" customWidth="1"/>
    <col min="14" max="14" width="47.7109375" style="2" customWidth="1"/>
    <col min="15" max="15" width="7.7109375" style="2" customWidth="1"/>
    <col min="16" max="16" width="9.140625" style="2"/>
    <col min="17" max="21" width="9.140625" style="4"/>
    <col min="22" max="16384" width="9.140625" style="2"/>
  </cols>
  <sheetData>
    <row r="1" spans="1:22" s="1" customFormat="1">
      <c r="A1" s="1" t="s">
        <v>280</v>
      </c>
      <c r="B1" s="5" t="s">
        <v>281</v>
      </c>
      <c r="C1" s="1" t="s">
        <v>282</v>
      </c>
      <c r="D1" s="6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5"/>
      <c r="V1" s="6"/>
    </row>
    <row r="2" spans="1:22">
      <c r="A2" s="2">
        <v>141615</v>
      </c>
      <c r="B2" s="2" t="s">
        <v>295</v>
      </c>
      <c r="C2" s="3" t="str">
        <f>CONCATENATE(Q2,R2,S2,T2,U2)</f>
        <v>SRDR20F60</v>
      </c>
      <c r="D2" s="2">
        <v>0</v>
      </c>
      <c r="E2" s="2">
        <v>0</v>
      </c>
      <c r="F2" s="2">
        <v>1159</v>
      </c>
      <c r="G2" s="2">
        <v>0</v>
      </c>
      <c r="H2" s="2">
        <v>0</v>
      </c>
      <c r="I2" s="2">
        <v>0</v>
      </c>
      <c r="J2" s="2">
        <v>0</v>
      </c>
      <c r="K2" s="2" t="s">
        <v>296</v>
      </c>
      <c r="L2" s="2" t="s">
        <v>297</v>
      </c>
      <c r="M2" s="2" t="s">
        <v>298</v>
      </c>
      <c r="N2" s="2" t="s">
        <v>299</v>
      </c>
      <c r="O2" s="2" t="s">
        <v>300</v>
      </c>
      <c r="Q2" s="4" t="str">
        <f>MID(B2,1,3)</f>
        <v>SRD</v>
      </c>
      <c r="R2" s="4" t="str">
        <f>MID(B2,4,1)</f>
        <v>R</v>
      </c>
      <c r="S2" s="4" t="str">
        <f>MID(B2,5,2)</f>
        <v>20</v>
      </c>
      <c r="T2" s="4" t="str">
        <f>MID(B2,7,1)</f>
        <v>F</v>
      </c>
      <c r="U2" s="4" t="str">
        <f>MID(B2,8,2)</f>
        <v>60</v>
      </c>
    </row>
    <row r="3" spans="1:22">
      <c r="A3" s="2">
        <v>141616</v>
      </c>
      <c r="B3" s="2" t="s">
        <v>301</v>
      </c>
      <c r="C3" s="3" t="str">
        <f t="shared" ref="C3:C66" si="0">CONCATENATE(Q3,R3,S3,T3,U3)</f>
        <v>SRDR20F50</v>
      </c>
      <c r="D3" s="2">
        <v>0</v>
      </c>
      <c r="E3" s="2">
        <v>0</v>
      </c>
      <c r="F3" s="2">
        <v>1159</v>
      </c>
      <c r="G3" s="2">
        <v>0</v>
      </c>
      <c r="H3" s="2">
        <v>0</v>
      </c>
      <c r="I3" s="2">
        <v>0</v>
      </c>
      <c r="J3" s="2">
        <v>0</v>
      </c>
      <c r="K3" s="2" t="s">
        <v>296</v>
      </c>
      <c r="L3" s="2" t="s">
        <v>302</v>
      </c>
      <c r="M3" s="2" t="s">
        <v>298</v>
      </c>
      <c r="N3" s="2" t="s">
        <v>299</v>
      </c>
      <c r="O3" s="2" t="s">
        <v>300</v>
      </c>
      <c r="Q3" s="4" t="str">
        <f t="shared" ref="Q3:Q66" si="1">MID(B3,1,3)</f>
        <v>SRD</v>
      </c>
      <c r="R3" s="4" t="str">
        <f t="shared" ref="R3:R66" si="2">MID(B3,4,1)</f>
        <v>R</v>
      </c>
      <c r="S3" s="4" t="str">
        <f t="shared" ref="S3:S66" si="3">MID(B3,5,2)</f>
        <v>20</v>
      </c>
      <c r="T3" s="4" t="str">
        <f t="shared" ref="T3:T66" si="4">MID(B3,7,1)</f>
        <v>F</v>
      </c>
      <c r="U3" s="4" t="str">
        <f t="shared" ref="U3:U17" si="5">MID(B3,8,2)</f>
        <v>50</v>
      </c>
    </row>
    <row r="4" spans="1:22">
      <c r="A4" s="2">
        <v>141617</v>
      </c>
      <c r="B4" s="2" t="s">
        <v>303</v>
      </c>
      <c r="C4" s="3" t="str">
        <f t="shared" si="0"/>
        <v>SRDR20F40</v>
      </c>
      <c r="D4" s="2">
        <v>0</v>
      </c>
      <c r="E4" s="2">
        <v>0</v>
      </c>
      <c r="F4" s="2">
        <v>1159</v>
      </c>
      <c r="G4" s="2">
        <v>0</v>
      </c>
      <c r="H4" s="2">
        <v>0</v>
      </c>
      <c r="I4" s="2">
        <v>0</v>
      </c>
      <c r="J4" s="2">
        <v>0</v>
      </c>
      <c r="K4" s="2" t="s">
        <v>296</v>
      </c>
      <c r="L4" s="2" t="s">
        <v>304</v>
      </c>
      <c r="M4" s="2" t="s">
        <v>298</v>
      </c>
      <c r="N4" s="2" t="s">
        <v>299</v>
      </c>
      <c r="O4" s="2" t="s">
        <v>300</v>
      </c>
      <c r="Q4" s="4" t="str">
        <f t="shared" si="1"/>
        <v>SRD</v>
      </c>
      <c r="R4" s="4" t="str">
        <f t="shared" si="2"/>
        <v>R</v>
      </c>
      <c r="S4" s="4" t="str">
        <f t="shared" si="3"/>
        <v>20</v>
      </c>
      <c r="T4" s="4" t="str">
        <f t="shared" si="4"/>
        <v>F</v>
      </c>
      <c r="U4" s="4" t="str">
        <f t="shared" si="5"/>
        <v>40</v>
      </c>
    </row>
    <row r="5" spans="1:22">
      <c r="A5" s="2">
        <v>141618</v>
      </c>
      <c r="B5" s="2" t="s">
        <v>305</v>
      </c>
      <c r="C5" s="3" t="str">
        <f t="shared" si="0"/>
        <v>SRDR20F30</v>
      </c>
      <c r="D5" s="2">
        <v>0</v>
      </c>
      <c r="E5" s="2">
        <v>0</v>
      </c>
      <c r="F5" s="2">
        <v>1159</v>
      </c>
      <c r="G5" s="2">
        <v>0</v>
      </c>
      <c r="H5" s="2">
        <v>0</v>
      </c>
      <c r="I5" s="2">
        <v>0</v>
      </c>
      <c r="J5" s="2">
        <v>0</v>
      </c>
      <c r="K5" s="2" t="s">
        <v>296</v>
      </c>
      <c r="L5" s="2" t="s">
        <v>306</v>
      </c>
      <c r="M5" s="2" t="s">
        <v>298</v>
      </c>
      <c r="N5" s="2" t="s">
        <v>299</v>
      </c>
      <c r="O5" s="2" t="s">
        <v>300</v>
      </c>
      <c r="Q5" s="4" t="str">
        <f t="shared" si="1"/>
        <v>SRD</v>
      </c>
      <c r="R5" s="4" t="str">
        <f t="shared" si="2"/>
        <v>R</v>
      </c>
      <c r="S5" s="4" t="str">
        <f t="shared" si="3"/>
        <v>20</v>
      </c>
      <c r="T5" s="4" t="str">
        <f t="shared" si="4"/>
        <v>F</v>
      </c>
      <c r="U5" s="4" t="str">
        <f t="shared" si="5"/>
        <v>30</v>
      </c>
    </row>
    <row r="6" spans="1:22">
      <c r="A6" s="2">
        <v>141622</v>
      </c>
      <c r="B6" s="2" t="s">
        <v>307</v>
      </c>
      <c r="C6" s="3" t="str">
        <f t="shared" si="0"/>
        <v>SRDB20F60</v>
      </c>
      <c r="D6" s="2">
        <v>0</v>
      </c>
      <c r="E6" s="2">
        <v>0</v>
      </c>
      <c r="F6" s="2">
        <v>1326</v>
      </c>
      <c r="G6" s="2">
        <v>0</v>
      </c>
      <c r="H6" s="2">
        <v>0</v>
      </c>
      <c r="I6" s="2">
        <v>0</v>
      </c>
      <c r="J6" s="2">
        <v>0</v>
      </c>
      <c r="K6" s="2" t="s">
        <v>296</v>
      </c>
      <c r="L6" s="2" t="s">
        <v>297</v>
      </c>
      <c r="M6" s="2" t="s">
        <v>308</v>
      </c>
      <c r="N6" s="2" t="s">
        <v>299</v>
      </c>
      <c r="O6" s="2" t="s">
        <v>300</v>
      </c>
      <c r="Q6" s="4" t="str">
        <f t="shared" si="1"/>
        <v>SRD</v>
      </c>
      <c r="R6" s="4" t="str">
        <f t="shared" si="2"/>
        <v>B</v>
      </c>
      <c r="S6" s="4" t="str">
        <f t="shared" si="3"/>
        <v>20</v>
      </c>
      <c r="T6" s="4" t="str">
        <f t="shared" si="4"/>
        <v>F</v>
      </c>
      <c r="U6" s="4" t="str">
        <f t="shared" si="5"/>
        <v>60</v>
      </c>
    </row>
    <row r="7" spans="1:22">
      <c r="A7" s="2">
        <v>141623</v>
      </c>
      <c r="B7" s="2" t="s">
        <v>309</v>
      </c>
      <c r="C7" s="3" t="str">
        <f t="shared" si="0"/>
        <v>SRDB20F50</v>
      </c>
      <c r="D7" s="2">
        <v>0</v>
      </c>
      <c r="E7" s="2">
        <v>0</v>
      </c>
      <c r="F7" s="2">
        <v>1326</v>
      </c>
      <c r="G7" s="2">
        <v>0</v>
      </c>
      <c r="H7" s="2">
        <v>0</v>
      </c>
      <c r="I7" s="2">
        <v>0</v>
      </c>
      <c r="J7" s="2">
        <v>0</v>
      </c>
      <c r="K7" s="2" t="s">
        <v>296</v>
      </c>
      <c r="L7" s="2" t="s">
        <v>302</v>
      </c>
      <c r="M7" s="2" t="s">
        <v>308</v>
      </c>
      <c r="N7" s="2" t="s">
        <v>299</v>
      </c>
      <c r="O7" s="2" t="s">
        <v>300</v>
      </c>
      <c r="Q7" s="4" t="str">
        <f t="shared" si="1"/>
        <v>SRD</v>
      </c>
      <c r="R7" s="4" t="str">
        <f t="shared" si="2"/>
        <v>B</v>
      </c>
      <c r="S7" s="4" t="str">
        <f t="shared" si="3"/>
        <v>20</v>
      </c>
      <c r="T7" s="4" t="str">
        <f t="shared" si="4"/>
        <v>F</v>
      </c>
      <c r="U7" s="4" t="str">
        <f t="shared" si="5"/>
        <v>50</v>
      </c>
    </row>
    <row r="8" spans="1:22">
      <c r="A8" s="2">
        <v>141624</v>
      </c>
      <c r="B8" s="2" t="s">
        <v>310</v>
      </c>
      <c r="C8" s="3" t="str">
        <f t="shared" si="0"/>
        <v>SRDB20F40</v>
      </c>
      <c r="D8" s="2">
        <v>0</v>
      </c>
      <c r="E8" s="2">
        <v>0</v>
      </c>
      <c r="F8" s="2">
        <v>1326</v>
      </c>
      <c r="G8" s="2">
        <v>0</v>
      </c>
      <c r="H8" s="2">
        <v>0</v>
      </c>
      <c r="I8" s="2">
        <v>0</v>
      </c>
      <c r="J8" s="2">
        <v>0</v>
      </c>
      <c r="K8" s="2" t="s">
        <v>296</v>
      </c>
      <c r="L8" s="2" t="s">
        <v>304</v>
      </c>
      <c r="M8" s="2" t="s">
        <v>308</v>
      </c>
      <c r="N8" s="2" t="s">
        <v>299</v>
      </c>
      <c r="O8" s="2" t="s">
        <v>300</v>
      </c>
      <c r="Q8" s="4" t="str">
        <f t="shared" si="1"/>
        <v>SRD</v>
      </c>
      <c r="R8" s="4" t="str">
        <f t="shared" si="2"/>
        <v>B</v>
      </c>
      <c r="S8" s="4" t="str">
        <f t="shared" si="3"/>
        <v>20</v>
      </c>
      <c r="T8" s="4" t="str">
        <f t="shared" si="4"/>
        <v>F</v>
      </c>
      <c r="U8" s="4" t="str">
        <f t="shared" si="5"/>
        <v>40</v>
      </c>
    </row>
    <row r="9" spans="1:22">
      <c r="A9" s="2">
        <v>141625</v>
      </c>
      <c r="B9" s="2" t="s">
        <v>311</v>
      </c>
      <c r="C9" s="3" t="str">
        <f t="shared" si="0"/>
        <v>SRDB20F30</v>
      </c>
      <c r="D9" s="2">
        <v>0</v>
      </c>
      <c r="E9" s="2">
        <v>0</v>
      </c>
      <c r="F9" s="2">
        <v>1326</v>
      </c>
      <c r="G9" s="2">
        <v>0</v>
      </c>
      <c r="H9" s="2">
        <v>0</v>
      </c>
      <c r="I9" s="2">
        <v>0</v>
      </c>
      <c r="J9" s="2">
        <v>0</v>
      </c>
      <c r="K9" s="2" t="s">
        <v>296</v>
      </c>
      <c r="L9" s="2" t="s">
        <v>306</v>
      </c>
      <c r="M9" s="2" t="s">
        <v>308</v>
      </c>
      <c r="N9" s="2" t="s">
        <v>299</v>
      </c>
      <c r="O9" s="2" t="s">
        <v>300</v>
      </c>
      <c r="Q9" s="4" t="str">
        <f t="shared" si="1"/>
        <v>SRD</v>
      </c>
      <c r="R9" s="4" t="str">
        <f t="shared" si="2"/>
        <v>B</v>
      </c>
      <c r="S9" s="4" t="str">
        <f t="shared" si="3"/>
        <v>20</v>
      </c>
      <c r="T9" s="4" t="str">
        <f t="shared" si="4"/>
        <v>F</v>
      </c>
      <c r="U9" s="4" t="str">
        <f t="shared" si="5"/>
        <v>30</v>
      </c>
    </row>
    <row r="10" spans="1:22">
      <c r="A10" s="2">
        <v>141629</v>
      </c>
      <c r="B10" s="2" t="s">
        <v>312</v>
      </c>
      <c r="C10" s="3" t="str">
        <f t="shared" si="0"/>
        <v>SRDR30F60</v>
      </c>
      <c r="D10" s="2">
        <v>0</v>
      </c>
      <c r="E10" s="2">
        <v>0</v>
      </c>
      <c r="F10" s="2">
        <v>1596</v>
      </c>
      <c r="G10" s="2">
        <v>0</v>
      </c>
      <c r="H10" s="2">
        <v>0</v>
      </c>
      <c r="I10" s="2">
        <v>0</v>
      </c>
      <c r="J10" s="2">
        <v>0</v>
      </c>
      <c r="K10" s="2" t="s">
        <v>296</v>
      </c>
      <c r="L10" s="2" t="s">
        <v>297</v>
      </c>
      <c r="M10" s="2" t="s">
        <v>298</v>
      </c>
      <c r="N10" s="2" t="s">
        <v>299</v>
      </c>
      <c r="O10" s="2" t="s">
        <v>313</v>
      </c>
      <c r="Q10" s="4" t="str">
        <f t="shared" si="1"/>
        <v>SRD</v>
      </c>
      <c r="R10" s="4" t="str">
        <f t="shared" si="2"/>
        <v>R</v>
      </c>
      <c r="S10" s="4" t="str">
        <f t="shared" si="3"/>
        <v>30</v>
      </c>
      <c r="T10" s="4" t="str">
        <f t="shared" si="4"/>
        <v>F</v>
      </c>
      <c r="U10" s="4" t="str">
        <f t="shared" si="5"/>
        <v>60</v>
      </c>
    </row>
    <row r="11" spans="1:22">
      <c r="A11" s="2">
        <v>141630</v>
      </c>
      <c r="B11" s="2" t="s">
        <v>314</v>
      </c>
      <c r="C11" s="3" t="str">
        <f t="shared" si="0"/>
        <v>SRDR30F50</v>
      </c>
      <c r="D11" s="2">
        <v>0</v>
      </c>
      <c r="E11" s="2">
        <v>0</v>
      </c>
      <c r="F11" s="2">
        <v>1596</v>
      </c>
      <c r="G11" s="2">
        <v>0</v>
      </c>
      <c r="H11" s="2">
        <v>0</v>
      </c>
      <c r="I11" s="2">
        <v>0</v>
      </c>
      <c r="J11" s="2">
        <v>0</v>
      </c>
      <c r="K11" s="2" t="s">
        <v>296</v>
      </c>
      <c r="L11" s="2" t="s">
        <v>302</v>
      </c>
      <c r="M11" s="2" t="s">
        <v>298</v>
      </c>
      <c r="N11" s="2" t="s">
        <v>299</v>
      </c>
      <c r="O11" s="2" t="s">
        <v>313</v>
      </c>
      <c r="Q11" s="4" t="str">
        <f t="shared" si="1"/>
        <v>SRD</v>
      </c>
      <c r="R11" s="4" t="str">
        <f t="shared" si="2"/>
        <v>R</v>
      </c>
      <c r="S11" s="4" t="str">
        <f t="shared" si="3"/>
        <v>30</v>
      </c>
      <c r="T11" s="4" t="str">
        <f t="shared" si="4"/>
        <v>F</v>
      </c>
      <c r="U11" s="4" t="str">
        <f t="shared" si="5"/>
        <v>50</v>
      </c>
    </row>
    <row r="12" spans="1:22">
      <c r="A12" s="2">
        <v>141631</v>
      </c>
      <c r="B12" s="2" t="s">
        <v>315</v>
      </c>
      <c r="C12" s="3" t="str">
        <f t="shared" si="0"/>
        <v>SRDR30F40</v>
      </c>
      <c r="D12" s="2">
        <v>0</v>
      </c>
      <c r="E12" s="2">
        <v>0</v>
      </c>
      <c r="F12" s="2">
        <v>1596</v>
      </c>
      <c r="G12" s="2">
        <v>0</v>
      </c>
      <c r="H12" s="2">
        <v>0</v>
      </c>
      <c r="I12" s="2">
        <v>0</v>
      </c>
      <c r="J12" s="2">
        <v>0</v>
      </c>
      <c r="K12" s="2" t="s">
        <v>296</v>
      </c>
      <c r="L12" s="2" t="s">
        <v>304</v>
      </c>
      <c r="M12" s="2" t="s">
        <v>298</v>
      </c>
      <c r="N12" s="2" t="s">
        <v>299</v>
      </c>
      <c r="O12" s="2" t="s">
        <v>313</v>
      </c>
      <c r="Q12" s="4" t="str">
        <f t="shared" si="1"/>
        <v>SRD</v>
      </c>
      <c r="R12" s="4" t="str">
        <f t="shared" si="2"/>
        <v>R</v>
      </c>
      <c r="S12" s="4" t="str">
        <f t="shared" si="3"/>
        <v>30</v>
      </c>
      <c r="T12" s="4" t="str">
        <f t="shared" si="4"/>
        <v>F</v>
      </c>
      <c r="U12" s="4" t="str">
        <f t="shared" si="5"/>
        <v>40</v>
      </c>
    </row>
    <row r="13" spans="1:22">
      <c r="A13" s="2">
        <v>141632</v>
      </c>
      <c r="B13" s="2" t="s">
        <v>316</v>
      </c>
      <c r="C13" s="3" t="str">
        <f t="shared" si="0"/>
        <v>SRDR30F30</v>
      </c>
      <c r="D13" s="2">
        <v>0</v>
      </c>
      <c r="E13" s="2">
        <v>0</v>
      </c>
      <c r="F13" s="2">
        <v>1596</v>
      </c>
      <c r="G13" s="2">
        <v>0</v>
      </c>
      <c r="H13" s="2">
        <v>0</v>
      </c>
      <c r="I13" s="2">
        <v>0</v>
      </c>
      <c r="J13" s="2">
        <v>0</v>
      </c>
      <c r="K13" s="2" t="s">
        <v>296</v>
      </c>
      <c r="L13" s="2" t="s">
        <v>306</v>
      </c>
      <c r="M13" s="2" t="s">
        <v>298</v>
      </c>
      <c r="N13" s="2" t="s">
        <v>299</v>
      </c>
      <c r="O13" s="2" t="s">
        <v>313</v>
      </c>
      <c r="Q13" s="4" t="str">
        <f t="shared" si="1"/>
        <v>SRD</v>
      </c>
      <c r="R13" s="4" t="str">
        <f t="shared" si="2"/>
        <v>R</v>
      </c>
      <c r="S13" s="4" t="str">
        <f t="shared" si="3"/>
        <v>30</v>
      </c>
      <c r="T13" s="4" t="str">
        <f t="shared" si="4"/>
        <v>F</v>
      </c>
      <c r="U13" s="4" t="str">
        <f t="shared" si="5"/>
        <v>30</v>
      </c>
    </row>
    <row r="14" spans="1:22">
      <c r="A14" s="2">
        <v>141636</v>
      </c>
      <c r="B14" s="2" t="s">
        <v>317</v>
      </c>
      <c r="C14" s="3" t="str">
        <f t="shared" si="0"/>
        <v>SRDB30F60</v>
      </c>
      <c r="D14" s="2">
        <v>0</v>
      </c>
      <c r="E14" s="2">
        <v>0</v>
      </c>
      <c r="F14" s="2">
        <v>1821</v>
      </c>
      <c r="G14" s="2">
        <v>0</v>
      </c>
      <c r="H14" s="2">
        <v>0</v>
      </c>
      <c r="I14" s="2">
        <v>0</v>
      </c>
      <c r="J14" s="2">
        <v>0</v>
      </c>
      <c r="K14" s="2" t="s">
        <v>296</v>
      </c>
      <c r="L14" s="2" t="s">
        <v>297</v>
      </c>
      <c r="M14" s="2" t="s">
        <v>308</v>
      </c>
      <c r="N14" s="2" t="s">
        <v>299</v>
      </c>
      <c r="O14" s="2" t="s">
        <v>313</v>
      </c>
      <c r="Q14" s="4" t="str">
        <f t="shared" si="1"/>
        <v>SRD</v>
      </c>
      <c r="R14" s="4" t="str">
        <f t="shared" si="2"/>
        <v>B</v>
      </c>
      <c r="S14" s="4" t="str">
        <f t="shared" si="3"/>
        <v>30</v>
      </c>
      <c r="T14" s="4" t="str">
        <f t="shared" si="4"/>
        <v>F</v>
      </c>
      <c r="U14" s="4" t="str">
        <f t="shared" si="5"/>
        <v>60</v>
      </c>
    </row>
    <row r="15" spans="1:22">
      <c r="A15" s="2">
        <v>141637</v>
      </c>
      <c r="B15" s="2" t="s">
        <v>318</v>
      </c>
      <c r="C15" s="3" t="str">
        <f t="shared" si="0"/>
        <v>SRDB30F50</v>
      </c>
      <c r="D15" s="2">
        <v>0</v>
      </c>
      <c r="E15" s="2">
        <v>0</v>
      </c>
      <c r="F15" s="2">
        <v>1821</v>
      </c>
      <c r="G15" s="2">
        <v>0</v>
      </c>
      <c r="H15" s="2">
        <v>0</v>
      </c>
      <c r="I15" s="2">
        <v>0</v>
      </c>
      <c r="J15" s="2">
        <v>0</v>
      </c>
      <c r="K15" s="2" t="s">
        <v>296</v>
      </c>
      <c r="L15" s="2" t="s">
        <v>302</v>
      </c>
      <c r="M15" s="2" t="s">
        <v>308</v>
      </c>
      <c r="N15" s="2" t="s">
        <v>299</v>
      </c>
      <c r="O15" s="2" t="s">
        <v>313</v>
      </c>
      <c r="Q15" s="4" t="str">
        <f t="shared" si="1"/>
        <v>SRD</v>
      </c>
      <c r="R15" s="4" t="str">
        <f t="shared" si="2"/>
        <v>B</v>
      </c>
      <c r="S15" s="4" t="str">
        <f t="shared" si="3"/>
        <v>30</v>
      </c>
      <c r="T15" s="4" t="str">
        <f t="shared" si="4"/>
        <v>F</v>
      </c>
      <c r="U15" s="4" t="str">
        <f t="shared" si="5"/>
        <v>50</v>
      </c>
    </row>
    <row r="16" spans="1:22">
      <c r="A16" s="2">
        <v>141638</v>
      </c>
      <c r="B16" s="2" t="s">
        <v>319</v>
      </c>
      <c r="C16" s="3" t="str">
        <f t="shared" si="0"/>
        <v>SRDB30F40</v>
      </c>
      <c r="D16" s="2">
        <v>0</v>
      </c>
      <c r="E16" s="2">
        <v>0</v>
      </c>
      <c r="F16" s="2">
        <v>1821</v>
      </c>
      <c r="G16" s="2">
        <v>0</v>
      </c>
      <c r="H16" s="2">
        <v>0</v>
      </c>
      <c r="I16" s="2">
        <v>0</v>
      </c>
      <c r="J16" s="2">
        <v>0</v>
      </c>
      <c r="K16" s="2" t="s">
        <v>296</v>
      </c>
      <c r="L16" s="2" t="s">
        <v>304</v>
      </c>
      <c r="M16" s="2" t="s">
        <v>308</v>
      </c>
      <c r="N16" s="2" t="s">
        <v>299</v>
      </c>
      <c r="O16" s="2" t="s">
        <v>313</v>
      </c>
      <c r="Q16" s="4" t="str">
        <f t="shared" si="1"/>
        <v>SRD</v>
      </c>
      <c r="R16" s="4" t="str">
        <f t="shared" si="2"/>
        <v>B</v>
      </c>
      <c r="S16" s="4" t="str">
        <f t="shared" si="3"/>
        <v>30</v>
      </c>
      <c r="T16" s="4" t="str">
        <f t="shared" si="4"/>
        <v>F</v>
      </c>
      <c r="U16" s="4" t="str">
        <f t="shared" si="5"/>
        <v>40</v>
      </c>
    </row>
    <row r="17" spans="1:21">
      <c r="A17" s="2">
        <v>141639</v>
      </c>
      <c r="B17" s="2" t="s">
        <v>320</v>
      </c>
      <c r="C17" s="3" t="str">
        <f t="shared" si="0"/>
        <v>SRDB30F30</v>
      </c>
      <c r="D17" s="2">
        <v>0</v>
      </c>
      <c r="E17" s="2">
        <v>0</v>
      </c>
      <c r="F17" s="2">
        <v>1821</v>
      </c>
      <c r="G17" s="2">
        <v>0</v>
      </c>
      <c r="H17" s="2">
        <v>0</v>
      </c>
      <c r="I17" s="2">
        <v>0</v>
      </c>
      <c r="J17" s="2">
        <v>0</v>
      </c>
      <c r="K17" s="2" t="s">
        <v>296</v>
      </c>
      <c r="L17" s="2" t="s">
        <v>306</v>
      </c>
      <c r="M17" s="2" t="s">
        <v>308</v>
      </c>
      <c r="N17" s="2" t="s">
        <v>299</v>
      </c>
      <c r="O17" s="2" t="s">
        <v>313</v>
      </c>
      <c r="Q17" s="4" t="str">
        <f t="shared" si="1"/>
        <v>SRD</v>
      </c>
      <c r="R17" s="4" t="str">
        <f t="shared" si="2"/>
        <v>B</v>
      </c>
      <c r="S17" s="4" t="str">
        <f t="shared" si="3"/>
        <v>30</v>
      </c>
      <c r="T17" s="4" t="str">
        <f t="shared" si="4"/>
        <v>F</v>
      </c>
      <c r="U17" s="4" t="str">
        <f t="shared" si="5"/>
        <v>30</v>
      </c>
    </row>
    <row r="18" spans="1:21">
      <c r="A18" s="2">
        <v>141643</v>
      </c>
      <c r="B18" s="2" t="s">
        <v>321</v>
      </c>
      <c r="C18" s="3" t="str">
        <f t="shared" si="0"/>
        <v>SRDR20F60T</v>
      </c>
      <c r="D18" s="2">
        <v>0</v>
      </c>
      <c r="E18" s="2">
        <v>0</v>
      </c>
      <c r="F18" s="2">
        <v>1384</v>
      </c>
      <c r="G18" s="2">
        <v>0</v>
      </c>
      <c r="H18" s="2">
        <v>0</v>
      </c>
      <c r="I18" s="2">
        <v>0</v>
      </c>
      <c r="J18" s="2">
        <v>0</v>
      </c>
      <c r="K18" s="2" t="s">
        <v>296</v>
      </c>
      <c r="L18" s="2" t="s">
        <v>297</v>
      </c>
      <c r="M18" s="2" t="s">
        <v>298</v>
      </c>
      <c r="N18" s="2" t="s">
        <v>322</v>
      </c>
      <c r="O18" s="2" t="s">
        <v>300</v>
      </c>
      <c r="Q18" s="4" t="str">
        <f t="shared" si="1"/>
        <v>SRD</v>
      </c>
      <c r="R18" s="4" t="str">
        <f t="shared" si="2"/>
        <v>R</v>
      </c>
      <c r="S18" s="4" t="str">
        <f t="shared" si="3"/>
        <v>20</v>
      </c>
      <c r="T18" s="4" t="str">
        <f t="shared" si="4"/>
        <v>F</v>
      </c>
      <c r="U18" s="4" t="str">
        <f t="shared" ref="U18:U73" si="6">MID(B18,8,6)</f>
        <v>60T</v>
      </c>
    </row>
    <row r="19" spans="1:21">
      <c r="A19" s="2">
        <v>141644</v>
      </c>
      <c r="B19" s="2" t="s">
        <v>323</v>
      </c>
      <c r="C19" s="3" t="str">
        <f t="shared" si="0"/>
        <v>SRDR20F50T</v>
      </c>
      <c r="D19" s="2">
        <v>0</v>
      </c>
      <c r="E19" s="2">
        <v>0</v>
      </c>
      <c r="F19" s="2">
        <v>1384</v>
      </c>
      <c r="G19" s="2">
        <v>0</v>
      </c>
      <c r="H19" s="2">
        <v>0</v>
      </c>
      <c r="I19" s="2">
        <v>0</v>
      </c>
      <c r="J19" s="2">
        <v>0</v>
      </c>
      <c r="K19" s="2" t="s">
        <v>296</v>
      </c>
      <c r="L19" s="2" t="s">
        <v>302</v>
      </c>
      <c r="M19" s="2" t="s">
        <v>298</v>
      </c>
      <c r="N19" s="2" t="s">
        <v>322</v>
      </c>
      <c r="O19" s="2" t="s">
        <v>300</v>
      </c>
      <c r="Q19" s="4" t="str">
        <f t="shared" si="1"/>
        <v>SRD</v>
      </c>
      <c r="R19" s="4" t="str">
        <f t="shared" si="2"/>
        <v>R</v>
      </c>
      <c r="S19" s="4" t="str">
        <f t="shared" si="3"/>
        <v>20</v>
      </c>
      <c r="T19" s="4" t="str">
        <f t="shared" si="4"/>
        <v>F</v>
      </c>
      <c r="U19" s="4" t="str">
        <f t="shared" si="6"/>
        <v>50T</v>
      </c>
    </row>
    <row r="20" spans="1:21">
      <c r="A20" s="2">
        <v>141645</v>
      </c>
      <c r="B20" s="2" t="s">
        <v>324</v>
      </c>
      <c r="C20" s="3" t="str">
        <f t="shared" si="0"/>
        <v>SRDR20F40T</v>
      </c>
      <c r="D20" s="2">
        <v>0</v>
      </c>
      <c r="E20" s="2">
        <v>0</v>
      </c>
      <c r="F20" s="2">
        <v>1384</v>
      </c>
      <c r="G20" s="2">
        <v>0</v>
      </c>
      <c r="H20" s="2">
        <v>0</v>
      </c>
      <c r="I20" s="2">
        <v>0</v>
      </c>
      <c r="J20" s="2">
        <v>0</v>
      </c>
      <c r="K20" s="2" t="s">
        <v>296</v>
      </c>
      <c r="L20" s="2" t="s">
        <v>304</v>
      </c>
      <c r="M20" s="2" t="s">
        <v>298</v>
      </c>
      <c r="N20" s="2" t="s">
        <v>322</v>
      </c>
      <c r="O20" s="2" t="s">
        <v>300</v>
      </c>
      <c r="Q20" s="4" t="str">
        <f t="shared" si="1"/>
        <v>SRD</v>
      </c>
      <c r="R20" s="4" t="str">
        <f t="shared" si="2"/>
        <v>R</v>
      </c>
      <c r="S20" s="4" t="str">
        <f t="shared" si="3"/>
        <v>20</v>
      </c>
      <c r="T20" s="4" t="str">
        <f t="shared" si="4"/>
        <v>F</v>
      </c>
      <c r="U20" s="4" t="str">
        <f t="shared" si="6"/>
        <v>40T</v>
      </c>
    </row>
    <row r="21" spans="1:21">
      <c r="A21" s="2">
        <v>141646</v>
      </c>
      <c r="B21" s="2" t="s">
        <v>325</v>
      </c>
      <c r="C21" s="3" t="str">
        <f t="shared" si="0"/>
        <v>SRDR20F30T</v>
      </c>
      <c r="D21" s="2">
        <v>0</v>
      </c>
      <c r="E21" s="2">
        <v>0</v>
      </c>
      <c r="F21" s="2">
        <v>1384</v>
      </c>
      <c r="G21" s="2">
        <v>0</v>
      </c>
      <c r="H21" s="2">
        <v>0</v>
      </c>
      <c r="I21" s="2">
        <v>0</v>
      </c>
      <c r="J21" s="2">
        <v>0</v>
      </c>
      <c r="K21" s="2" t="s">
        <v>296</v>
      </c>
      <c r="L21" s="2" t="s">
        <v>306</v>
      </c>
      <c r="M21" s="2" t="s">
        <v>298</v>
      </c>
      <c r="N21" s="2" t="s">
        <v>322</v>
      </c>
      <c r="O21" s="2" t="s">
        <v>300</v>
      </c>
      <c r="Q21" s="4" t="str">
        <f t="shared" si="1"/>
        <v>SRD</v>
      </c>
      <c r="R21" s="4" t="str">
        <f t="shared" si="2"/>
        <v>R</v>
      </c>
      <c r="S21" s="4" t="str">
        <f t="shared" si="3"/>
        <v>20</v>
      </c>
      <c r="T21" s="4" t="str">
        <f t="shared" si="4"/>
        <v>F</v>
      </c>
      <c r="U21" s="4" t="str">
        <f t="shared" si="6"/>
        <v>30T</v>
      </c>
    </row>
    <row r="22" spans="1:21">
      <c r="A22" s="2">
        <v>141650</v>
      </c>
      <c r="B22" s="2" t="s">
        <v>326</v>
      </c>
      <c r="C22" s="3" t="str">
        <f t="shared" si="0"/>
        <v>SRDB20F60T</v>
      </c>
      <c r="D22" s="2">
        <v>0</v>
      </c>
      <c r="E22" s="2">
        <v>0</v>
      </c>
      <c r="F22" s="2">
        <v>1387</v>
      </c>
      <c r="G22" s="2">
        <v>0</v>
      </c>
      <c r="H22" s="2">
        <v>0</v>
      </c>
      <c r="I22" s="2">
        <v>0</v>
      </c>
      <c r="J22" s="2">
        <v>0</v>
      </c>
      <c r="K22" s="2" t="s">
        <v>296</v>
      </c>
      <c r="L22" s="2" t="s">
        <v>297</v>
      </c>
      <c r="M22" s="2" t="s">
        <v>308</v>
      </c>
      <c r="N22" s="2" t="s">
        <v>322</v>
      </c>
      <c r="O22" s="2" t="s">
        <v>300</v>
      </c>
      <c r="Q22" s="4" t="str">
        <f t="shared" si="1"/>
        <v>SRD</v>
      </c>
      <c r="R22" s="4" t="str">
        <f t="shared" si="2"/>
        <v>B</v>
      </c>
      <c r="S22" s="4" t="str">
        <f t="shared" si="3"/>
        <v>20</v>
      </c>
      <c r="T22" s="4" t="str">
        <f t="shared" si="4"/>
        <v>F</v>
      </c>
      <c r="U22" s="4" t="str">
        <f t="shared" si="6"/>
        <v>60T</v>
      </c>
    </row>
    <row r="23" spans="1:21">
      <c r="A23" s="2">
        <v>141651</v>
      </c>
      <c r="B23" s="2" t="s">
        <v>327</v>
      </c>
      <c r="C23" s="3" t="str">
        <f t="shared" si="0"/>
        <v>SRDB20F50T</v>
      </c>
      <c r="D23" s="2">
        <v>0</v>
      </c>
      <c r="E23" s="2">
        <v>0</v>
      </c>
      <c r="F23" s="2">
        <v>1387</v>
      </c>
      <c r="G23" s="2">
        <v>0</v>
      </c>
      <c r="H23" s="2">
        <v>0</v>
      </c>
      <c r="I23" s="2">
        <v>0</v>
      </c>
      <c r="J23" s="2">
        <v>0</v>
      </c>
      <c r="K23" s="2" t="s">
        <v>296</v>
      </c>
      <c r="L23" s="2" t="s">
        <v>302</v>
      </c>
      <c r="M23" s="2" t="s">
        <v>308</v>
      </c>
      <c r="N23" s="2" t="s">
        <v>322</v>
      </c>
      <c r="O23" s="2" t="s">
        <v>300</v>
      </c>
      <c r="Q23" s="4" t="str">
        <f t="shared" si="1"/>
        <v>SRD</v>
      </c>
      <c r="R23" s="4" t="str">
        <f t="shared" si="2"/>
        <v>B</v>
      </c>
      <c r="S23" s="4" t="str">
        <f t="shared" si="3"/>
        <v>20</v>
      </c>
      <c r="T23" s="4" t="str">
        <f t="shared" si="4"/>
        <v>F</v>
      </c>
      <c r="U23" s="4" t="str">
        <f t="shared" si="6"/>
        <v>50T</v>
      </c>
    </row>
    <row r="24" spans="1:21">
      <c r="A24" s="2">
        <v>141652</v>
      </c>
      <c r="B24" s="2" t="s">
        <v>328</v>
      </c>
      <c r="C24" s="3" t="str">
        <f t="shared" si="0"/>
        <v>SRDB20F40T</v>
      </c>
      <c r="D24" s="2">
        <v>0</v>
      </c>
      <c r="E24" s="2">
        <v>0</v>
      </c>
      <c r="F24" s="2">
        <v>1387</v>
      </c>
      <c r="G24" s="2">
        <v>0</v>
      </c>
      <c r="H24" s="2">
        <v>0</v>
      </c>
      <c r="I24" s="2">
        <v>0</v>
      </c>
      <c r="J24" s="2">
        <v>0</v>
      </c>
      <c r="K24" s="2" t="s">
        <v>296</v>
      </c>
      <c r="L24" s="2" t="s">
        <v>304</v>
      </c>
      <c r="M24" s="2" t="s">
        <v>308</v>
      </c>
      <c r="N24" s="2" t="s">
        <v>322</v>
      </c>
      <c r="O24" s="2" t="s">
        <v>300</v>
      </c>
      <c r="Q24" s="4" t="str">
        <f t="shared" si="1"/>
        <v>SRD</v>
      </c>
      <c r="R24" s="4" t="str">
        <f t="shared" si="2"/>
        <v>B</v>
      </c>
      <c r="S24" s="4" t="str">
        <f t="shared" si="3"/>
        <v>20</v>
      </c>
      <c r="T24" s="4" t="str">
        <f t="shared" si="4"/>
        <v>F</v>
      </c>
      <c r="U24" s="4" t="str">
        <f t="shared" si="6"/>
        <v>40T</v>
      </c>
    </row>
    <row r="25" spans="1:21">
      <c r="A25" s="2">
        <v>141653</v>
      </c>
      <c r="B25" s="2" t="s">
        <v>329</v>
      </c>
      <c r="C25" s="3" t="str">
        <f t="shared" si="0"/>
        <v>SRDB20F30T</v>
      </c>
      <c r="D25" s="2">
        <v>0</v>
      </c>
      <c r="E25" s="2">
        <v>0</v>
      </c>
      <c r="F25" s="2">
        <v>1387</v>
      </c>
      <c r="G25" s="2">
        <v>0</v>
      </c>
      <c r="H25" s="2">
        <v>0</v>
      </c>
      <c r="I25" s="2">
        <v>0</v>
      </c>
      <c r="J25" s="2">
        <v>0</v>
      </c>
      <c r="K25" s="2" t="s">
        <v>296</v>
      </c>
      <c r="L25" s="2" t="s">
        <v>306</v>
      </c>
      <c r="M25" s="2" t="s">
        <v>308</v>
      </c>
      <c r="N25" s="2" t="s">
        <v>322</v>
      </c>
      <c r="O25" s="2" t="s">
        <v>300</v>
      </c>
      <c r="Q25" s="4" t="str">
        <f t="shared" si="1"/>
        <v>SRD</v>
      </c>
      <c r="R25" s="4" t="str">
        <f t="shared" si="2"/>
        <v>B</v>
      </c>
      <c r="S25" s="4" t="str">
        <f t="shared" si="3"/>
        <v>20</v>
      </c>
      <c r="T25" s="4" t="str">
        <f t="shared" si="4"/>
        <v>F</v>
      </c>
      <c r="U25" s="4" t="str">
        <f t="shared" si="6"/>
        <v>30T</v>
      </c>
    </row>
    <row r="26" spans="1:21">
      <c r="A26" s="2">
        <v>141657</v>
      </c>
      <c r="B26" s="2" t="s">
        <v>330</v>
      </c>
      <c r="C26" s="3" t="str">
        <f t="shared" si="0"/>
        <v>SRDR30F60T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 t="s">
        <v>296</v>
      </c>
      <c r="L26" s="2" t="s">
        <v>297</v>
      </c>
      <c r="M26" s="2" t="s">
        <v>298</v>
      </c>
      <c r="N26" s="2" t="s">
        <v>322</v>
      </c>
      <c r="O26" s="2" t="s">
        <v>313</v>
      </c>
      <c r="Q26" s="4" t="str">
        <f t="shared" si="1"/>
        <v>SRD</v>
      </c>
      <c r="R26" s="4" t="str">
        <f t="shared" si="2"/>
        <v>R</v>
      </c>
      <c r="S26" s="4" t="str">
        <f t="shared" si="3"/>
        <v>30</v>
      </c>
      <c r="T26" s="4" t="str">
        <f t="shared" si="4"/>
        <v>F</v>
      </c>
      <c r="U26" s="4" t="str">
        <f t="shared" si="6"/>
        <v>60T</v>
      </c>
    </row>
    <row r="27" spans="1:21">
      <c r="A27" s="2">
        <v>141658</v>
      </c>
      <c r="B27" s="2" t="s">
        <v>331</v>
      </c>
      <c r="C27" s="3" t="str">
        <f t="shared" si="0"/>
        <v>SRDR30F50T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296</v>
      </c>
      <c r="L27" s="2" t="s">
        <v>302</v>
      </c>
      <c r="M27" s="2" t="s">
        <v>298</v>
      </c>
      <c r="N27" s="2" t="s">
        <v>322</v>
      </c>
      <c r="O27" s="2" t="s">
        <v>313</v>
      </c>
      <c r="Q27" s="4" t="str">
        <f t="shared" si="1"/>
        <v>SRD</v>
      </c>
      <c r="R27" s="4" t="str">
        <f t="shared" si="2"/>
        <v>R</v>
      </c>
      <c r="S27" s="4" t="str">
        <f t="shared" si="3"/>
        <v>30</v>
      </c>
      <c r="T27" s="4" t="str">
        <f t="shared" si="4"/>
        <v>F</v>
      </c>
      <c r="U27" s="4" t="str">
        <f t="shared" si="6"/>
        <v>50T</v>
      </c>
    </row>
    <row r="28" spans="1:21">
      <c r="A28" s="2">
        <v>141659</v>
      </c>
      <c r="B28" s="2" t="s">
        <v>332</v>
      </c>
      <c r="C28" s="3" t="str">
        <f t="shared" si="0"/>
        <v>SRDR30F40T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296</v>
      </c>
      <c r="L28" s="2" t="s">
        <v>304</v>
      </c>
      <c r="M28" s="2" t="s">
        <v>298</v>
      </c>
      <c r="N28" s="2" t="s">
        <v>322</v>
      </c>
      <c r="O28" s="2" t="s">
        <v>313</v>
      </c>
      <c r="Q28" s="4" t="str">
        <f t="shared" si="1"/>
        <v>SRD</v>
      </c>
      <c r="R28" s="4" t="str">
        <f t="shared" si="2"/>
        <v>R</v>
      </c>
      <c r="S28" s="4" t="str">
        <f t="shared" si="3"/>
        <v>30</v>
      </c>
      <c r="T28" s="4" t="str">
        <f t="shared" si="4"/>
        <v>F</v>
      </c>
      <c r="U28" s="4" t="str">
        <f t="shared" si="6"/>
        <v>40T</v>
      </c>
    </row>
    <row r="29" spans="1:21">
      <c r="A29" s="2">
        <v>141660</v>
      </c>
      <c r="B29" s="2" t="s">
        <v>333</v>
      </c>
      <c r="C29" s="3" t="str">
        <f t="shared" si="0"/>
        <v>SRDR30F30T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 t="s">
        <v>296</v>
      </c>
      <c r="L29" s="2" t="s">
        <v>306</v>
      </c>
      <c r="M29" s="2" t="s">
        <v>298</v>
      </c>
      <c r="N29" s="2" t="s">
        <v>322</v>
      </c>
      <c r="O29" s="2" t="s">
        <v>313</v>
      </c>
      <c r="Q29" s="4" t="str">
        <f t="shared" si="1"/>
        <v>SRD</v>
      </c>
      <c r="R29" s="4" t="str">
        <f t="shared" si="2"/>
        <v>R</v>
      </c>
      <c r="S29" s="4" t="str">
        <f t="shared" si="3"/>
        <v>30</v>
      </c>
      <c r="T29" s="4" t="str">
        <f t="shared" si="4"/>
        <v>F</v>
      </c>
      <c r="U29" s="4" t="str">
        <f t="shared" si="6"/>
        <v>30T</v>
      </c>
    </row>
    <row r="30" spans="1:21">
      <c r="A30" s="2">
        <v>141664</v>
      </c>
      <c r="B30" s="2" t="s">
        <v>334</v>
      </c>
      <c r="C30" s="3" t="str">
        <f t="shared" si="0"/>
        <v>SRDB30F60T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 t="s">
        <v>296</v>
      </c>
      <c r="L30" s="2" t="s">
        <v>297</v>
      </c>
      <c r="M30" s="2" t="s">
        <v>308</v>
      </c>
      <c r="N30" s="2" t="s">
        <v>322</v>
      </c>
      <c r="O30" s="2" t="s">
        <v>313</v>
      </c>
      <c r="Q30" s="4" t="str">
        <f t="shared" si="1"/>
        <v>SRD</v>
      </c>
      <c r="R30" s="4" t="str">
        <f t="shared" si="2"/>
        <v>B</v>
      </c>
      <c r="S30" s="4" t="str">
        <f t="shared" si="3"/>
        <v>30</v>
      </c>
      <c r="T30" s="4" t="str">
        <f t="shared" si="4"/>
        <v>F</v>
      </c>
      <c r="U30" s="4" t="str">
        <f t="shared" si="6"/>
        <v>60T</v>
      </c>
    </row>
    <row r="31" spans="1:21">
      <c r="A31" s="2">
        <v>141665</v>
      </c>
      <c r="B31" s="2" t="s">
        <v>335</v>
      </c>
      <c r="C31" s="3" t="str">
        <f t="shared" si="0"/>
        <v>SRDB30F50T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 t="s">
        <v>296</v>
      </c>
      <c r="L31" s="2" t="s">
        <v>302</v>
      </c>
      <c r="M31" s="2" t="s">
        <v>308</v>
      </c>
      <c r="N31" s="2" t="s">
        <v>322</v>
      </c>
      <c r="O31" s="2" t="s">
        <v>313</v>
      </c>
      <c r="Q31" s="4" t="str">
        <f t="shared" si="1"/>
        <v>SRD</v>
      </c>
      <c r="R31" s="4" t="str">
        <f t="shared" si="2"/>
        <v>B</v>
      </c>
      <c r="S31" s="4" t="str">
        <f t="shared" si="3"/>
        <v>30</v>
      </c>
      <c r="T31" s="4" t="str">
        <f t="shared" si="4"/>
        <v>F</v>
      </c>
      <c r="U31" s="4" t="str">
        <f t="shared" si="6"/>
        <v>50T</v>
      </c>
    </row>
    <row r="32" spans="1:21">
      <c r="A32" s="2">
        <v>141666</v>
      </c>
      <c r="B32" s="2" t="s">
        <v>336</v>
      </c>
      <c r="C32" s="3" t="str">
        <f t="shared" si="0"/>
        <v>SRDB30F40T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296</v>
      </c>
      <c r="L32" s="2" t="s">
        <v>304</v>
      </c>
      <c r="M32" s="2" t="s">
        <v>308</v>
      </c>
      <c r="N32" s="2" t="s">
        <v>322</v>
      </c>
      <c r="O32" s="2" t="s">
        <v>313</v>
      </c>
      <c r="Q32" s="4" t="str">
        <f t="shared" si="1"/>
        <v>SRD</v>
      </c>
      <c r="R32" s="4" t="str">
        <f t="shared" si="2"/>
        <v>B</v>
      </c>
      <c r="S32" s="4" t="str">
        <f t="shared" si="3"/>
        <v>30</v>
      </c>
      <c r="T32" s="4" t="str">
        <f t="shared" si="4"/>
        <v>F</v>
      </c>
      <c r="U32" s="4" t="str">
        <f t="shared" si="6"/>
        <v>40T</v>
      </c>
    </row>
    <row r="33" spans="1:21">
      <c r="A33" s="2">
        <v>141667</v>
      </c>
      <c r="B33" s="2" t="s">
        <v>337</v>
      </c>
      <c r="C33" s="3" t="str">
        <f t="shared" si="0"/>
        <v>SRDB30F30T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 t="s">
        <v>296</v>
      </c>
      <c r="L33" s="2" t="s">
        <v>306</v>
      </c>
      <c r="M33" s="2" t="s">
        <v>308</v>
      </c>
      <c r="N33" s="2" t="s">
        <v>322</v>
      </c>
      <c r="O33" s="2" t="s">
        <v>313</v>
      </c>
      <c r="Q33" s="4" t="str">
        <f t="shared" si="1"/>
        <v>SRD</v>
      </c>
      <c r="R33" s="4" t="str">
        <f t="shared" si="2"/>
        <v>B</v>
      </c>
      <c r="S33" s="4" t="str">
        <f t="shared" si="3"/>
        <v>30</v>
      </c>
      <c r="T33" s="4" t="str">
        <f t="shared" si="4"/>
        <v>F</v>
      </c>
      <c r="U33" s="4" t="str">
        <f t="shared" si="6"/>
        <v>30T</v>
      </c>
    </row>
    <row r="34" spans="1:21">
      <c r="A34" s="2">
        <v>141671</v>
      </c>
      <c r="B34" s="2" t="s">
        <v>338</v>
      </c>
      <c r="C34" s="3" t="str">
        <f t="shared" si="0"/>
        <v>SRDR20F60I</v>
      </c>
      <c r="D34" s="2">
        <v>0</v>
      </c>
      <c r="E34" s="2">
        <v>0</v>
      </c>
      <c r="F34" s="2">
        <v>2956</v>
      </c>
      <c r="G34" s="2">
        <v>0</v>
      </c>
      <c r="H34" s="2">
        <v>0</v>
      </c>
      <c r="I34" s="2">
        <v>0</v>
      </c>
      <c r="J34" s="2">
        <v>0</v>
      </c>
      <c r="K34" s="2" t="s">
        <v>296</v>
      </c>
      <c r="L34" s="2" t="s">
        <v>297</v>
      </c>
      <c r="M34" s="2" t="s">
        <v>298</v>
      </c>
      <c r="N34" s="2" t="s">
        <v>339</v>
      </c>
      <c r="O34" s="2" t="s">
        <v>300</v>
      </c>
      <c r="Q34" s="4" t="str">
        <f t="shared" si="1"/>
        <v>SRD</v>
      </c>
      <c r="R34" s="4" t="str">
        <f t="shared" si="2"/>
        <v>R</v>
      </c>
      <c r="S34" s="4" t="str">
        <f t="shared" si="3"/>
        <v>20</v>
      </c>
      <c r="T34" s="4" t="str">
        <f t="shared" si="4"/>
        <v>F</v>
      </c>
      <c r="U34" s="4" t="str">
        <f t="shared" si="6"/>
        <v>60I</v>
      </c>
    </row>
    <row r="35" spans="1:21">
      <c r="A35" s="2">
        <v>141672</v>
      </c>
      <c r="B35" s="2" t="s">
        <v>340</v>
      </c>
      <c r="C35" s="3" t="str">
        <f t="shared" si="0"/>
        <v>SRDR20F50I</v>
      </c>
      <c r="D35" s="2">
        <v>0</v>
      </c>
      <c r="E35" s="2">
        <v>0</v>
      </c>
      <c r="F35" s="2">
        <v>2956</v>
      </c>
      <c r="G35" s="2">
        <v>0</v>
      </c>
      <c r="H35" s="2">
        <v>0</v>
      </c>
      <c r="I35" s="2">
        <v>0</v>
      </c>
      <c r="J35" s="2">
        <v>0</v>
      </c>
      <c r="K35" s="2" t="s">
        <v>296</v>
      </c>
      <c r="L35" s="2" t="s">
        <v>302</v>
      </c>
      <c r="M35" s="2" t="s">
        <v>298</v>
      </c>
      <c r="N35" s="2" t="s">
        <v>339</v>
      </c>
      <c r="O35" s="2" t="s">
        <v>300</v>
      </c>
      <c r="Q35" s="4" t="str">
        <f t="shared" si="1"/>
        <v>SRD</v>
      </c>
      <c r="R35" s="4" t="str">
        <f t="shared" si="2"/>
        <v>R</v>
      </c>
      <c r="S35" s="4" t="str">
        <f t="shared" si="3"/>
        <v>20</v>
      </c>
      <c r="T35" s="4" t="str">
        <f t="shared" si="4"/>
        <v>F</v>
      </c>
      <c r="U35" s="4" t="str">
        <f t="shared" si="6"/>
        <v>50I</v>
      </c>
    </row>
    <row r="36" spans="1:21">
      <c r="A36" s="2">
        <v>141673</v>
      </c>
      <c r="B36" s="2" t="s">
        <v>341</v>
      </c>
      <c r="C36" s="3" t="str">
        <f t="shared" si="0"/>
        <v>SRDR20F40I</v>
      </c>
      <c r="D36" s="2">
        <v>0</v>
      </c>
      <c r="E36" s="2">
        <v>0</v>
      </c>
      <c r="F36" s="2">
        <v>2956</v>
      </c>
      <c r="G36" s="2">
        <v>0</v>
      </c>
      <c r="H36" s="2">
        <v>0</v>
      </c>
      <c r="I36" s="2">
        <v>0</v>
      </c>
      <c r="J36" s="2">
        <v>0</v>
      </c>
      <c r="K36" s="2" t="s">
        <v>296</v>
      </c>
      <c r="L36" s="2" t="s">
        <v>304</v>
      </c>
      <c r="M36" s="2" t="s">
        <v>298</v>
      </c>
      <c r="N36" s="2" t="s">
        <v>339</v>
      </c>
      <c r="O36" s="2" t="s">
        <v>300</v>
      </c>
      <c r="Q36" s="4" t="str">
        <f t="shared" si="1"/>
        <v>SRD</v>
      </c>
      <c r="R36" s="4" t="str">
        <f t="shared" si="2"/>
        <v>R</v>
      </c>
      <c r="S36" s="4" t="str">
        <f t="shared" si="3"/>
        <v>20</v>
      </c>
      <c r="T36" s="4" t="str">
        <f t="shared" si="4"/>
        <v>F</v>
      </c>
      <c r="U36" s="4" t="str">
        <f t="shared" si="6"/>
        <v>40I</v>
      </c>
    </row>
    <row r="37" spans="1:21">
      <c r="A37" s="2">
        <v>141674</v>
      </c>
      <c r="B37" s="2" t="s">
        <v>342</v>
      </c>
      <c r="C37" s="3" t="str">
        <f t="shared" si="0"/>
        <v>SRDR20F30I</v>
      </c>
      <c r="D37" s="2">
        <v>0</v>
      </c>
      <c r="E37" s="2">
        <v>0</v>
      </c>
      <c r="F37" s="2">
        <v>2956</v>
      </c>
      <c r="G37" s="2">
        <v>0</v>
      </c>
      <c r="H37" s="2">
        <v>0</v>
      </c>
      <c r="I37" s="2">
        <v>0</v>
      </c>
      <c r="J37" s="2">
        <v>0</v>
      </c>
      <c r="K37" s="2" t="s">
        <v>296</v>
      </c>
      <c r="L37" s="2" t="s">
        <v>306</v>
      </c>
      <c r="M37" s="2" t="s">
        <v>298</v>
      </c>
      <c r="N37" s="2" t="s">
        <v>339</v>
      </c>
      <c r="O37" s="2" t="s">
        <v>300</v>
      </c>
      <c r="Q37" s="4" t="str">
        <f t="shared" si="1"/>
        <v>SRD</v>
      </c>
      <c r="R37" s="4" t="str">
        <f t="shared" si="2"/>
        <v>R</v>
      </c>
      <c r="S37" s="4" t="str">
        <f t="shared" si="3"/>
        <v>20</v>
      </c>
      <c r="T37" s="4" t="str">
        <f t="shared" si="4"/>
        <v>F</v>
      </c>
      <c r="U37" s="4" t="str">
        <f t="shared" si="6"/>
        <v>30I</v>
      </c>
    </row>
    <row r="38" spans="1:21">
      <c r="A38" s="2">
        <v>141678</v>
      </c>
      <c r="B38" s="2" t="s">
        <v>343</v>
      </c>
      <c r="C38" s="3" t="str">
        <f t="shared" si="0"/>
        <v>SRDB20F60I</v>
      </c>
      <c r="D38" s="2">
        <v>0</v>
      </c>
      <c r="E38" s="2">
        <v>0</v>
      </c>
      <c r="F38" s="2">
        <v>3069</v>
      </c>
      <c r="G38" s="2">
        <v>0</v>
      </c>
      <c r="H38" s="2">
        <v>0</v>
      </c>
      <c r="I38" s="2">
        <v>0</v>
      </c>
      <c r="J38" s="2">
        <v>0</v>
      </c>
      <c r="K38" s="2" t="s">
        <v>296</v>
      </c>
      <c r="L38" s="2" t="s">
        <v>297</v>
      </c>
      <c r="M38" s="2" t="s">
        <v>308</v>
      </c>
      <c r="N38" s="2" t="s">
        <v>339</v>
      </c>
      <c r="O38" s="2" t="s">
        <v>300</v>
      </c>
      <c r="Q38" s="4" t="str">
        <f t="shared" si="1"/>
        <v>SRD</v>
      </c>
      <c r="R38" s="4" t="str">
        <f t="shared" si="2"/>
        <v>B</v>
      </c>
      <c r="S38" s="4" t="str">
        <f t="shared" si="3"/>
        <v>20</v>
      </c>
      <c r="T38" s="4" t="str">
        <f t="shared" si="4"/>
        <v>F</v>
      </c>
      <c r="U38" s="4" t="str">
        <f t="shared" si="6"/>
        <v>60I</v>
      </c>
    </row>
    <row r="39" spans="1:21">
      <c r="A39" s="2">
        <v>141679</v>
      </c>
      <c r="B39" s="2" t="s">
        <v>344</v>
      </c>
      <c r="C39" s="3" t="str">
        <f t="shared" si="0"/>
        <v>SRDB20F50I</v>
      </c>
      <c r="D39" s="2">
        <v>0</v>
      </c>
      <c r="E39" s="2">
        <v>0</v>
      </c>
      <c r="F39" s="2">
        <v>3069</v>
      </c>
      <c r="G39" s="2">
        <v>0</v>
      </c>
      <c r="H39" s="2">
        <v>0</v>
      </c>
      <c r="I39" s="2">
        <v>0</v>
      </c>
      <c r="J39" s="2">
        <v>0</v>
      </c>
      <c r="K39" s="2" t="s">
        <v>296</v>
      </c>
      <c r="L39" s="2" t="s">
        <v>302</v>
      </c>
      <c r="M39" s="2" t="s">
        <v>308</v>
      </c>
      <c r="N39" s="2" t="s">
        <v>339</v>
      </c>
      <c r="O39" s="2" t="s">
        <v>300</v>
      </c>
      <c r="Q39" s="4" t="str">
        <f t="shared" si="1"/>
        <v>SRD</v>
      </c>
      <c r="R39" s="4" t="str">
        <f t="shared" si="2"/>
        <v>B</v>
      </c>
      <c r="S39" s="4" t="str">
        <f t="shared" si="3"/>
        <v>20</v>
      </c>
      <c r="T39" s="4" t="str">
        <f t="shared" si="4"/>
        <v>F</v>
      </c>
      <c r="U39" s="4" t="str">
        <f t="shared" si="6"/>
        <v>50I</v>
      </c>
    </row>
    <row r="40" spans="1:21">
      <c r="A40" s="2">
        <v>141680</v>
      </c>
      <c r="B40" s="2" t="s">
        <v>345</v>
      </c>
      <c r="C40" s="3" t="str">
        <f t="shared" si="0"/>
        <v>SRDB20F40I</v>
      </c>
      <c r="D40" s="2">
        <v>0</v>
      </c>
      <c r="E40" s="2">
        <v>0</v>
      </c>
      <c r="F40" s="2">
        <v>3069</v>
      </c>
      <c r="G40" s="2">
        <v>0</v>
      </c>
      <c r="H40" s="2">
        <v>0</v>
      </c>
      <c r="I40" s="2">
        <v>0</v>
      </c>
      <c r="J40" s="2">
        <v>0</v>
      </c>
      <c r="K40" s="2" t="s">
        <v>296</v>
      </c>
      <c r="L40" s="2" t="s">
        <v>304</v>
      </c>
      <c r="M40" s="2" t="s">
        <v>308</v>
      </c>
      <c r="N40" s="2" t="s">
        <v>339</v>
      </c>
      <c r="O40" s="2" t="s">
        <v>300</v>
      </c>
      <c r="Q40" s="4" t="str">
        <f t="shared" si="1"/>
        <v>SRD</v>
      </c>
      <c r="R40" s="4" t="str">
        <f t="shared" si="2"/>
        <v>B</v>
      </c>
      <c r="S40" s="4" t="str">
        <f t="shared" si="3"/>
        <v>20</v>
      </c>
      <c r="T40" s="4" t="str">
        <f t="shared" si="4"/>
        <v>F</v>
      </c>
      <c r="U40" s="4" t="str">
        <f t="shared" si="6"/>
        <v>40I</v>
      </c>
    </row>
    <row r="41" spans="1:21" ht="14.25" customHeight="1">
      <c r="A41" s="2">
        <v>141681</v>
      </c>
      <c r="B41" s="2" t="s">
        <v>346</v>
      </c>
      <c r="C41" s="3" t="str">
        <f t="shared" si="0"/>
        <v>SRDB20F30I</v>
      </c>
      <c r="D41" s="2">
        <v>0</v>
      </c>
      <c r="E41" s="2">
        <v>0</v>
      </c>
      <c r="F41" s="2">
        <v>3069</v>
      </c>
      <c r="G41" s="2">
        <v>0</v>
      </c>
      <c r="H41" s="2">
        <v>0</v>
      </c>
      <c r="I41" s="2">
        <v>0</v>
      </c>
      <c r="J41" s="2">
        <v>0</v>
      </c>
      <c r="K41" s="2" t="s">
        <v>296</v>
      </c>
      <c r="L41" s="2" t="s">
        <v>306</v>
      </c>
      <c r="M41" s="2" t="s">
        <v>308</v>
      </c>
      <c r="N41" s="2" t="s">
        <v>339</v>
      </c>
      <c r="O41" s="2" t="s">
        <v>300</v>
      </c>
      <c r="Q41" s="4" t="str">
        <f t="shared" si="1"/>
        <v>SRD</v>
      </c>
      <c r="R41" s="4" t="str">
        <f t="shared" si="2"/>
        <v>B</v>
      </c>
      <c r="S41" s="4" t="str">
        <f t="shared" si="3"/>
        <v>20</v>
      </c>
      <c r="T41" s="4" t="str">
        <f t="shared" si="4"/>
        <v>F</v>
      </c>
      <c r="U41" s="4" t="str">
        <f t="shared" si="6"/>
        <v>30I</v>
      </c>
    </row>
    <row r="42" spans="1:21">
      <c r="A42" s="2">
        <v>141685</v>
      </c>
      <c r="B42" s="2" t="s">
        <v>347</v>
      </c>
      <c r="C42" s="3" t="str">
        <f t="shared" si="0"/>
        <v>SRDR30F60I</v>
      </c>
      <c r="D42" s="2">
        <v>0</v>
      </c>
      <c r="E42" s="2">
        <v>0</v>
      </c>
      <c r="F42" s="2">
        <v>4860</v>
      </c>
      <c r="G42" s="2">
        <v>0</v>
      </c>
      <c r="H42" s="2">
        <v>0</v>
      </c>
      <c r="I42" s="2">
        <v>0</v>
      </c>
      <c r="J42" s="2">
        <v>0</v>
      </c>
      <c r="K42" s="2" t="s">
        <v>296</v>
      </c>
      <c r="L42" s="2" t="s">
        <v>297</v>
      </c>
      <c r="M42" s="2" t="s">
        <v>298</v>
      </c>
      <c r="N42" s="2" t="s">
        <v>339</v>
      </c>
      <c r="O42" s="2" t="s">
        <v>313</v>
      </c>
      <c r="Q42" s="4" t="str">
        <f t="shared" si="1"/>
        <v>SRD</v>
      </c>
      <c r="R42" s="4" t="str">
        <f t="shared" si="2"/>
        <v>R</v>
      </c>
      <c r="S42" s="4" t="str">
        <f t="shared" si="3"/>
        <v>30</v>
      </c>
      <c r="T42" s="4" t="str">
        <f t="shared" si="4"/>
        <v>F</v>
      </c>
      <c r="U42" s="4" t="str">
        <f t="shared" si="6"/>
        <v>60I</v>
      </c>
    </row>
    <row r="43" spans="1:21">
      <c r="A43" s="2">
        <v>141686</v>
      </c>
      <c r="B43" s="2" t="s">
        <v>348</v>
      </c>
      <c r="C43" s="3" t="str">
        <f t="shared" si="0"/>
        <v>SRDR30F50I</v>
      </c>
      <c r="D43" s="2">
        <v>0</v>
      </c>
      <c r="E43" s="2">
        <v>0</v>
      </c>
      <c r="F43" s="2">
        <v>4860</v>
      </c>
      <c r="G43" s="2">
        <v>0</v>
      </c>
      <c r="H43" s="2">
        <v>0</v>
      </c>
      <c r="I43" s="2">
        <v>0</v>
      </c>
      <c r="J43" s="2">
        <v>0</v>
      </c>
      <c r="K43" s="2" t="s">
        <v>296</v>
      </c>
      <c r="L43" s="2" t="s">
        <v>302</v>
      </c>
      <c r="M43" s="2" t="s">
        <v>298</v>
      </c>
      <c r="N43" s="2" t="s">
        <v>339</v>
      </c>
      <c r="O43" s="2" t="s">
        <v>313</v>
      </c>
      <c r="Q43" s="4" t="str">
        <f t="shared" si="1"/>
        <v>SRD</v>
      </c>
      <c r="R43" s="4" t="str">
        <f t="shared" si="2"/>
        <v>R</v>
      </c>
      <c r="S43" s="4" t="str">
        <f t="shared" si="3"/>
        <v>30</v>
      </c>
      <c r="T43" s="4" t="str">
        <f t="shared" si="4"/>
        <v>F</v>
      </c>
      <c r="U43" s="4" t="str">
        <f t="shared" si="6"/>
        <v>50I</v>
      </c>
    </row>
    <row r="44" spans="1:21">
      <c r="A44" s="2">
        <v>141687</v>
      </c>
      <c r="B44" s="2" t="s">
        <v>349</v>
      </c>
      <c r="C44" s="3" t="str">
        <f t="shared" si="0"/>
        <v>SRDR30F40I</v>
      </c>
      <c r="D44" s="2">
        <v>0</v>
      </c>
      <c r="E44" s="2">
        <v>0</v>
      </c>
      <c r="F44" s="2">
        <v>4860</v>
      </c>
      <c r="G44" s="2">
        <v>0</v>
      </c>
      <c r="H44" s="2">
        <v>0</v>
      </c>
      <c r="I44" s="2">
        <v>0</v>
      </c>
      <c r="J44" s="2">
        <v>0</v>
      </c>
      <c r="K44" s="2" t="s">
        <v>296</v>
      </c>
      <c r="L44" s="2" t="s">
        <v>304</v>
      </c>
      <c r="M44" s="2" t="s">
        <v>298</v>
      </c>
      <c r="N44" s="2" t="s">
        <v>339</v>
      </c>
      <c r="O44" s="2" t="s">
        <v>313</v>
      </c>
      <c r="Q44" s="4" t="str">
        <f t="shared" si="1"/>
        <v>SRD</v>
      </c>
      <c r="R44" s="4" t="str">
        <f t="shared" si="2"/>
        <v>R</v>
      </c>
      <c r="S44" s="4" t="str">
        <f t="shared" si="3"/>
        <v>30</v>
      </c>
      <c r="T44" s="4" t="str">
        <f t="shared" si="4"/>
        <v>F</v>
      </c>
      <c r="U44" s="4" t="str">
        <f t="shared" si="6"/>
        <v>40I</v>
      </c>
    </row>
    <row r="45" spans="1:21">
      <c r="A45" s="2">
        <v>141688</v>
      </c>
      <c r="B45" s="2" t="s">
        <v>350</v>
      </c>
      <c r="C45" s="3" t="str">
        <f t="shared" si="0"/>
        <v>SRDR30F30I</v>
      </c>
      <c r="D45" s="2">
        <v>0</v>
      </c>
      <c r="E45" s="2">
        <v>0</v>
      </c>
      <c r="F45" s="2">
        <v>4860</v>
      </c>
      <c r="G45" s="2">
        <v>0</v>
      </c>
      <c r="H45" s="2">
        <v>0</v>
      </c>
      <c r="I45" s="2">
        <v>0</v>
      </c>
      <c r="J45" s="2">
        <v>0</v>
      </c>
      <c r="K45" s="2" t="s">
        <v>296</v>
      </c>
      <c r="L45" s="2" t="s">
        <v>306</v>
      </c>
      <c r="M45" s="2" t="s">
        <v>298</v>
      </c>
      <c r="N45" s="2" t="s">
        <v>339</v>
      </c>
      <c r="O45" s="2" t="s">
        <v>313</v>
      </c>
      <c r="Q45" s="4" t="str">
        <f t="shared" si="1"/>
        <v>SRD</v>
      </c>
      <c r="R45" s="4" t="str">
        <f t="shared" si="2"/>
        <v>R</v>
      </c>
      <c r="S45" s="4" t="str">
        <f t="shared" si="3"/>
        <v>30</v>
      </c>
      <c r="T45" s="4" t="str">
        <f t="shared" si="4"/>
        <v>F</v>
      </c>
      <c r="U45" s="4" t="str">
        <f t="shared" si="6"/>
        <v>30I</v>
      </c>
    </row>
    <row r="46" spans="1:21">
      <c r="A46" s="2">
        <v>141692</v>
      </c>
      <c r="B46" s="2" t="s">
        <v>351</v>
      </c>
      <c r="C46" s="3" t="str">
        <f t="shared" si="0"/>
        <v>SRDB30F60I</v>
      </c>
      <c r="D46" s="2">
        <v>0</v>
      </c>
      <c r="E46" s="2">
        <v>0</v>
      </c>
      <c r="F46" s="2">
        <v>5014</v>
      </c>
      <c r="G46" s="2">
        <v>0</v>
      </c>
      <c r="H46" s="2">
        <v>0</v>
      </c>
      <c r="I46" s="2">
        <v>0</v>
      </c>
      <c r="J46" s="2">
        <v>0</v>
      </c>
      <c r="K46" s="2" t="s">
        <v>296</v>
      </c>
      <c r="L46" s="2" t="s">
        <v>297</v>
      </c>
      <c r="M46" s="2" t="s">
        <v>308</v>
      </c>
      <c r="N46" s="2" t="s">
        <v>339</v>
      </c>
      <c r="O46" s="2" t="s">
        <v>313</v>
      </c>
      <c r="Q46" s="4" t="str">
        <f t="shared" si="1"/>
        <v>SRD</v>
      </c>
      <c r="R46" s="4" t="str">
        <f t="shared" si="2"/>
        <v>B</v>
      </c>
      <c r="S46" s="4" t="str">
        <f t="shared" si="3"/>
        <v>30</v>
      </c>
      <c r="T46" s="4" t="str">
        <f t="shared" si="4"/>
        <v>F</v>
      </c>
      <c r="U46" s="4" t="str">
        <f t="shared" si="6"/>
        <v>60I</v>
      </c>
    </row>
    <row r="47" spans="1:21">
      <c r="A47" s="2">
        <v>141693</v>
      </c>
      <c r="B47" s="2" t="s">
        <v>352</v>
      </c>
      <c r="C47" s="3" t="str">
        <f t="shared" si="0"/>
        <v>SRDB30F50I</v>
      </c>
      <c r="D47" s="2">
        <v>0</v>
      </c>
      <c r="E47" s="2">
        <v>0</v>
      </c>
      <c r="F47" s="2">
        <v>5014</v>
      </c>
      <c r="G47" s="2">
        <v>0</v>
      </c>
      <c r="H47" s="2">
        <v>0</v>
      </c>
      <c r="I47" s="2">
        <v>0</v>
      </c>
      <c r="J47" s="2">
        <v>0</v>
      </c>
      <c r="K47" s="2" t="s">
        <v>296</v>
      </c>
      <c r="L47" s="2" t="s">
        <v>302</v>
      </c>
      <c r="M47" s="2" t="s">
        <v>308</v>
      </c>
      <c r="N47" s="2" t="s">
        <v>339</v>
      </c>
      <c r="O47" s="2" t="s">
        <v>313</v>
      </c>
      <c r="Q47" s="4" t="str">
        <f t="shared" si="1"/>
        <v>SRD</v>
      </c>
      <c r="R47" s="4" t="str">
        <f t="shared" si="2"/>
        <v>B</v>
      </c>
      <c r="S47" s="4" t="str">
        <f t="shared" si="3"/>
        <v>30</v>
      </c>
      <c r="T47" s="4" t="str">
        <f t="shared" si="4"/>
        <v>F</v>
      </c>
      <c r="U47" s="4" t="str">
        <f t="shared" si="6"/>
        <v>50I</v>
      </c>
    </row>
    <row r="48" spans="1:21">
      <c r="A48" s="2">
        <v>141694</v>
      </c>
      <c r="B48" s="2" t="s">
        <v>353</v>
      </c>
      <c r="C48" s="3" t="str">
        <f t="shared" si="0"/>
        <v>SRDB30F40I</v>
      </c>
      <c r="D48" s="2">
        <v>0</v>
      </c>
      <c r="E48" s="2">
        <v>0</v>
      </c>
      <c r="F48" s="2">
        <v>5014</v>
      </c>
      <c r="G48" s="2">
        <v>0</v>
      </c>
      <c r="H48" s="2">
        <v>0</v>
      </c>
      <c r="I48" s="2">
        <v>0</v>
      </c>
      <c r="J48" s="2">
        <v>0</v>
      </c>
      <c r="K48" s="2" t="s">
        <v>296</v>
      </c>
      <c r="L48" s="2" t="s">
        <v>304</v>
      </c>
      <c r="M48" s="2" t="s">
        <v>308</v>
      </c>
      <c r="N48" s="2" t="s">
        <v>339</v>
      </c>
      <c r="O48" s="2" t="s">
        <v>313</v>
      </c>
      <c r="Q48" s="4" t="str">
        <f t="shared" si="1"/>
        <v>SRD</v>
      </c>
      <c r="R48" s="4" t="str">
        <f t="shared" si="2"/>
        <v>B</v>
      </c>
      <c r="S48" s="4" t="str">
        <f t="shared" si="3"/>
        <v>30</v>
      </c>
      <c r="T48" s="4" t="str">
        <f t="shared" si="4"/>
        <v>F</v>
      </c>
      <c r="U48" s="4" t="str">
        <f t="shared" si="6"/>
        <v>40I</v>
      </c>
    </row>
    <row r="49" spans="1:21">
      <c r="A49" s="2">
        <v>141695</v>
      </c>
      <c r="B49" s="2" t="s">
        <v>354</v>
      </c>
      <c r="C49" s="3" t="str">
        <f t="shared" si="0"/>
        <v>SRDB30F30I</v>
      </c>
      <c r="D49" s="2">
        <v>0</v>
      </c>
      <c r="E49" s="2">
        <v>0</v>
      </c>
      <c r="F49" s="2">
        <v>5014</v>
      </c>
      <c r="G49" s="2">
        <v>0</v>
      </c>
      <c r="H49" s="2">
        <v>0</v>
      </c>
      <c r="I49" s="2">
        <v>0</v>
      </c>
      <c r="J49" s="2">
        <v>0</v>
      </c>
      <c r="K49" s="2" t="s">
        <v>296</v>
      </c>
      <c r="L49" s="2" t="s">
        <v>306</v>
      </c>
      <c r="M49" s="2" t="s">
        <v>308</v>
      </c>
      <c r="N49" s="2" t="s">
        <v>339</v>
      </c>
      <c r="O49" s="2" t="s">
        <v>313</v>
      </c>
      <c r="Q49" s="4" t="str">
        <f t="shared" si="1"/>
        <v>SRD</v>
      </c>
      <c r="R49" s="4" t="str">
        <f t="shared" si="2"/>
        <v>B</v>
      </c>
      <c r="S49" s="4" t="str">
        <f t="shared" si="3"/>
        <v>30</v>
      </c>
      <c r="T49" s="4" t="str">
        <f t="shared" si="4"/>
        <v>F</v>
      </c>
      <c r="U49" s="4" t="str">
        <f t="shared" si="6"/>
        <v>30I</v>
      </c>
    </row>
    <row r="50" spans="1:21">
      <c r="A50" s="2">
        <v>141727</v>
      </c>
      <c r="B50" s="2" t="s">
        <v>355</v>
      </c>
      <c r="C50" s="3" t="str">
        <f t="shared" si="0"/>
        <v>SRDR20F60BT</v>
      </c>
      <c r="D50" s="2">
        <v>0</v>
      </c>
      <c r="E50" s="2">
        <v>0</v>
      </c>
      <c r="F50" s="2">
        <v>1222</v>
      </c>
      <c r="G50" s="2">
        <v>0</v>
      </c>
      <c r="H50" s="2">
        <v>0</v>
      </c>
      <c r="I50" s="2">
        <v>0</v>
      </c>
      <c r="J50" s="2">
        <v>0</v>
      </c>
      <c r="K50" s="2" t="s">
        <v>296</v>
      </c>
      <c r="L50" s="2" t="s">
        <v>297</v>
      </c>
      <c r="M50" s="2" t="s">
        <v>298</v>
      </c>
      <c r="N50" s="2" t="s">
        <v>356</v>
      </c>
      <c r="O50" s="2" t="s">
        <v>300</v>
      </c>
      <c r="Q50" s="4" t="str">
        <f t="shared" si="1"/>
        <v>SRD</v>
      </c>
      <c r="R50" s="4" t="str">
        <f t="shared" si="2"/>
        <v>R</v>
      </c>
      <c r="S50" s="4" t="str">
        <f t="shared" si="3"/>
        <v>20</v>
      </c>
      <c r="T50" s="4" t="str">
        <f t="shared" si="4"/>
        <v>F</v>
      </c>
      <c r="U50" s="4" t="str">
        <f t="shared" si="6"/>
        <v>60BT</v>
      </c>
    </row>
    <row r="51" spans="1:21">
      <c r="A51" s="2">
        <v>141728</v>
      </c>
      <c r="B51" s="2" t="s">
        <v>357</v>
      </c>
      <c r="C51" s="3" t="str">
        <f t="shared" si="0"/>
        <v>SRDR20F50BT</v>
      </c>
      <c r="D51" s="2">
        <v>0</v>
      </c>
      <c r="E51" s="2">
        <v>0</v>
      </c>
      <c r="F51" s="2">
        <v>1222</v>
      </c>
      <c r="G51" s="2">
        <v>0</v>
      </c>
      <c r="H51" s="2">
        <v>0</v>
      </c>
      <c r="I51" s="2">
        <v>0</v>
      </c>
      <c r="J51" s="2">
        <v>0</v>
      </c>
      <c r="K51" s="2" t="s">
        <v>296</v>
      </c>
      <c r="L51" s="2" t="s">
        <v>302</v>
      </c>
      <c r="M51" s="2" t="s">
        <v>298</v>
      </c>
      <c r="N51" s="2" t="s">
        <v>356</v>
      </c>
      <c r="O51" s="2" t="s">
        <v>300</v>
      </c>
      <c r="Q51" s="4" t="str">
        <f t="shared" si="1"/>
        <v>SRD</v>
      </c>
      <c r="R51" s="4" t="str">
        <f t="shared" si="2"/>
        <v>R</v>
      </c>
      <c r="S51" s="4" t="str">
        <f t="shared" si="3"/>
        <v>20</v>
      </c>
      <c r="T51" s="4" t="str">
        <f t="shared" si="4"/>
        <v>F</v>
      </c>
      <c r="U51" s="4" t="str">
        <f t="shared" si="6"/>
        <v>50BT</v>
      </c>
    </row>
    <row r="52" spans="1:21">
      <c r="A52" s="2">
        <v>141729</v>
      </c>
      <c r="B52" s="2" t="s">
        <v>358</v>
      </c>
      <c r="C52" s="3" t="str">
        <f t="shared" si="0"/>
        <v>SRDR20F40BT</v>
      </c>
      <c r="D52" s="2">
        <v>0</v>
      </c>
      <c r="E52" s="2">
        <v>0</v>
      </c>
      <c r="F52" s="2">
        <v>1222</v>
      </c>
      <c r="G52" s="2">
        <v>0</v>
      </c>
      <c r="H52" s="2">
        <v>0</v>
      </c>
      <c r="I52" s="2">
        <v>0</v>
      </c>
      <c r="J52" s="2">
        <v>0</v>
      </c>
      <c r="K52" s="2" t="s">
        <v>296</v>
      </c>
      <c r="L52" s="2" t="s">
        <v>304</v>
      </c>
      <c r="M52" s="2" t="s">
        <v>298</v>
      </c>
      <c r="N52" s="2" t="s">
        <v>356</v>
      </c>
      <c r="O52" s="2" t="s">
        <v>300</v>
      </c>
      <c r="Q52" s="4" t="str">
        <f t="shared" si="1"/>
        <v>SRD</v>
      </c>
      <c r="R52" s="4" t="str">
        <f t="shared" si="2"/>
        <v>R</v>
      </c>
      <c r="S52" s="4" t="str">
        <f t="shared" si="3"/>
        <v>20</v>
      </c>
      <c r="T52" s="4" t="str">
        <f t="shared" si="4"/>
        <v>F</v>
      </c>
      <c r="U52" s="4" t="str">
        <f t="shared" si="6"/>
        <v>40BT</v>
      </c>
    </row>
    <row r="53" spans="1:21">
      <c r="A53" s="2">
        <v>141730</v>
      </c>
      <c r="B53" s="2" t="s">
        <v>359</v>
      </c>
      <c r="C53" s="3" t="str">
        <f t="shared" si="0"/>
        <v>SRDR20F30BT</v>
      </c>
      <c r="D53" s="2">
        <v>0</v>
      </c>
      <c r="E53" s="2">
        <v>0</v>
      </c>
      <c r="F53" s="2">
        <v>1222</v>
      </c>
      <c r="G53" s="2">
        <v>0</v>
      </c>
      <c r="H53" s="2">
        <v>0</v>
      </c>
      <c r="I53" s="2">
        <v>0</v>
      </c>
      <c r="J53" s="2">
        <v>0</v>
      </c>
      <c r="K53" s="2" t="s">
        <v>296</v>
      </c>
      <c r="L53" s="2" t="s">
        <v>306</v>
      </c>
      <c r="M53" s="2" t="s">
        <v>298</v>
      </c>
      <c r="N53" s="2" t="s">
        <v>356</v>
      </c>
      <c r="O53" s="2" t="s">
        <v>300</v>
      </c>
      <c r="Q53" s="4" t="str">
        <f t="shared" si="1"/>
        <v>SRD</v>
      </c>
      <c r="R53" s="4" t="str">
        <f t="shared" si="2"/>
        <v>R</v>
      </c>
      <c r="S53" s="4" t="str">
        <f t="shared" si="3"/>
        <v>20</v>
      </c>
      <c r="T53" s="4" t="str">
        <f t="shared" si="4"/>
        <v>F</v>
      </c>
      <c r="U53" s="4" t="str">
        <f t="shared" si="6"/>
        <v>30BT</v>
      </c>
    </row>
    <row r="54" spans="1:21">
      <c r="A54" s="2">
        <v>141734</v>
      </c>
      <c r="B54" s="2" t="s">
        <v>360</v>
      </c>
      <c r="C54" s="3" t="str">
        <f t="shared" si="0"/>
        <v>SRDB20F60BT</v>
      </c>
      <c r="D54" s="2">
        <v>0</v>
      </c>
      <c r="E54" s="2">
        <v>0</v>
      </c>
      <c r="F54" s="2">
        <v>1300</v>
      </c>
      <c r="G54" s="2">
        <v>0</v>
      </c>
      <c r="H54" s="2">
        <v>0</v>
      </c>
      <c r="I54" s="2">
        <v>0</v>
      </c>
      <c r="J54" s="2">
        <v>0</v>
      </c>
      <c r="K54" s="2" t="s">
        <v>296</v>
      </c>
      <c r="L54" s="2" t="s">
        <v>297</v>
      </c>
      <c r="M54" s="2" t="s">
        <v>308</v>
      </c>
      <c r="N54" s="2" t="s">
        <v>356</v>
      </c>
      <c r="O54" s="2" t="s">
        <v>300</v>
      </c>
      <c r="Q54" s="4" t="str">
        <f t="shared" si="1"/>
        <v>SRD</v>
      </c>
      <c r="R54" s="4" t="str">
        <f t="shared" si="2"/>
        <v>B</v>
      </c>
      <c r="S54" s="4" t="str">
        <f t="shared" si="3"/>
        <v>20</v>
      </c>
      <c r="T54" s="4" t="str">
        <f t="shared" si="4"/>
        <v>F</v>
      </c>
      <c r="U54" s="4" t="str">
        <f t="shared" si="6"/>
        <v>60BT</v>
      </c>
    </row>
    <row r="55" spans="1:21">
      <c r="A55" s="2">
        <v>141735</v>
      </c>
      <c r="B55" s="2" t="s">
        <v>361</v>
      </c>
      <c r="C55" s="3" t="str">
        <f t="shared" si="0"/>
        <v>SRDB20F50BT</v>
      </c>
      <c r="D55" s="2">
        <v>0</v>
      </c>
      <c r="E55" s="2">
        <v>0</v>
      </c>
      <c r="F55" s="2">
        <v>1300</v>
      </c>
      <c r="G55" s="2">
        <v>0</v>
      </c>
      <c r="H55" s="2">
        <v>0</v>
      </c>
      <c r="I55" s="2">
        <v>0</v>
      </c>
      <c r="J55" s="2">
        <v>0</v>
      </c>
      <c r="K55" s="2" t="s">
        <v>296</v>
      </c>
      <c r="L55" s="2" t="s">
        <v>302</v>
      </c>
      <c r="M55" s="2" t="s">
        <v>308</v>
      </c>
      <c r="N55" s="2" t="s">
        <v>356</v>
      </c>
      <c r="O55" s="2" t="s">
        <v>300</v>
      </c>
      <c r="Q55" s="4" t="str">
        <f t="shared" si="1"/>
        <v>SRD</v>
      </c>
      <c r="R55" s="4" t="str">
        <f t="shared" si="2"/>
        <v>B</v>
      </c>
      <c r="S55" s="4" t="str">
        <f t="shared" si="3"/>
        <v>20</v>
      </c>
      <c r="T55" s="4" t="str">
        <f t="shared" si="4"/>
        <v>F</v>
      </c>
      <c r="U55" s="4" t="str">
        <f t="shared" si="6"/>
        <v>50BT</v>
      </c>
    </row>
    <row r="56" spans="1:21">
      <c r="A56" s="2">
        <v>141736</v>
      </c>
      <c r="B56" s="2" t="s">
        <v>362</v>
      </c>
      <c r="C56" s="3" t="str">
        <f t="shared" si="0"/>
        <v>SRDB20F40BT</v>
      </c>
      <c r="D56" s="2">
        <v>0</v>
      </c>
      <c r="E56" s="2">
        <v>0</v>
      </c>
      <c r="F56" s="2">
        <v>1300</v>
      </c>
      <c r="G56" s="2">
        <v>0</v>
      </c>
      <c r="H56" s="2">
        <v>0</v>
      </c>
      <c r="I56" s="2">
        <v>0</v>
      </c>
      <c r="J56" s="2">
        <v>0</v>
      </c>
      <c r="K56" s="2" t="s">
        <v>296</v>
      </c>
      <c r="L56" s="2" t="s">
        <v>304</v>
      </c>
      <c r="M56" s="2" t="s">
        <v>308</v>
      </c>
      <c r="N56" s="2" t="s">
        <v>356</v>
      </c>
      <c r="O56" s="2" t="s">
        <v>300</v>
      </c>
      <c r="Q56" s="4" t="str">
        <f t="shared" si="1"/>
        <v>SRD</v>
      </c>
      <c r="R56" s="4" t="str">
        <f t="shared" si="2"/>
        <v>B</v>
      </c>
      <c r="S56" s="4" t="str">
        <f t="shared" si="3"/>
        <v>20</v>
      </c>
      <c r="T56" s="4" t="str">
        <f t="shared" si="4"/>
        <v>F</v>
      </c>
      <c r="U56" s="4" t="str">
        <f t="shared" si="6"/>
        <v>40BT</v>
      </c>
    </row>
    <row r="57" spans="1:21">
      <c r="A57" s="2">
        <v>141737</v>
      </c>
      <c r="B57" s="2" t="s">
        <v>363</v>
      </c>
      <c r="C57" s="3" t="str">
        <f t="shared" si="0"/>
        <v>SRDB20F30BT</v>
      </c>
      <c r="D57" s="2">
        <v>0</v>
      </c>
      <c r="E57" s="2">
        <v>0</v>
      </c>
      <c r="F57" s="2">
        <v>1300</v>
      </c>
      <c r="G57" s="2">
        <v>0</v>
      </c>
      <c r="H57" s="2">
        <v>0</v>
      </c>
      <c r="I57" s="2">
        <v>0</v>
      </c>
      <c r="J57" s="2">
        <v>0</v>
      </c>
      <c r="K57" s="2" t="s">
        <v>296</v>
      </c>
      <c r="L57" s="2" t="s">
        <v>306</v>
      </c>
      <c r="M57" s="2" t="s">
        <v>308</v>
      </c>
      <c r="N57" s="2" t="s">
        <v>356</v>
      </c>
      <c r="O57" s="2" t="s">
        <v>300</v>
      </c>
      <c r="Q57" s="4" t="str">
        <f t="shared" si="1"/>
        <v>SRD</v>
      </c>
      <c r="R57" s="4" t="str">
        <f t="shared" si="2"/>
        <v>B</v>
      </c>
      <c r="S57" s="4" t="str">
        <f t="shared" si="3"/>
        <v>20</v>
      </c>
      <c r="T57" s="4" t="str">
        <f t="shared" si="4"/>
        <v>F</v>
      </c>
      <c r="U57" s="4" t="str">
        <f t="shared" si="6"/>
        <v>30BT</v>
      </c>
    </row>
    <row r="58" spans="1:21">
      <c r="A58" s="2">
        <v>141741</v>
      </c>
      <c r="B58" s="2" t="s">
        <v>364</v>
      </c>
      <c r="C58" s="3" t="str">
        <f t="shared" si="0"/>
        <v>SRDR30F60BT</v>
      </c>
      <c r="D58" s="2">
        <v>0</v>
      </c>
      <c r="E58" s="2">
        <v>0</v>
      </c>
      <c r="F58" s="2">
        <v>4323</v>
      </c>
      <c r="G58" s="2">
        <v>0</v>
      </c>
      <c r="H58" s="2">
        <v>0</v>
      </c>
      <c r="I58" s="2">
        <v>0</v>
      </c>
      <c r="J58" s="2">
        <v>0</v>
      </c>
      <c r="K58" s="2" t="s">
        <v>296</v>
      </c>
      <c r="L58" s="2" t="s">
        <v>297</v>
      </c>
      <c r="M58" s="2" t="s">
        <v>298</v>
      </c>
      <c r="N58" s="2" t="s">
        <v>356</v>
      </c>
      <c r="O58" s="2" t="s">
        <v>313</v>
      </c>
      <c r="Q58" s="4" t="str">
        <f t="shared" si="1"/>
        <v>SRD</v>
      </c>
      <c r="R58" s="4" t="str">
        <f t="shared" si="2"/>
        <v>R</v>
      </c>
      <c r="S58" s="4" t="str">
        <f t="shared" si="3"/>
        <v>30</v>
      </c>
      <c r="T58" s="4" t="str">
        <f t="shared" si="4"/>
        <v>F</v>
      </c>
      <c r="U58" s="4" t="str">
        <f t="shared" si="6"/>
        <v>60BT</v>
      </c>
    </row>
    <row r="59" spans="1:21">
      <c r="A59" s="2">
        <v>141742</v>
      </c>
      <c r="B59" s="2" t="s">
        <v>365</v>
      </c>
      <c r="C59" s="3" t="str">
        <f t="shared" si="0"/>
        <v>SRDR30F50BT</v>
      </c>
      <c r="D59" s="2">
        <v>0</v>
      </c>
      <c r="E59" s="2">
        <v>0</v>
      </c>
      <c r="F59" s="2">
        <v>4323</v>
      </c>
      <c r="G59" s="2">
        <v>0</v>
      </c>
      <c r="H59" s="2">
        <v>0</v>
      </c>
      <c r="I59" s="2">
        <v>0</v>
      </c>
      <c r="J59" s="2">
        <v>0</v>
      </c>
      <c r="K59" s="2" t="s">
        <v>296</v>
      </c>
      <c r="L59" s="2" t="s">
        <v>302</v>
      </c>
      <c r="M59" s="2" t="s">
        <v>298</v>
      </c>
      <c r="N59" s="2" t="s">
        <v>356</v>
      </c>
      <c r="O59" s="2" t="s">
        <v>313</v>
      </c>
      <c r="Q59" s="4" t="str">
        <f t="shared" si="1"/>
        <v>SRD</v>
      </c>
      <c r="R59" s="4" t="str">
        <f t="shared" si="2"/>
        <v>R</v>
      </c>
      <c r="S59" s="4" t="str">
        <f t="shared" si="3"/>
        <v>30</v>
      </c>
      <c r="T59" s="4" t="str">
        <f t="shared" si="4"/>
        <v>F</v>
      </c>
      <c r="U59" s="4" t="str">
        <f t="shared" si="6"/>
        <v>50BT</v>
      </c>
    </row>
    <row r="60" spans="1:21">
      <c r="A60" s="2">
        <v>141743</v>
      </c>
      <c r="B60" s="2" t="s">
        <v>366</v>
      </c>
      <c r="C60" s="3" t="str">
        <f t="shared" si="0"/>
        <v>SRDR30F40BT</v>
      </c>
      <c r="D60" s="2">
        <v>0</v>
      </c>
      <c r="E60" s="2">
        <v>0</v>
      </c>
      <c r="F60" s="2">
        <v>4323</v>
      </c>
      <c r="G60" s="2">
        <v>0</v>
      </c>
      <c r="H60" s="2">
        <v>0</v>
      </c>
      <c r="I60" s="2">
        <v>0</v>
      </c>
      <c r="J60" s="2">
        <v>0</v>
      </c>
      <c r="K60" s="2" t="s">
        <v>296</v>
      </c>
      <c r="L60" s="2" t="s">
        <v>304</v>
      </c>
      <c r="M60" s="2" t="s">
        <v>298</v>
      </c>
      <c r="N60" s="2" t="s">
        <v>356</v>
      </c>
      <c r="O60" s="2" t="s">
        <v>313</v>
      </c>
      <c r="Q60" s="4" t="str">
        <f t="shared" si="1"/>
        <v>SRD</v>
      </c>
      <c r="R60" s="4" t="str">
        <f t="shared" si="2"/>
        <v>R</v>
      </c>
      <c r="S60" s="4" t="str">
        <f t="shared" si="3"/>
        <v>30</v>
      </c>
      <c r="T60" s="4" t="str">
        <f t="shared" si="4"/>
        <v>F</v>
      </c>
      <c r="U60" s="4" t="str">
        <f t="shared" si="6"/>
        <v>40BT</v>
      </c>
    </row>
    <row r="61" spans="1:21">
      <c r="A61" s="2">
        <v>141744</v>
      </c>
      <c r="B61" s="2" t="s">
        <v>367</v>
      </c>
      <c r="C61" s="3" t="str">
        <f t="shared" si="0"/>
        <v>SRDR30F30BT</v>
      </c>
      <c r="D61" s="2">
        <v>0</v>
      </c>
      <c r="E61" s="2">
        <v>0</v>
      </c>
      <c r="F61" s="2">
        <v>4323</v>
      </c>
      <c r="G61" s="2">
        <v>0</v>
      </c>
      <c r="H61" s="2">
        <v>0</v>
      </c>
      <c r="I61" s="2">
        <v>0</v>
      </c>
      <c r="J61" s="2">
        <v>0</v>
      </c>
      <c r="K61" s="2" t="s">
        <v>296</v>
      </c>
      <c r="L61" s="2" t="s">
        <v>306</v>
      </c>
      <c r="M61" s="2" t="s">
        <v>298</v>
      </c>
      <c r="N61" s="2" t="s">
        <v>356</v>
      </c>
      <c r="O61" s="2" t="s">
        <v>313</v>
      </c>
      <c r="Q61" s="4" t="str">
        <f t="shared" si="1"/>
        <v>SRD</v>
      </c>
      <c r="R61" s="4" t="str">
        <f t="shared" si="2"/>
        <v>R</v>
      </c>
      <c r="S61" s="4" t="str">
        <f t="shared" si="3"/>
        <v>30</v>
      </c>
      <c r="T61" s="4" t="str">
        <f t="shared" si="4"/>
        <v>F</v>
      </c>
      <c r="U61" s="4" t="str">
        <f t="shared" si="6"/>
        <v>30BT</v>
      </c>
    </row>
    <row r="62" spans="1:21">
      <c r="A62" s="2">
        <v>141748</v>
      </c>
      <c r="B62" s="2" t="s">
        <v>368</v>
      </c>
      <c r="C62" s="3" t="str">
        <f t="shared" si="0"/>
        <v>SRDB30F60BT</v>
      </c>
      <c r="D62" s="2">
        <v>0</v>
      </c>
      <c r="E62" s="2">
        <v>0</v>
      </c>
      <c r="F62" s="2">
        <v>4549</v>
      </c>
      <c r="G62" s="2">
        <v>0</v>
      </c>
      <c r="H62" s="2">
        <v>0</v>
      </c>
      <c r="I62" s="2">
        <v>0</v>
      </c>
      <c r="J62" s="2">
        <v>0</v>
      </c>
      <c r="K62" s="2" t="s">
        <v>296</v>
      </c>
      <c r="L62" s="2" t="s">
        <v>297</v>
      </c>
      <c r="M62" s="2" t="s">
        <v>308</v>
      </c>
      <c r="N62" s="2" t="s">
        <v>356</v>
      </c>
      <c r="O62" s="2" t="s">
        <v>313</v>
      </c>
      <c r="Q62" s="4" t="str">
        <f t="shared" si="1"/>
        <v>SRD</v>
      </c>
      <c r="R62" s="4" t="str">
        <f t="shared" si="2"/>
        <v>B</v>
      </c>
      <c r="S62" s="4" t="str">
        <f t="shared" si="3"/>
        <v>30</v>
      </c>
      <c r="T62" s="4" t="str">
        <f t="shared" si="4"/>
        <v>F</v>
      </c>
      <c r="U62" s="4" t="str">
        <f t="shared" si="6"/>
        <v>60BT</v>
      </c>
    </row>
    <row r="63" spans="1:21">
      <c r="A63" s="2">
        <v>141749</v>
      </c>
      <c r="B63" s="2" t="s">
        <v>369</v>
      </c>
      <c r="C63" s="3" t="str">
        <f t="shared" si="0"/>
        <v>SRDB30F50BT</v>
      </c>
      <c r="D63" s="2">
        <v>0</v>
      </c>
      <c r="E63" s="2">
        <v>0</v>
      </c>
      <c r="F63" s="2">
        <v>4549</v>
      </c>
      <c r="G63" s="2">
        <v>0</v>
      </c>
      <c r="H63" s="2">
        <v>0</v>
      </c>
      <c r="I63" s="2">
        <v>0</v>
      </c>
      <c r="J63" s="2">
        <v>0</v>
      </c>
      <c r="K63" s="2" t="s">
        <v>296</v>
      </c>
      <c r="L63" s="2" t="s">
        <v>302</v>
      </c>
      <c r="M63" s="2" t="s">
        <v>308</v>
      </c>
      <c r="N63" s="2" t="s">
        <v>356</v>
      </c>
      <c r="O63" s="2" t="s">
        <v>313</v>
      </c>
      <c r="Q63" s="4" t="str">
        <f t="shared" si="1"/>
        <v>SRD</v>
      </c>
      <c r="R63" s="4" t="str">
        <f t="shared" si="2"/>
        <v>B</v>
      </c>
      <c r="S63" s="4" t="str">
        <f t="shared" si="3"/>
        <v>30</v>
      </c>
      <c r="T63" s="4" t="str">
        <f t="shared" si="4"/>
        <v>F</v>
      </c>
      <c r="U63" s="4" t="str">
        <f t="shared" si="6"/>
        <v>50BT</v>
      </c>
    </row>
    <row r="64" spans="1:21">
      <c r="A64" s="2">
        <v>141750</v>
      </c>
      <c r="B64" s="2" t="s">
        <v>370</v>
      </c>
      <c r="C64" s="3" t="str">
        <f t="shared" si="0"/>
        <v>SRDB30F40BT</v>
      </c>
      <c r="D64" s="2">
        <v>0</v>
      </c>
      <c r="E64" s="2">
        <v>0</v>
      </c>
      <c r="F64" s="2">
        <v>4549</v>
      </c>
      <c r="G64" s="2">
        <v>0</v>
      </c>
      <c r="H64" s="2">
        <v>0</v>
      </c>
      <c r="I64" s="2">
        <v>0</v>
      </c>
      <c r="J64" s="2">
        <v>0</v>
      </c>
      <c r="K64" s="2" t="s">
        <v>296</v>
      </c>
      <c r="L64" s="2" t="s">
        <v>304</v>
      </c>
      <c r="M64" s="2" t="s">
        <v>308</v>
      </c>
      <c r="N64" s="2" t="s">
        <v>356</v>
      </c>
      <c r="O64" s="2" t="s">
        <v>313</v>
      </c>
      <c r="Q64" s="4" t="str">
        <f t="shared" si="1"/>
        <v>SRD</v>
      </c>
      <c r="R64" s="4" t="str">
        <f t="shared" si="2"/>
        <v>B</v>
      </c>
      <c r="S64" s="4" t="str">
        <f t="shared" si="3"/>
        <v>30</v>
      </c>
      <c r="T64" s="4" t="str">
        <f t="shared" si="4"/>
        <v>F</v>
      </c>
      <c r="U64" s="4" t="str">
        <f t="shared" si="6"/>
        <v>40BT</v>
      </c>
    </row>
    <row r="65" spans="1:21">
      <c r="A65" s="2">
        <v>141751</v>
      </c>
      <c r="B65" s="2" t="s">
        <v>371</v>
      </c>
      <c r="C65" s="3" t="str">
        <f t="shared" si="0"/>
        <v>SRDB30F30BT</v>
      </c>
      <c r="D65" s="2">
        <v>0</v>
      </c>
      <c r="E65" s="2">
        <v>0</v>
      </c>
      <c r="F65" s="2">
        <v>4549</v>
      </c>
      <c r="G65" s="2">
        <v>0</v>
      </c>
      <c r="H65" s="2">
        <v>0</v>
      </c>
      <c r="I65" s="2">
        <v>0</v>
      </c>
      <c r="J65" s="2">
        <v>0</v>
      </c>
      <c r="K65" s="2" t="s">
        <v>296</v>
      </c>
      <c r="L65" s="2" t="s">
        <v>306</v>
      </c>
      <c r="M65" s="2" t="s">
        <v>308</v>
      </c>
      <c r="N65" s="2" t="s">
        <v>356</v>
      </c>
      <c r="O65" s="2" t="s">
        <v>313</v>
      </c>
      <c r="Q65" s="4" t="str">
        <f t="shared" si="1"/>
        <v>SRD</v>
      </c>
      <c r="R65" s="4" t="str">
        <f t="shared" si="2"/>
        <v>B</v>
      </c>
      <c r="S65" s="4" t="str">
        <f t="shared" si="3"/>
        <v>30</v>
      </c>
      <c r="T65" s="4" t="str">
        <f t="shared" si="4"/>
        <v>F</v>
      </c>
      <c r="U65" s="4" t="str">
        <f t="shared" si="6"/>
        <v>30BT</v>
      </c>
    </row>
    <row r="66" spans="1:21">
      <c r="A66" s="2">
        <v>141760</v>
      </c>
      <c r="B66" s="2" t="s">
        <v>372</v>
      </c>
      <c r="C66" s="3" t="str">
        <f t="shared" si="0"/>
        <v>SRDR20F25ID</v>
      </c>
      <c r="D66" s="2">
        <v>0</v>
      </c>
      <c r="E66" s="2">
        <v>0</v>
      </c>
      <c r="F66" s="2">
        <v>3870</v>
      </c>
      <c r="G66" s="2">
        <v>0</v>
      </c>
      <c r="H66" s="2">
        <v>0</v>
      </c>
      <c r="I66" s="2">
        <v>0</v>
      </c>
      <c r="J66" s="2">
        <v>0</v>
      </c>
      <c r="K66" s="2" t="s">
        <v>296</v>
      </c>
      <c r="L66" s="2" t="s">
        <v>373</v>
      </c>
      <c r="M66" s="2" t="s">
        <v>298</v>
      </c>
      <c r="N66" s="2" t="s">
        <v>374</v>
      </c>
      <c r="O66" s="2" t="s">
        <v>300</v>
      </c>
      <c r="Q66" s="4" t="str">
        <f t="shared" si="1"/>
        <v>SRD</v>
      </c>
      <c r="R66" s="4" t="str">
        <f t="shared" si="2"/>
        <v>R</v>
      </c>
      <c r="S66" s="4" t="str">
        <f t="shared" si="3"/>
        <v>20</v>
      </c>
      <c r="T66" s="4" t="str">
        <f t="shared" si="4"/>
        <v>F</v>
      </c>
      <c r="U66" s="4" t="str">
        <f t="shared" si="6"/>
        <v>25ID</v>
      </c>
    </row>
    <row r="67" spans="1:21">
      <c r="A67" s="2">
        <v>141767</v>
      </c>
      <c r="B67" s="2" t="s">
        <v>375</v>
      </c>
      <c r="C67" s="3" t="str">
        <f t="shared" ref="C67:C73" si="7">CONCATENATE(Q67,R67,S67,T67,U67)</f>
        <v>SRDB20F25ID</v>
      </c>
      <c r="D67" s="2">
        <v>0</v>
      </c>
      <c r="E67" s="2">
        <v>0</v>
      </c>
      <c r="F67" s="2">
        <v>3983</v>
      </c>
      <c r="G67" s="2">
        <v>0</v>
      </c>
      <c r="H67" s="2">
        <v>0</v>
      </c>
      <c r="I67" s="2">
        <v>0</v>
      </c>
      <c r="J67" s="2">
        <v>0</v>
      </c>
      <c r="K67" s="2" t="s">
        <v>296</v>
      </c>
      <c r="L67" s="2" t="s">
        <v>373</v>
      </c>
      <c r="M67" s="2" t="s">
        <v>308</v>
      </c>
      <c r="N67" s="2" t="s">
        <v>374</v>
      </c>
      <c r="O67" s="2" t="s">
        <v>300</v>
      </c>
      <c r="Q67" s="4" t="str">
        <f t="shared" ref="Q67:Q73" si="8">MID(B67,1,3)</f>
        <v>SRD</v>
      </c>
      <c r="R67" s="4" t="str">
        <f t="shared" ref="R67:R73" si="9">MID(B67,4,1)</f>
        <v>B</v>
      </c>
      <c r="S67" s="4" t="str">
        <f t="shared" ref="S67:S73" si="10">MID(B67,5,2)</f>
        <v>20</v>
      </c>
      <c r="T67" s="4" t="str">
        <f t="shared" ref="T67:T73" si="11">MID(B67,7,1)</f>
        <v>F</v>
      </c>
      <c r="U67" s="4" t="str">
        <f t="shared" si="6"/>
        <v>25ID</v>
      </c>
    </row>
    <row r="68" spans="1:21">
      <c r="A68" s="2">
        <v>141774</v>
      </c>
      <c r="B68" s="2" t="s">
        <v>376</v>
      </c>
      <c r="C68" s="3" t="str">
        <f t="shared" si="7"/>
        <v>SRDR30F25ID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 t="s">
        <v>296</v>
      </c>
      <c r="L68" s="2" t="s">
        <v>373</v>
      </c>
      <c r="M68" s="2" t="s">
        <v>298</v>
      </c>
      <c r="N68" s="2" t="s">
        <v>374</v>
      </c>
      <c r="O68" s="2" t="s">
        <v>313</v>
      </c>
      <c r="Q68" s="4" t="str">
        <f t="shared" si="8"/>
        <v>SRD</v>
      </c>
      <c r="R68" s="4" t="str">
        <f t="shared" si="9"/>
        <v>R</v>
      </c>
      <c r="S68" s="4" t="str">
        <f t="shared" si="10"/>
        <v>30</v>
      </c>
      <c r="T68" s="4" t="str">
        <f t="shared" si="11"/>
        <v>F</v>
      </c>
      <c r="U68" s="4" t="str">
        <f t="shared" si="6"/>
        <v>25ID</v>
      </c>
    </row>
    <row r="69" spans="1:21">
      <c r="A69" s="2">
        <v>141781</v>
      </c>
      <c r="B69" s="2" t="s">
        <v>377</v>
      </c>
      <c r="C69" s="3" t="str">
        <f t="shared" si="7"/>
        <v>SRDB30F25ID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 t="s">
        <v>296</v>
      </c>
      <c r="L69" s="2" t="s">
        <v>373</v>
      </c>
      <c r="M69" s="2" t="s">
        <v>308</v>
      </c>
      <c r="N69" s="2" t="s">
        <v>374</v>
      </c>
      <c r="O69" s="2" t="s">
        <v>313</v>
      </c>
      <c r="Q69" s="4" t="str">
        <f t="shared" si="8"/>
        <v>SRD</v>
      </c>
      <c r="R69" s="4" t="str">
        <f t="shared" si="9"/>
        <v>B</v>
      </c>
      <c r="S69" s="4" t="str">
        <f t="shared" si="10"/>
        <v>30</v>
      </c>
      <c r="T69" s="4" t="str">
        <f t="shared" si="11"/>
        <v>F</v>
      </c>
      <c r="U69" s="4" t="str">
        <f t="shared" si="6"/>
        <v>25ID</v>
      </c>
    </row>
    <row r="70" spans="1:21">
      <c r="A70" s="2">
        <v>141815</v>
      </c>
      <c r="B70" s="2" t="s">
        <v>378</v>
      </c>
      <c r="C70" s="3" t="str">
        <f t="shared" si="7"/>
        <v>SRDR20F25BTD</v>
      </c>
      <c r="D70" s="2">
        <v>0</v>
      </c>
      <c r="E70" s="2">
        <v>0</v>
      </c>
      <c r="F70" s="2">
        <v>2602</v>
      </c>
      <c r="G70" s="2">
        <v>0</v>
      </c>
      <c r="H70" s="2">
        <v>0</v>
      </c>
      <c r="I70" s="2">
        <v>0</v>
      </c>
      <c r="J70" s="2">
        <v>0</v>
      </c>
      <c r="K70" s="2" t="s">
        <v>296</v>
      </c>
      <c r="L70" s="2" t="s">
        <v>379</v>
      </c>
      <c r="M70" s="2" t="s">
        <v>298</v>
      </c>
      <c r="N70" s="2" t="s">
        <v>380</v>
      </c>
      <c r="O70" s="2" t="s">
        <v>300</v>
      </c>
      <c r="Q70" s="4" t="str">
        <f t="shared" si="8"/>
        <v>SRD</v>
      </c>
      <c r="R70" s="4" t="str">
        <f t="shared" si="9"/>
        <v>R</v>
      </c>
      <c r="S70" s="4" t="str">
        <f t="shared" si="10"/>
        <v>20</v>
      </c>
      <c r="T70" s="4" t="str">
        <f t="shared" si="11"/>
        <v>F</v>
      </c>
      <c r="U70" s="4" t="str">
        <f t="shared" si="6"/>
        <v>25BTD</v>
      </c>
    </row>
    <row r="71" spans="1:21">
      <c r="A71" s="2">
        <v>141822</v>
      </c>
      <c r="B71" s="2" t="s">
        <v>381</v>
      </c>
      <c r="C71" s="3" t="str">
        <f t="shared" si="7"/>
        <v>SRDB20F25BTD</v>
      </c>
      <c r="D71" s="2">
        <v>0</v>
      </c>
      <c r="E71" s="2">
        <v>0</v>
      </c>
      <c r="F71" s="2">
        <v>2716</v>
      </c>
      <c r="G71" s="2">
        <v>0</v>
      </c>
      <c r="H71" s="2">
        <v>0</v>
      </c>
      <c r="I71" s="2">
        <v>0</v>
      </c>
      <c r="J71" s="2">
        <v>0</v>
      </c>
      <c r="K71" s="2" t="s">
        <v>296</v>
      </c>
      <c r="L71" s="2" t="s">
        <v>379</v>
      </c>
      <c r="M71" s="2" t="s">
        <v>308</v>
      </c>
      <c r="N71" s="2" t="s">
        <v>380</v>
      </c>
      <c r="O71" s="2" t="s">
        <v>300</v>
      </c>
      <c r="Q71" s="4" t="str">
        <f t="shared" si="8"/>
        <v>SRD</v>
      </c>
      <c r="R71" s="4" t="str">
        <f t="shared" si="9"/>
        <v>B</v>
      </c>
      <c r="S71" s="4" t="str">
        <f t="shared" si="10"/>
        <v>20</v>
      </c>
      <c r="T71" s="4" t="str">
        <f t="shared" si="11"/>
        <v>F</v>
      </c>
      <c r="U71" s="4" t="str">
        <f t="shared" si="6"/>
        <v>25BTD</v>
      </c>
    </row>
    <row r="72" spans="1:21">
      <c r="A72" s="2">
        <v>141829</v>
      </c>
      <c r="B72" s="2" t="s">
        <v>382</v>
      </c>
      <c r="C72" s="3" t="str">
        <f t="shared" si="7"/>
        <v>SRDR30F25BTD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 t="s">
        <v>296</v>
      </c>
      <c r="L72" s="2" t="s">
        <v>379</v>
      </c>
      <c r="M72" s="2" t="s">
        <v>298</v>
      </c>
      <c r="N72" s="2" t="s">
        <v>380</v>
      </c>
      <c r="O72" s="2" t="s">
        <v>313</v>
      </c>
      <c r="Q72" s="4" t="str">
        <f t="shared" si="8"/>
        <v>SRD</v>
      </c>
      <c r="R72" s="4" t="str">
        <f t="shared" si="9"/>
        <v>R</v>
      </c>
      <c r="S72" s="4" t="str">
        <f t="shared" si="10"/>
        <v>30</v>
      </c>
      <c r="T72" s="4" t="str">
        <f t="shared" si="11"/>
        <v>F</v>
      </c>
      <c r="U72" s="4" t="str">
        <f t="shared" si="6"/>
        <v>25BTD</v>
      </c>
    </row>
    <row r="73" spans="1:21">
      <c r="A73" s="2">
        <v>141836</v>
      </c>
      <c r="B73" s="2" t="s">
        <v>383</v>
      </c>
      <c r="C73" s="3" t="str">
        <f t="shared" si="7"/>
        <v>SRDB30F25BTD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 t="s">
        <v>296</v>
      </c>
      <c r="L73" s="2" t="s">
        <v>379</v>
      </c>
      <c r="M73" s="2" t="s">
        <v>308</v>
      </c>
      <c r="N73" s="2" t="s">
        <v>380</v>
      </c>
      <c r="O73" s="2" t="s">
        <v>313</v>
      </c>
      <c r="Q73" s="4" t="str">
        <f t="shared" si="8"/>
        <v>SRD</v>
      </c>
      <c r="R73" s="4" t="str">
        <f t="shared" si="9"/>
        <v>B</v>
      </c>
      <c r="S73" s="4" t="str">
        <f t="shared" si="10"/>
        <v>30</v>
      </c>
      <c r="T73" s="4" t="str">
        <f t="shared" si="11"/>
        <v>F</v>
      </c>
      <c r="U73" s="4" t="str">
        <f t="shared" si="6"/>
        <v>25BTD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97C48-CC81-4B8D-8032-B370D450D1ED}">
  <ds:schemaRefs/>
</ds:datastoreItem>
</file>

<file path=customXml/itemProps2.xml><?xml version="1.0" encoding="utf-8"?>
<ds:datastoreItem xmlns:ds="http://schemas.openxmlformats.org/officeDocument/2006/customXml" ds:itemID="{E0CA5442-C2DA-43F1-A162-45733585A7FC}">
  <ds:schemaRefs/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SRD20-30W-SKU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
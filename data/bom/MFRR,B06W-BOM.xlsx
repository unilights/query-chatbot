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15600" windowHeight="11160"/>
  </bookViews>
  <sheets>
    <sheet name="Stock Item" sheetId="23" r:id="rId1"/>
    <sheet name="MFR06W-DATA" sheetId="24" r:id="rId2"/>
    <sheet name="Stock Item (Read Me)" sheetId="10" r:id="rId3"/>
    <sheet name="MFR06W-SKU" sheetId="25" r:id="rId4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3" i="23" l="1"/>
  <c r="M12" i="23"/>
  <c r="P28" i="23" l="1"/>
  <c r="P26" i="23"/>
  <c r="K21" i="23"/>
  <c r="L21" i="23" s="1"/>
  <c r="K20" i="23"/>
  <c r="L20" i="23" s="1"/>
  <c r="K19" i="23"/>
  <c r="L19" i="23" s="1"/>
  <c r="L14" i="23"/>
  <c r="P12" i="23"/>
  <c r="P11" i="23"/>
  <c r="K11" i="23" s="1"/>
  <c r="L11" i="23" s="1"/>
  <c r="L18" i="23"/>
  <c r="L17" i="23"/>
  <c r="L16" i="23"/>
  <c r="L15" i="23"/>
  <c r="L13" i="23"/>
  <c r="K12" i="23"/>
  <c r="L12" i="23" s="1"/>
  <c r="P2" i="23"/>
  <c r="K2" i="23" s="1"/>
  <c r="L2" i="23" s="1"/>
  <c r="L22" i="23" l="1"/>
  <c r="L24" i="23" s="1"/>
  <c r="L25" i="23"/>
  <c r="L28" i="23" l="1"/>
  <c r="L29" i="23"/>
  <c r="L26" i="23"/>
  <c r="L27" i="23"/>
  <c r="A2" i="23" l="1"/>
  <c r="AC17" i="24" l="1"/>
  <c r="X17" i="24" s="1"/>
  <c r="Y17" i="24" s="1"/>
  <c r="O12" i="24" s="1"/>
  <c r="AC18" i="24"/>
  <c r="X18" i="24" s="1"/>
  <c r="Y18" i="24" s="1"/>
  <c r="O5" i="24" l="1"/>
  <c r="O7" i="24"/>
  <c r="O10" i="24"/>
  <c r="O21" i="24"/>
  <c r="O13" i="24"/>
  <c r="O2" i="24"/>
  <c r="O14" i="24"/>
  <c r="O3" i="24"/>
  <c r="O15" i="24"/>
  <c r="O4" i="24"/>
  <c r="O17" i="24"/>
  <c r="O8" i="24"/>
  <c r="O18" i="24"/>
  <c r="O9" i="24"/>
  <c r="O19" i="24"/>
  <c r="O20" i="24"/>
  <c r="AC16" i="24"/>
  <c r="X16" i="24" s="1"/>
  <c r="Y16" i="24" s="1"/>
  <c r="AC15" i="24"/>
  <c r="X15" i="24" s="1"/>
  <c r="Y15" i="24" s="1"/>
  <c r="AA2" i="24" l="1"/>
  <c r="X3" i="24" l="1"/>
  <c r="X5" i="24" s="1"/>
  <c r="Q2" i="25"/>
  <c r="R2" i="25"/>
  <c r="S2" i="25"/>
  <c r="T2" i="25"/>
  <c r="U2" i="25"/>
  <c r="Q3" i="25"/>
  <c r="R3" i="25"/>
  <c r="S3" i="25"/>
  <c r="T3" i="25"/>
  <c r="U3" i="25"/>
  <c r="Q4" i="25"/>
  <c r="R4" i="25"/>
  <c r="S4" i="25"/>
  <c r="T4" i="25"/>
  <c r="U4" i="25"/>
  <c r="Q5" i="25"/>
  <c r="R5" i="25"/>
  <c r="S5" i="25"/>
  <c r="T5" i="25"/>
  <c r="U5" i="25"/>
  <c r="Q6" i="25"/>
  <c r="R6" i="25"/>
  <c r="S6" i="25"/>
  <c r="T6" i="25"/>
  <c r="U6" i="25"/>
  <c r="Q7" i="25"/>
  <c r="R7" i="25"/>
  <c r="S7" i="25"/>
  <c r="T7" i="25"/>
  <c r="U7" i="25"/>
  <c r="Q8" i="25"/>
  <c r="R8" i="25"/>
  <c r="S8" i="25"/>
  <c r="T8" i="25"/>
  <c r="U8" i="25"/>
  <c r="Q9" i="25"/>
  <c r="R9" i="25"/>
  <c r="S9" i="25"/>
  <c r="T9" i="25"/>
  <c r="U9" i="25"/>
  <c r="Q10" i="25"/>
  <c r="R10" i="25"/>
  <c r="S10" i="25"/>
  <c r="T10" i="25"/>
  <c r="U10" i="25"/>
  <c r="Q11" i="25"/>
  <c r="R11" i="25"/>
  <c r="S11" i="25"/>
  <c r="T11" i="25"/>
  <c r="U11" i="25"/>
  <c r="Q12" i="25"/>
  <c r="R12" i="25"/>
  <c r="S12" i="25"/>
  <c r="T12" i="25"/>
  <c r="U12" i="25"/>
  <c r="Q13" i="25"/>
  <c r="R13" i="25"/>
  <c r="S13" i="25"/>
  <c r="T13" i="25"/>
  <c r="U13" i="25"/>
  <c r="Q14" i="25"/>
  <c r="R14" i="25"/>
  <c r="S14" i="25"/>
  <c r="T14" i="25"/>
  <c r="U14" i="25"/>
  <c r="Q15" i="25"/>
  <c r="R15" i="25"/>
  <c r="S15" i="25"/>
  <c r="T15" i="25"/>
  <c r="U15" i="25"/>
  <c r="Q16" i="25"/>
  <c r="R16" i="25"/>
  <c r="S16" i="25"/>
  <c r="T16" i="25"/>
  <c r="U16" i="25"/>
  <c r="Q17" i="25"/>
  <c r="R17" i="25"/>
  <c r="S17" i="25"/>
  <c r="T17" i="25"/>
  <c r="U17" i="25"/>
  <c r="Q18" i="25"/>
  <c r="R18" i="25"/>
  <c r="S18" i="25"/>
  <c r="T18" i="25"/>
  <c r="U18" i="25"/>
  <c r="Q19" i="25"/>
  <c r="R19" i="25"/>
  <c r="S19" i="25"/>
  <c r="T19" i="25"/>
  <c r="U19" i="25"/>
  <c r="Q20" i="25"/>
  <c r="R20" i="25"/>
  <c r="S20" i="25"/>
  <c r="T20" i="25"/>
  <c r="U20" i="25"/>
  <c r="Q21" i="25"/>
  <c r="R21" i="25"/>
  <c r="S21" i="25"/>
  <c r="T21" i="25"/>
  <c r="U21" i="25"/>
  <c r="Q22" i="25"/>
  <c r="R22" i="25"/>
  <c r="S22" i="25"/>
  <c r="T22" i="25"/>
  <c r="U22" i="25"/>
  <c r="Q23" i="25"/>
  <c r="R23" i="25"/>
  <c r="S23" i="25"/>
  <c r="T23" i="25"/>
  <c r="U23" i="25"/>
  <c r="Q24" i="25"/>
  <c r="R24" i="25"/>
  <c r="S24" i="25"/>
  <c r="T24" i="25"/>
  <c r="U24" i="25"/>
  <c r="Q25" i="25"/>
  <c r="R25" i="25"/>
  <c r="S25" i="25"/>
  <c r="T25" i="25"/>
  <c r="U25" i="25"/>
  <c r="Q26" i="25"/>
  <c r="R26" i="25"/>
  <c r="S26" i="25"/>
  <c r="T26" i="25"/>
  <c r="U26" i="25"/>
  <c r="Q27" i="25"/>
  <c r="R27" i="25"/>
  <c r="S27" i="25"/>
  <c r="T27" i="25"/>
  <c r="U27" i="25"/>
  <c r="Q28" i="25"/>
  <c r="R28" i="25"/>
  <c r="S28" i="25"/>
  <c r="T28" i="25"/>
  <c r="U28" i="25"/>
  <c r="Q29" i="25"/>
  <c r="R29" i="25"/>
  <c r="S29" i="25"/>
  <c r="T29" i="25"/>
  <c r="U29" i="25"/>
  <c r="Q30" i="25"/>
  <c r="R30" i="25"/>
  <c r="S30" i="25"/>
  <c r="T30" i="25"/>
  <c r="U30" i="25"/>
  <c r="Q31" i="25"/>
  <c r="R31" i="25"/>
  <c r="S31" i="25"/>
  <c r="T31" i="25"/>
  <c r="U31" i="25"/>
  <c r="Q32" i="25"/>
  <c r="R32" i="25"/>
  <c r="S32" i="25"/>
  <c r="T32" i="25"/>
  <c r="U32" i="25"/>
  <c r="Q33" i="25"/>
  <c r="R33" i="25"/>
  <c r="S33" i="25"/>
  <c r="T33" i="25"/>
  <c r="U33" i="25"/>
  <c r="Q34" i="25"/>
  <c r="R34" i="25"/>
  <c r="S34" i="25"/>
  <c r="T34" i="25"/>
  <c r="U34" i="25"/>
  <c r="Q35" i="25"/>
  <c r="R35" i="25"/>
  <c r="S35" i="25"/>
  <c r="T35" i="25"/>
  <c r="U35" i="25"/>
  <c r="Q36" i="25"/>
  <c r="R36" i="25"/>
  <c r="S36" i="25"/>
  <c r="T36" i="25"/>
  <c r="U36" i="25"/>
  <c r="Q37" i="25"/>
  <c r="R37" i="25"/>
  <c r="S37" i="25"/>
  <c r="T37" i="25"/>
  <c r="U37" i="25"/>
  <c r="W3" i="24"/>
  <c r="W7" i="24" s="1"/>
  <c r="V3" i="24"/>
  <c r="V5" i="24" s="1"/>
  <c r="W10" i="24" s="1"/>
  <c r="C8" i="25"/>
  <c r="C32" i="25"/>
  <c r="C34" i="25"/>
  <c r="C25" i="25"/>
  <c r="C26" i="25"/>
  <c r="C2" i="25"/>
  <c r="C16" i="25"/>
  <c r="C33" i="25"/>
  <c r="C24" i="25"/>
  <c r="F2" i="23" l="1"/>
  <c r="W12" i="24"/>
  <c r="W5" i="24"/>
  <c r="W11" i="24" s="1"/>
  <c r="C9" i="25"/>
  <c r="C37" i="25"/>
  <c r="C14" i="25"/>
  <c r="C18" i="25"/>
  <c r="C29" i="25"/>
  <c r="C17" i="25"/>
  <c r="C4" i="25"/>
  <c r="C19" i="25"/>
  <c r="C23" i="25"/>
  <c r="C35" i="25"/>
  <c r="C5" i="25"/>
  <c r="C12" i="25"/>
  <c r="C22" i="25"/>
  <c r="C31" i="25"/>
  <c r="C3" i="25"/>
  <c r="C7" i="25"/>
  <c r="C20" i="25"/>
  <c r="C27" i="25"/>
  <c r="C13" i="25"/>
  <c r="C6" i="25"/>
  <c r="C10" i="25"/>
  <c r="C21" i="25"/>
  <c r="C30" i="25"/>
  <c r="C36" i="25"/>
  <c r="C11" i="25"/>
  <c r="C15" i="25"/>
  <c r="C28" i="25"/>
  <c r="F19" i="23" l="1"/>
  <c r="F11" i="23"/>
</calcChain>
</file>

<file path=xl/comments1.xml><?xml version="1.0" encoding="utf-8"?>
<comments xmlns="http://schemas.openxmlformats.org/spreadsheetml/2006/main">
  <authors>
    <author>Brijesh</author>
  </authors>
  <commentList>
    <comment ref="L25" authorId="0">
      <text>
        <r>
          <rPr>
            <b/>
            <sz val="9"/>
            <color indexed="81"/>
            <rFont val="Tahoma"/>
            <family val="2"/>
          </rPr>
          <t>Brijesh:</t>
        </r>
        <r>
          <rPr>
            <sz val="9"/>
            <color indexed="81"/>
            <rFont val="Tahoma"/>
            <family val="2"/>
          </rPr>
          <t xml:space="preserve">
Same Rate 6W-15W</t>
        </r>
      </text>
    </comment>
  </commentList>
</comments>
</file>

<file path=xl/comments2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<sst xmlns="http://schemas.openxmlformats.org/spreadsheetml/2006/main" count="713" uniqueCount="350">
  <si>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</si>
  <si>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</si>
  <si>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</si>
  <si>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</si>
  <si>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</si>
  <si>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</si>
  <si>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</si>
  <si>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</si>
  <si>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</si>
  <si>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</si>
  <si>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</si>
  <si>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</si>
  <si>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</si>
  <si>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</si>
  <si>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</si>
  <si>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</si>
  <si>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</si>
  <si>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</si>
  <si>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</si>
  <si>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</si>
  <si>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</si>
  <si>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</si>
  <si>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</si>
  <si>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</si>
  <si>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</si>
  <si>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</si>
  <si>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</si>
  <si>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</si>
  <si>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</si>
  <si>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</si>
  <si>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</si>
  <si>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</si>
  <si>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</si>
  <si>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</si>
  <si>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</si>
  <si>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</si>
  <si>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</si>
  <si>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</si>
  <si>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</si>
  <si>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</si>
  <si>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</si>
  <si>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</si>
  <si>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</si>
  <si>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</si>
  <si>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</si>
  <si>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</si>
  <si>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</si>
  <si>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</si>
  <si>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</si>
  <si>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</si>
  <si>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</si>
  <si>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</si>
  <si>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</si>
  <si>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</si>
  <si>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</si>
  <si>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</si>
  <si>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</si>
  <si>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</si>
  <si>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</si>
  <si>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</si>
  <si>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</si>
  <si>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</si>
  <si>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</si>
  <si>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</si>
  <si>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</si>
  <si>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</si>
  <si>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</si>
  <si>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</si>
  <si>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</si>
  <si>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</si>
  <si>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</si>
  <si>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</si>
  <si>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</si>
  <si>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</si>
  <si>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</si>
  <si>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</si>
  <si>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</si>
  <si>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</si>
  <si>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</si>
  <si>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</si>
  <si>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</si>
  <si>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</si>
  <si>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</si>
  <si>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</si>
  <si>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</si>
  <si>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</si>
  <si>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</si>
  <si>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</si>
  <si>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</si>
  <si>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</si>
  <si>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</si>
  <si>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</si>
  <si>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</si>
  <si>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</si>
  <si>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</si>
  <si>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</si>
  <si>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</si>
  <si>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</si>
  <si>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</si>
  <si>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</si>
  <si>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</si>
  <si>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</si>
  <si>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</si>
  <si>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</si>
  <si>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</si>
  <si>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</si>
  <si>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</si>
  <si>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</si>
  <si>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</si>
  <si>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</si>
  <si>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</si>
  <si>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</si>
  <si>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</si>
  <si>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</si>
  <si>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</si>
  <si>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</si>
  <si>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</si>
  <si>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</si>
  <si>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</si>
  <si>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</si>
  <si>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</si>
  <si>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</si>
  <si>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</si>
  <si>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</si>
  <si>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</si>
  <si>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</si>
  <si>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</si>
  <si>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</si>
  <si>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</si>
  <si>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</si>
  <si>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</si>
  <si>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</si>
  <si>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</si>
  <si>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</si>
  <si>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</si>
  <si>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</si>
  <si>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</si>
  <si>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</si>
  <si>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</si>
  <si>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</si>
  <si>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</si>
  <si>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</si>
  <si>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</si>
  <si>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</si>
  <si>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</si>
  <si>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</si>
  <si>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</si>
  <si>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</si>
  <si>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</si>
  <si>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</si>
  <si>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</si>
  <si>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</si>
  <si>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</si>
  <si>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</si>
  <si>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</si>
  <si>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</si>
  <si>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</si>
  <si>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</si>
  <si>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</si>
  <si>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</si>
  <si>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</si>
  <si>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</si>
  <si>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</si>
  <si>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</si>
  <si>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</si>
  <si>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</si>
  <si>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</si>
  <si>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</si>
  <si>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</si>
  <si>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</si>
  <si>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</si>
  <si>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</si>
  <si>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</si>
  <si>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</si>
  <si>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</si>
  <si>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</si>
  <si>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</si>
  <si>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</si>
  <si>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</si>
  <si>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</si>
  <si>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</si>
  <si>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</si>
  <si>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</si>
  <si>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</si>
  <si>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</si>
  <si>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</si>
  <si>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</si>
  <si>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</si>
  <si>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</si>
  <si>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</si>
  <si>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Down Light Series</t>
  </si>
  <si>
    <t>Nos.</t>
  </si>
  <si>
    <t>Refl-O-22 H-10 L-11mm-PC</t>
  </si>
  <si>
    <t>Diff-22X1.5mm-PC</t>
  </si>
  <si>
    <t>Holder Clip-O-37 H-9 L-30mm-PC</t>
  </si>
  <si>
    <t>Diff-O-24.5 H-14 L-21mm-PC</t>
  </si>
  <si>
    <t>Spring-L-50 W-18 Coil Dia.-1 D-8mm-SS</t>
  </si>
  <si>
    <t>COB Holder-O-22.5 H-2.5 L-11mm-PC</t>
  </si>
  <si>
    <t>Wire Clip-M3-MS</t>
  </si>
  <si>
    <t>MFRR06M50-</t>
  </si>
  <si>
    <t>CODE</t>
  </si>
  <si>
    <t>TRIM</t>
  </si>
  <si>
    <t>COST</t>
  </si>
  <si>
    <t>REFLECTOR</t>
  </si>
  <si>
    <t>DRIVER</t>
  </si>
  <si>
    <t xml:space="preserve">CODE </t>
  </si>
  <si>
    <t>TEMPERATURE</t>
  </si>
  <si>
    <t>BEAM ANGLE</t>
  </si>
  <si>
    <t>R</t>
  </si>
  <si>
    <t>-</t>
  </si>
  <si>
    <t>30-</t>
  </si>
  <si>
    <t>Trim</t>
  </si>
  <si>
    <t>Temperature</t>
  </si>
  <si>
    <t>Driver</t>
  </si>
  <si>
    <t>40-</t>
  </si>
  <si>
    <t>50-</t>
  </si>
  <si>
    <t>COB 12&amp;15W 5000K 12LED 36V 350mA 13.5x13.5mm L-11mm</t>
  </si>
  <si>
    <t>27-</t>
  </si>
  <si>
    <t>50-T</t>
  </si>
  <si>
    <t>40-T</t>
  </si>
  <si>
    <t>30-T</t>
  </si>
  <si>
    <t>27-T</t>
  </si>
  <si>
    <t>50-I</t>
  </si>
  <si>
    <t>40-I</t>
  </si>
  <si>
    <t>30-I</t>
  </si>
  <si>
    <t>27-I</t>
  </si>
  <si>
    <t>50-BT</t>
  </si>
  <si>
    <t>40-BT</t>
  </si>
  <si>
    <t>30-BT</t>
  </si>
  <si>
    <t>27-BT</t>
  </si>
  <si>
    <t>COB-12&amp;15W 2700K+5000K 12LED 350mA 16X16mm L-11mm(BT+DC)</t>
  </si>
  <si>
    <t>25-BTD</t>
  </si>
  <si>
    <t>06-</t>
  </si>
  <si>
    <t>06-T</t>
  </si>
  <si>
    <t>06-I</t>
  </si>
  <si>
    <t>06-BT</t>
  </si>
  <si>
    <t>06-ID</t>
  </si>
  <si>
    <t>06-BTD</t>
  </si>
  <si>
    <t>06 Watt</t>
  </si>
  <si>
    <t>Black Trim</t>
  </si>
  <si>
    <t>DALI + Dual Color (2700K - 5000K)</t>
  </si>
  <si>
    <t>2700K - 5000K Dali + Dual Color (Driving System)</t>
  </si>
  <si>
    <t>Medium - 32°</t>
  </si>
  <si>
    <t>MFRB06M25ID</t>
  </si>
  <si>
    <t>White Trim</t>
  </si>
  <si>
    <t>MFRR06M25ID</t>
  </si>
  <si>
    <t>Bluetooth + Dual Color (2700K - 5000K)</t>
  </si>
  <si>
    <t>2700K - 5000K Bluetooth + Dual Color (Driving System)</t>
  </si>
  <si>
    <t>MFRB06M25BTD</t>
  </si>
  <si>
    <t>MFRR06M25BTD</t>
  </si>
  <si>
    <t>Bluetooth Dimming</t>
  </si>
  <si>
    <t>2700k</t>
  </si>
  <si>
    <t>MFRB06M27BT</t>
  </si>
  <si>
    <t>3000k</t>
  </si>
  <si>
    <t>MFRB06M30BT</t>
  </si>
  <si>
    <t>4000k</t>
  </si>
  <si>
    <t>MFRB06M40BT</t>
  </si>
  <si>
    <t>5000k</t>
  </si>
  <si>
    <t>MFRB06M50BT</t>
  </si>
  <si>
    <t>MFRR06M27BT</t>
  </si>
  <si>
    <t>MFRR06M30BT</t>
  </si>
  <si>
    <t>MFRR06M40BT</t>
  </si>
  <si>
    <t>MFRR06M50BT</t>
  </si>
  <si>
    <t>DALI Dimming</t>
  </si>
  <si>
    <t>MFRB06M27I</t>
  </si>
  <si>
    <t>MFRB06M30I</t>
  </si>
  <si>
    <t>MFRB06M40I</t>
  </si>
  <si>
    <t>MFRB06M50I</t>
  </si>
  <si>
    <t>MFRR06M27I</t>
  </si>
  <si>
    <t>MFRR06M30I</t>
  </si>
  <si>
    <t>MFRR06M40I</t>
  </si>
  <si>
    <t>MFRR06M50I</t>
  </si>
  <si>
    <t>TRIAC Dimming</t>
  </si>
  <si>
    <t>MFRB06M27T</t>
  </si>
  <si>
    <t>MFRB06M30T</t>
  </si>
  <si>
    <t>MFRB06M40T</t>
  </si>
  <si>
    <t>MFRB06M50T</t>
  </si>
  <si>
    <t>MFRR06M27T</t>
  </si>
  <si>
    <t>MFRR06M30T</t>
  </si>
  <si>
    <t>MFRR06M40T</t>
  </si>
  <si>
    <t>MFRR06M50T</t>
  </si>
  <si>
    <t>Constant Current</t>
  </si>
  <si>
    <t>MFRB06M27-</t>
  </si>
  <si>
    <t>MFRB06M30-</t>
  </si>
  <si>
    <t>MFRB06M40-</t>
  </si>
  <si>
    <t>MFRB06M50-</t>
  </si>
  <si>
    <t>MFRR06M27-</t>
  </si>
  <si>
    <t>MFRR06M30-</t>
  </si>
  <si>
    <t>MFRR06M40-</t>
  </si>
  <si>
    <t>Watt</t>
  </si>
  <si>
    <t>Driving System</t>
  </si>
  <si>
    <t>Color Temp</t>
  </si>
  <si>
    <t>Beam Angle</t>
  </si>
  <si>
    <t>Depth</t>
  </si>
  <si>
    <t>Height</t>
  </si>
  <si>
    <t>Width</t>
  </si>
  <si>
    <t>Weight</t>
  </si>
  <si>
    <t>Selling Price</t>
  </si>
  <si>
    <t>Retail Price</t>
  </si>
  <si>
    <t>Cost Price</t>
  </si>
  <si>
    <t>Product Name</t>
  </si>
  <si>
    <t>SKU Code</t>
  </si>
  <si>
    <t>SKU Id</t>
  </si>
  <si>
    <t>Electronics  Store</t>
  </si>
  <si>
    <t>Anti Glare Refl-O-48.5 H-33.5 L-30.8mm-PC</t>
  </si>
  <si>
    <t>HS-O-28 H-65 L-23</t>
  </si>
  <si>
    <t>CC</t>
  </si>
  <si>
    <t>T</t>
  </si>
  <si>
    <t>I</t>
  </si>
  <si>
    <t>BT</t>
  </si>
  <si>
    <t>ID</t>
  </si>
  <si>
    <t>BTD</t>
  </si>
  <si>
    <t xml:space="preserve">MODEL NAME </t>
  </si>
  <si>
    <t>Sleeve M4mm Fiber Glass White</t>
  </si>
  <si>
    <t>Part Number</t>
  </si>
  <si>
    <t>Qty</t>
  </si>
  <si>
    <t>Unit Price</t>
  </si>
  <si>
    <t>Cost</t>
  </si>
  <si>
    <t>USD</t>
  </si>
  <si>
    <t>INS&amp;FRED</t>
  </si>
  <si>
    <t>BCD</t>
  </si>
  <si>
    <t>Total Cost</t>
  </si>
  <si>
    <t>Conn. 2 Pin Ass. Wire Black Male (Small)</t>
  </si>
  <si>
    <t xml:space="preserve">FITTING MFR06W ALL SET </t>
  </si>
  <si>
    <t>SBX</t>
  </si>
  <si>
    <t>PBX -   L= 88mm, W =72mm , H=81mm .</t>
  </si>
  <si>
    <t>HS Spot Light Single (10W) GSD8305R-MFRR6W</t>
  </si>
  <si>
    <t>PS 6W 150MA 36V LPF (PCB MT43-8-12W-V2 LPF)</t>
  </si>
  <si>
    <t>PS 6W 150mA 36V Traic Dimming</t>
  </si>
  <si>
    <t>Dali Driver SC-10W PE19DA4240  (AI-Dimming)-25-40V</t>
  </si>
  <si>
    <t>PS CCT 6W 125MA 36V BT-SC (PCB LT 7-20W-CCT-V 1.1 REV-1)</t>
  </si>
  <si>
    <t>Dali Driver DC-10W PE694R4230(AI-Dimming)-25-40V</t>
  </si>
  <si>
    <t>PS CCT 6W 125MA 36V BT-DC- (PCB LT 7-20W-CCT-V 1.1 REV-1)</t>
  </si>
  <si>
    <t>COB 12&amp;15W 3000K 12LED 36V 350mA 13.5x13.5mm CRI-90</t>
  </si>
  <si>
    <t>COB 12&amp;15W 2700K 12LED 36V 350mA 13.5x13.5mm CRI-95</t>
  </si>
  <si>
    <t>COB 12&amp;15W 4000K 12LED 36V 350mA 13.5x13.5mm CRI-90</t>
  </si>
  <si>
    <t>COB 12&amp;15W 5000K 12LED 36V 350mA 13.5x13.5mm CRI-90</t>
  </si>
  <si>
    <t>COB 12&amp;15W 2700-5000K 12LED 36V 350mA 13.5x13.5mm CRI-90</t>
  </si>
  <si>
    <t>HS Spot Light Single (10W) GSD8305R-MFRR6W-BLACK</t>
  </si>
  <si>
    <t>Screw M3X4 Pan + Head S.S</t>
  </si>
  <si>
    <t>Screw M3X6mm CSK PH - SS</t>
  </si>
  <si>
    <t>Screw No. 4X6.5mm Self Pan Combi. PH - SS</t>
  </si>
  <si>
    <t>PS Rate Mention with Total Amt</t>
  </si>
  <si>
    <t>DRRR6W-CC</t>
  </si>
  <si>
    <t>DRRR6W Track Dimming</t>
  </si>
  <si>
    <t>DRRR6W Dali Single Color</t>
  </si>
  <si>
    <t>DRRR6W BT Single Color</t>
  </si>
  <si>
    <t>DRRR6W  Dali Dual Color</t>
  </si>
  <si>
    <t>DRRR6W  BT Dual Color</t>
  </si>
  <si>
    <t>MFRR06M30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</si>
</sst>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 &quot;Rs.&quot;\ * #,##0.00_ ;_ &quot;Rs.&quot;\ * \-#,##0.00_ ;_ &quot;Rs.&quot;\ * &quot;-&quot;??_ ;_ @_ "/>
    <numFmt numFmtId="164" formatCode="&quot;$&quot;#,##0.0000"/>
    <numFmt numFmtId="165" formatCode="_-[$$-409]* #,##0.000_ ;_-[$$-409]* \-#,##0.000\ ;_-[$$-409]* &quot;-&quot;??_ ;_-@_ "/>
    <numFmt numFmtId="166" formatCode="_ [$Rs.-4009]\ * #,##0.00_ ;_ [$Rs.-4009]\ * \-#,##0.00_ ;_ [$Rs.-4009]\ * &quot;-&quot;??_ ;_ @_ "/>
    <numFmt numFmtId="167" formatCode="_-[$Rs-420]* #,##0.00_-;_-[$Rs-420]* #,##0.00\-;_-[$Rs-420]* &quot;-&quot;??_-;_-@_-"/>
    <numFmt numFmtId="168" formatCode="&quot;$&quot;#,##0.000"/>
  </numFmts>
  <fonts count="3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0"/>
      <color rgb="FF000000"/>
      <name val="Afacad-Regular"/>
    </font>
    <font>
      <sz val="11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9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AEAEA"/>
        <bgColor rgb="FFEAEAEA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indexed="64"/>
      </bottom>
      <diagonal/>
    </border>
  </borders>
  <cellStyleXfs count="5">
    <xf numFmtId="0" fontId="0" fillId="0" borderId="0"/>
    <xf numFmtId="0" fontId="13" fillId="0" borderId="0" applyNumberFormat="0" applyFill="0" applyBorder="0" applyAlignment="0" applyProtection="0"/>
    <xf numFmtId="0" fontId="16" fillId="0" borderId="0"/>
    <xf numFmtId="0" fontId="18" fillId="0" borderId="0"/>
    <xf numFmtId="44" fontId="28" fillId="0" borderId="0" applyFont="0" applyFill="0" applyBorder="0" applyAlignment="0" applyProtection="0"/>
  </cellStyleXfs>
  <cellXfs count="195">
    <xf numFmtId="0" fontId="0" fillId="0" borderId="0" xfId="0"/>
    <xf numFmtId="0" fontId="3" fillId="0" borderId="0" xfId="0" applyFont="1"/>
    <xf numFmtId="0" fontId="4" fillId="2" borderId="0" xfId="0" applyFont="1" applyFill="1"/>
    <xf numFmtId="0" fontId="5" fillId="3" borderId="1" xfId="0" applyFont="1" applyFill="1" applyBorder="1" applyAlignment="1">
      <alignment horizontal="center" wrapText="1"/>
    </xf>
    <xf numFmtId="0" fontId="6" fillId="2" borderId="0" xfId="0" applyFont="1" applyFill="1"/>
    <xf numFmtId="0" fontId="0" fillId="2" borderId="0" xfId="0" applyFill="1"/>
    <xf numFmtId="0" fontId="5" fillId="4" borderId="1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wrapText="1"/>
    </xf>
    <xf numFmtId="0" fontId="7" fillId="2" borderId="4" xfId="0" applyFont="1" applyFill="1" applyBorder="1"/>
    <xf numFmtId="0" fontId="3" fillId="2" borderId="5" xfId="0" applyFont="1" applyFill="1" applyBorder="1"/>
    <xf numFmtId="0" fontId="5" fillId="0" borderId="6" xfId="0" applyFont="1" applyBorder="1" applyAlignment="1">
      <alignment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/>
    <xf numFmtId="0" fontId="8" fillId="2" borderId="7" xfId="0" applyFont="1" applyFill="1" applyBorder="1" applyAlignment="1">
      <alignment horizontal="left" indent="2"/>
    </xf>
    <xf numFmtId="0" fontId="3" fillId="2" borderId="0" xfId="0" applyFont="1" applyFill="1" applyAlignment="1">
      <alignment horizontal="left" indent="2"/>
    </xf>
    <xf numFmtId="0" fontId="3" fillId="0" borderId="1" xfId="0" applyFont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indent="2"/>
    </xf>
    <xf numFmtId="0" fontId="3" fillId="2" borderId="7" xfId="0" applyFont="1" applyFill="1" applyBorder="1" applyAlignment="1">
      <alignment horizontal="left" indent="2"/>
    </xf>
    <xf numFmtId="0" fontId="9" fillId="2" borderId="7" xfId="0" applyFont="1" applyFill="1" applyBorder="1" applyAlignment="1">
      <alignment horizontal="left" indent="2"/>
    </xf>
    <xf numFmtId="0" fontId="9" fillId="2" borderId="0" xfId="0" applyFont="1" applyFill="1" applyAlignment="1">
      <alignment horizontal="left" indent="2"/>
    </xf>
    <xf numFmtId="0" fontId="9" fillId="2" borderId="7" xfId="0" applyFont="1" applyFill="1" applyBorder="1" applyAlignment="1">
      <alignment horizontal="left" indent="3"/>
    </xf>
    <xf numFmtId="0" fontId="10" fillId="2" borderId="7" xfId="0" applyFont="1" applyFill="1" applyBorder="1" applyAlignment="1">
      <alignment horizontal="left" indent="3"/>
    </xf>
    <xf numFmtId="0" fontId="11" fillId="2" borderId="0" xfId="0" applyFont="1" applyFill="1" applyAlignment="1">
      <alignment horizontal="left" indent="3"/>
    </xf>
    <xf numFmtId="0" fontId="12" fillId="0" borderId="3" xfId="0" applyFont="1" applyBorder="1" applyAlignment="1">
      <alignment wrapText="1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8" fillId="2" borderId="0" xfId="0" applyFont="1" applyFill="1"/>
    <xf numFmtId="0" fontId="5" fillId="2" borderId="0" xfId="0" applyFont="1" applyFill="1"/>
    <xf numFmtId="0" fontId="5" fillId="4" borderId="2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wrapText="1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left" indent="1"/>
    </xf>
    <xf numFmtId="0" fontId="11" fillId="2" borderId="0" xfId="0" applyFont="1" applyFill="1" applyAlignment="1">
      <alignment horizontal="left" indent="1"/>
    </xf>
    <xf numFmtId="0" fontId="3" fillId="0" borderId="3" xfId="0" applyFont="1" applyBorder="1" applyAlignment="1">
      <alignment wrapText="1"/>
    </xf>
    <xf numFmtId="0" fontId="7" fillId="2" borderId="5" xfId="0" applyFont="1" applyFill="1" applyBorder="1"/>
    <xf numFmtId="0" fontId="13" fillId="2" borderId="0" xfId="1" applyFill="1" applyBorder="1" applyAlignment="1"/>
    <xf numFmtId="0" fontId="13" fillId="2" borderId="0" xfId="1" applyFill="1" applyBorder="1"/>
    <xf numFmtId="0" fontId="7" fillId="2" borderId="10" xfId="0" applyFont="1" applyFill="1" applyBorder="1"/>
    <xf numFmtId="0" fontId="3" fillId="2" borderId="11" xfId="0" applyFont="1" applyFill="1" applyBorder="1" applyAlignment="1">
      <alignment horizontal="left" indent="2"/>
    </xf>
    <xf numFmtId="0" fontId="9" fillId="2" borderId="11" xfId="0" applyFont="1" applyFill="1" applyBorder="1" applyAlignment="1">
      <alignment horizontal="left" indent="2"/>
    </xf>
    <xf numFmtId="0" fontId="3" fillId="2" borderId="11" xfId="0" applyFont="1" applyFill="1" applyBorder="1"/>
    <xf numFmtId="0" fontId="3" fillId="2" borderId="12" xfId="0" applyFont="1" applyFill="1" applyBorder="1"/>
    <xf numFmtId="0" fontId="4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4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6" borderId="1" xfId="0" applyFill="1" applyBorder="1"/>
    <xf numFmtId="0" fontId="16" fillId="6" borderId="13" xfId="2" applyFill="1" applyBorder="1" applyAlignment="1">
      <alignment horizontal="center" vertical="center"/>
    </xf>
    <xf numFmtId="0" fontId="16" fillId="6" borderId="14" xfId="2" applyFill="1" applyBorder="1" applyAlignment="1">
      <alignment horizontal="center" vertical="center"/>
    </xf>
    <xf numFmtId="0" fontId="16" fillId="6" borderId="15" xfId="2" applyFill="1" applyBorder="1" applyAlignment="1">
      <alignment horizontal="center" vertical="center"/>
    </xf>
    <xf numFmtId="0" fontId="16" fillId="6" borderId="16" xfId="2" applyFill="1" applyBorder="1" applyAlignment="1">
      <alignment horizontal="center" vertical="center"/>
    </xf>
    <xf numFmtId="0" fontId="16" fillId="6" borderId="17" xfId="2" applyFill="1" applyBorder="1" applyAlignment="1">
      <alignment horizontal="center" vertical="center"/>
    </xf>
    <xf numFmtId="0" fontId="16" fillId="6" borderId="18" xfId="2" applyFill="1" applyBorder="1" applyAlignment="1">
      <alignment horizontal="center" vertical="center"/>
    </xf>
    <xf numFmtId="0" fontId="16" fillId="6" borderId="19" xfId="2" applyFill="1" applyBorder="1" applyAlignment="1">
      <alignment horizontal="center" vertical="center"/>
    </xf>
    <xf numFmtId="0" fontId="16" fillId="0" borderId="18" xfId="2" applyBorder="1" applyAlignment="1">
      <alignment horizontal="center" vertical="center"/>
    </xf>
    <xf numFmtId="0" fontId="16" fillId="0" borderId="20" xfId="2" applyBorder="1" applyAlignment="1">
      <alignment horizontal="center" vertical="center"/>
    </xf>
    <xf numFmtId="0" fontId="16" fillId="0" borderId="1" xfId="2" applyBorder="1"/>
    <xf numFmtId="0" fontId="16" fillId="0" borderId="2" xfId="2" applyBorder="1"/>
    <xf numFmtId="0" fontId="16" fillId="6" borderId="21" xfId="2" applyFill="1" applyBorder="1"/>
    <xf numFmtId="0" fontId="16" fillId="0" borderId="22" xfId="2" applyBorder="1"/>
    <xf numFmtId="0" fontId="16" fillId="0" borderId="22" xfId="2" applyBorder="1" applyAlignment="1">
      <alignment horizontal="left"/>
    </xf>
    <xf numFmtId="0" fontId="16" fillId="0" borderId="23" xfId="2" applyBorder="1"/>
    <xf numFmtId="0" fontId="16" fillId="7" borderId="24" xfId="2" applyFill="1" applyBorder="1"/>
    <xf numFmtId="0" fontId="16" fillId="7" borderId="25" xfId="2" applyFill="1" applyBorder="1"/>
    <xf numFmtId="0" fontId="16" fillId="8" borderId="25" xfId="2" applyFill="1" applyBorder="1"/>
    <xf numFmtId="0" fontId="16" fillId="7" borderId="26" xfId="2" applyFill="1" applyBorder="1"/>
    <xf numFmtId="0" fontId="16" fillId="0" borderId="0" xfId="2"/>
    <xf numFmtId="0" fontId="16" fillId="0" borderId="27" xfId="2" applyBorder="1"/>
    <xf numFmtId="0" fontId="16" fillId="0" borderId="0" xfId="2" applyAlignment="1">
      <alignment wrapText="1"/>
    </xf>
    <xf numFmtId="0" fontId="16" fillId="6" borderId="27" xfId="2" applyFill="1" applyBorder="1"/>
    <xf numFmtId="0" fontId="16" fillId="6" borderId="29" xfId="2" applyFill="1" applyBorder="1"/>
    <xf numFmtId="0" fontId="16" fillId="0" borderId="0" xfId="2" applyAlignment="1">
      <alignment horizontal="left"/>
    </xf>
    <xf numFmtId="0" fontId="16" fillId="0" borderId="30" xfId="2" applyBorder="1"/>
    <xf numFmtId="0" fontId="16" fillId="0" borderId="21" xfId="2" applyBorder="1"/>
    <xf numFmtId="0" fontId="16" fillId="0" borderId="6" xfId="2" applyFill="1" applyBorder="1"/>
    <xf numFmtId="0" fontId="16" fillId="0" borderId="2" xfId="2" applyFill="1" applyBorder="1"/>
    <xf numFmtId="0" fontId="16" fillId="0" borderId="28" xfId="2" applyFill="1" applyBorder="1"/>
    <xf numFmtId="0" fontId="16" fillId="0" borderId="1" xfId="2" applyFill="1" applyBorder="1"/>
    <xf numFmtId="0" fontId="16" fillId="0" borderId="31" xfId="2" applyFill="1" applyBorder="1"/>
    <xf numFmtId="0" fontId="16" fillId="0" borderId="32" xfId="2" applyFill="1" applyBorder="1"/>
    <xf numFmtId="0" fontId="16" fillId="0" borderId="33" xfId="2" applyFill="1" applyBorder="1"/>
    <xf numFmtId="49" fontId="16" fillId="0" borderId="22" xfId="2" applyNumberFormat="1" applyBorder="1"/>
    <xf numFmtId="49" fontId="16" fillId="0" borderId="1" xfId="2" applyNumberFormat="1" applyBorder="1"/>
    <xf numFmtId="0" fontId="16" fillId="9" borderId="1" xfId="2" applyFill="1" applyBorder="1"/>
    <xf numFmtId="0" fontId="16" fillId="0" borderId="0" xfId="2" applyBorder="1"/>
    <xf numFmtId="0" fontId="16" fillId="0" borderId="24" xfId="2" applyBorder="1"/>
    <xf numFmtId="0" fontId="16" fillId="0" borderId="36" xfId="2" applyBorder="1"/>
    <xf numFmtId="0" fontId="16" fillId="0" borderId="37" xfId="2" applyBorder="1"/>
    <xf numFmtId="0" fontId="16" fillId="9" borderId="31" xfId="2" applyFill="1" applyBorder="1"/>
    <xf numFmtId="0" fontId="18" fillId="0" borderId="0" xfId="3"/>
    <xf numFmtId="0" fontId="18" fillId="10" borderId="1" xfId="3" applyFill="1" applyBorder="1"/>
    <xf numFmtId="0" fontId="18" fillId="6" borderId="1" xfId="3" applyFill="1" applyBorder="1"/>
    <xf numFmtId="0" fontId="18" fillId="7" borderId="1" xfId="3" applyFill="1" applyBorder="1"/>
    <xf numFmtId="0" fontId="18" fillId="7" borderId="22" xfId="3" applyFill="1" applyBorder="1"/>
    <xf numFmtId="0" fontId="18" fillId="7" borderId="2" xfId="3" applyFill="1" applyBorder="1"/>
    <xf numFmtId="0" fontId="17" fillId="10" borderId="0" xfId="0" applyFont="1" applyFill="1" applyAlignment="1">
      <alignment horizontal="left" vertical="center" wrapText="1"/>
    </xf>
    <xf numFmtId="0" fontId="16" fillId="9" borderId="26" xfId="2" applyFill="1" applyBorder="1"/>
    <xf numFmtId="0" fontId="16" fillId="9" borderId="28" xfId="2" applyFill="1" applyBorder="1"/>
    <xf numFmtId="0" fontId="16" fillId="9" borderId="33" xfId="2" applyFill="1" applyBorder="1"/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/>
    </xf>
    <xf numFmtId="9" fontId="20" fillId="0" borderId="1" xfId="0" applyNumberFormat="1" applyFont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23" fillId="0" borderId="1" xfId="0" applyNumberFormat="1" applyFont="1" applyBorder="1" applyAlignment="1">
      <alignment horizontal="center" vertical="center" wrapText="1"/>
    </xf>
    <xf numFmtId="164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64" fontId="25" fillId="0" borderId="1" xfId="0" applyNumberFormat="1" applyFont="1" applyBorder="1" applyAlignment="1">
      <alignment horizontal="center" vertical="center"/>
    </xf>
    <xf numFmtId="9" fontId="25" fillId="0" borderId="1" xfId="0" applyNumberFormat="1" applyFont="1" applyBorder="1" applyAlignment="1">
      <alignment horizontal="center" vertical="center"/>
    </xf>
    <xf numFmtId="0" fontId="27" fillId="0" borderId="1" xfId="3" applyFont="1" applyBorder="1" applyAlignment="1">
      <alignment horizontal="center"/>
    </xf>
    <xf numFmtId="0" fontId="2" fillId="0" borderId="1" xfId="0" applyFont="1" applyBorder="1"/>
    <xf numFmtId="0" fontId="16" fillId="0" borderId="1" xfId="2" applyBorder="1" applyAlignment="1">
      <alignment horizontal="center" vertical="center"/>
    </xf>
    <xf numFmtId="0" fontId="0" fillId="12" borderId="1" xfId="0" applyFill="1" applyBorder="1"/>
    <xf numFmtId="0" fontId="0" fillId="0" borderId="1" xfId="0" applyBorder="1" applyAlignment="1">
      <alignment horizontal="center"/>
    </xf>
    <xf numFmtId="0" fontId="18" fillId="0" borderId="22" xfId="3" applyBorder="1"/>
    <xf numFmtId="0" fontId="0" fillId="0" borderId="1" xfId="0" applyFont="1" applyBorder="1"/>
    <xf numFmtId="0" fontId="2" fillId="12" borderId="1" xfId="0" applyFont="1" applyFill="1" applyBorder="1"/>
    <xf numFmtId="0" fontId="27" fillId="0" borderId="23" xfId="3" applyFont="1" applyBorder="1" applyAlignment="1"/>
    <xf numFmtId="0" fontId="27" fillId="0" borderId="34" xfId="3" applyFont="1" applyBorder="1" applyAlignment="1"/>
    <xf numFmtId="0" fontId="27" fillId="0" borderId="22" xfId="3" applyFont="1" applyBorder="1" applyAlignment="1"/>
    <xf numFmtId="0" fontId="22" fillId="0" borderId="2" xfId="2" applyFont="1" applyBorder="1" applyAlignment="1">
      <alignment vertical="center" wrapText="1"/>
    </xf>
    <xf numFmtId="0" fontId="22" fillId="0" borderId="34" xfId="2" applyFont="1" applyBorder="1" applyAlignment="1">
      <alignment vertical="center" wrapText="1"/>
    </xf>
    <xf numFmtId="0" fontId="22" fillId="0" borderId="22" xfId="2" applyFont="1" applyBorder="1" applyAlignment="1">
      <alignment vertical="center" wrapText="1"/>
    </xf>
    <xf numFmtId="0" fontId="19" fillId="0" borderId="2" xfId="2" applyFont="1" applyBorder="1" applyAlignment="1">
      <alignment vertical="center" wrapText="1"/>
    </xf>
    <xf numFmtId="0" fontId="19" fillId="0" borderId="34" xfId="2" applyFont="1" applyBorder="1" applyAlignment="1">
      <alignment vertical="center" wrapText="1"/>
    </xf>
    <xf numFmtId="0" fontId="19" fillId="0" borderId="22" xfId="2" applyFont="1" applyBorder="1" applyAlignment="1">
      <alignment vertical="center" wrapText="1"/>
    </xf>
    <xf numFmtId="0" fontId="16" fillId="0" borderId="2" xfId="2" applyBorder="1" applyAlignment="1">
      <alignment horizontal="center"/>
    </xf>
    <xf numFmtId="0" fontId="16" fillId="0" borderId="34" xfId="2" applyBorder="1" applyAlignment="1">
      <alignment horizontal="center"/>
    </xf>
    <xf numFmtId="0" fontId="16" fillId="0" borderId="22" xfId="2" applyBorder="1" applyAlignment="1">
      <alignment horizontal="center"/>
    </xf>
    <xf numFmtId="0" fontId="16" fillId="0" borderId="35" xfId="2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34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" xfId="0" applyFont="1" applyBorder="1" applyAlignment="1">
      <alignment vertical="center"/>
    </xf>
    <xf numFmtId="0" fontId="9" fillId="2" borderId="0" xfId="0" applyFont="1" applyFill="1" applyAlignment="1">
      <alignment horizontal="left" wrapText="1"/>
    </xf>
    <xf numFmtId="0" fontId="9" fillId="2" borderId="7" xfId="0" applyFont="1" applyFill="1" applyBorder="1" applyAlignment="1">
      <alignment horizontal="left" wrapText="1" indent="2"/>
    </xf>
    <xf numFmtId="0" fontId="9" fillId="2" borderId="0" xfId="0" applyFont="1" applyFill="1" applyAlignment="1">
      <alignment horizontal="left" wrapText="1" indent="2"/>
    </xf>
    <xf numFmtId="0" fontId="9" fillId="2" borderId="11" xfId="0" applyFont="1" applyFill="1" applyBorder="1" applyAlignment="1">
      <alignment horizontal="left" wrapText="1" indent="2"/>
    </xf>
    <xf numFmtId="0" fontId="29" fillId="0" borderId="1" xfId="0" applyNumberFormat="1" applyFont="1" applyBorder="1" applyAlignment="1">
      <alignment horizontal="center" vertical="center" wrapText="1"/>
    </xf>
    <xf numFmtId="164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165" fontId="30" fillId="0" borderId="1" xfId="0" applyNumberFormat="1" applyFont="1" applyBorder="1" applyAlignment="1">
      <alignment horizontal="center" vertical="center"/>
    </xf>
    <xf numFmtId="9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64" fontId="31" fillId="0" borderId="1" xfId="0" applyNumberFormat="1" applyFont="1" applyBorder="1" applyAlignment="1">
      <alignment horizontal="center" vertical="center"/>
    </xf>
    <xf numFmtId="0" fontId="29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165" fontId="30" fillId="0" borderId="38" xfId="0" applyNumberFormat="1" applyFont="1" applyBorder="1" applyAlignment="1">
      <alignment horizontal="center" vertical="center"/>
    </xf>
    <xf numFmtId="165" fontId="30" fillId="0" borderId="39" xfId="0" applyNumberFormat="1" applyFont="1" applyBorder="1" applyAlignment="1">
      <alignment horizontal="center" vertical="center"/>
    </xf>
    <xf numFmtId="165" fontId="30" fillId="0" borderId="6" xfId="0" applyNumberFormat="1" applyFont="1" applyBorder="1" applyAlignment="1">
      <alignment horizontal="center" vertical="center"/>
    </xf>
    <xf numFmtId="9" fontId="30" fillId="0" borderId="38" xfId="0" applyNumberFormat="1" applyFont="1" applyBorder="1" applyAlignment="1">
      <alignment horizontal="center" vertical="center"/>
    </xf>
    <xf numFmtId="9" fontId="30" fillId="0" borderId="39" xfId="0" applyNumberFormat="1" applyFont="1" applyBorder="1" applyAlignment="1">
      <alignment horizontal="center" vertical="center"/>
    </xf>
    <xf numFmtId="9" fontId="30" fillId="0" borderId="6" xfId="0" applyNumberFormat="1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165" fontId="30" fillId="0" borderId="0" xfId="0" applyNumberFormat="1" applyFont="1" applyBorder="1" applyAlignment="1">
      <alignment horizontal="center" vertical="center"/>
    </xf>
    <xf numFmtId="9" fontId="30" fillId="0" borderId="0" xfId="0" applyNumberFormat="1" applyFont="1" applyBorder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164" fontId="31" fillId="0" borderId="0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166" fontId="30" fillId="0" borderId="38" xfId="0" applyNumberFormat="1" applyFont="1" applyBorder="1" applyAlignment="1">
      <alignment horizontal="center" vertical="center"/>
    </xf>
    <xf numFmtId="166" fontId="30" fillId="0" borderId="39" xfId="0" applyNumberFormat="1" applyFont="1" applyBorder="1" applyAlignment="1">
      <alignment horizontal="center" vertical="center"/>
    </xf>
    <xf numFmtId="166" fontId="30" fillId="0" borderId="6" xfId="0" applyNumberFormat="1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32" fillId="12" borderId="40" xfId="0" applyNumberFormat="1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right" vertical="center"/>
    </xf>
    <xf numFmtId="0" fontId="6" fillId="13" borderId="22" xfId="0" applyFont="1" applyFill="1" applyBorder="1" applyAlignment="1">
      <alignment horizontal="right" vertical="center"/>
    </xf>
    <xf numFmtId="167" fontId="29" fillId="13" borderId="1" xfId="0" applyNumberFormat="1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right" vertical="center"/>
    </xf>
    <xf numFmtId="0" fontId="6" fillId="14" borderId="22" xfId="0" applyFont="1" applyFill="1" applyBorder="1" applyAlignment="1">
      <alignment horizontal="right" vertical="center"/>
    </xf>
    <xf numFmtId="167" fontId="29" fillId="15" borderId="1" xfId="0" applyNumberFormat="1" applyFont="1" applyFill="1" applyBorder="1" applyAlignment="1">
      <alignment horizontal="center" vertical="center"/>
    </xf>
    <xf numFmtId="167" fontId="33" fillId="13" borderId="1" xfId="0" applyNumberFormat="1" applyFont="1" applyFill="1" applyBorder="1" applyAlignment="1">
      <alignment horizontal="center" vertical="center"/>
    </xf>
    <xf numFmtId="168" fontId="31" fillId="0" borderId="1" xfId="0" applyNumberFormat="1" applyFont="1" applyBorder="1" applyAlignment="1">
      <alignment horizontal="center" vertical="center"/>
    </xf>
    <xf numFmtId="9" fontId="31" fillId="0" borderId="1" xfId="0" applyNumberFormat="1" applyFont="1" applyBorder="1" applyAlignment="1">
      <alignment horizontal="center" vertical="center"/>
    </xf>
    <xf numFmtId="164" fontId="30" fillId="0" borderId="38" xfId="0" applyNumberFormat="1" applyFont="1" applyBorder="1" applyAlignment="1">
      <alignment horizontal="center" vertical="center"/>
    </xf>
    <xf numFmtId="164" fontId="30" fillId="0" borderId="39" xfId="0" applyNumberFormat="1" applyFont="1" applyBorder="1" applyAlignment="1">
      <alignment horizontal="center" vertical="center"/>
    </xf>
    <xf numFmtId="164" fontId="30" fillId="0" borderId="6" xfId="0" applyNumberFormat="1" applyFont="1" applyBorder="1" applyAlignment="1">
      <alignment horizontal="center" vertical="center"/>
    </xf>
    <xf numFmtId="164" fontId="30" fillId="0" borderId="1" xfId="0" applyNumberFormat="1" applyFont="1" applyBorder="1" applyAlignment="1">
      <alignment horizontal="center" vertical="center"/>
    </xf>
    <xf numFmtId="167" fontId="30" fillId="0" borderId="1" xfId="0" applyNumberFormat="1" applyFont="1" applyFill="1" applyBorder="1" applyAlignment="1">
      <alignment vertical="center"/>
    </xf>
    <xf numFmtId="0" fontId="0" fillId="16" borderId="1" xfId="0" applyFill="1" applyBorder="1"/>
    <xf numFmtId="164" fontId="30" fillId="0" borderId="0" xfId="0" applyNumberFormat="1" applyFont="1" applyBorder="1" applyAlignment="1">
      <alignment horizontal="center" vertical="center"/>
    </xf>
    <xf numFmtId="165" fontId="30" fillId="0" borderId="22" xfId="4" applyNumberFormat="1" applyFont="1" applyBorder="1" applyAlignment="1"/>
  </cellXfs>
  <cellStyles count="5">
    <cellStyle name="Currency" xfId="4" builtinId="4"/>
    <cellStyle name="Hyperlink 2" xfId="1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6"/>
  <sheetViews>
    <sheetView tabSelected="1" topLeftCell="D1" workbookViewId="0">
      <selection activeCell="E16" sqref="E16"/>
    </sheetView>
  </sheetViews>
  <sheetFormatPr defaultColWidth="9" defaultRowHeight="15"/>
  <cols>
    <col min="1" max="3" width="18" customWidth="1"/>
    <col min="4" max="4" width="17.7109375" customWidth="1"/>
    <col min="5" max="5" width="20.42578125" customWidth="1"/>
    <col min="6" max="6" width="61.5703125" bestFit="1" customWidth="1"/>
    <col min="7" max="7" width="28" style="47" customWidth="1"/>
    <col min="8" max="8" width="27.7109375" hidden="1" customWidth="1"/>
    <col min="9" max="9" width="31.85546875" hidden="1" customWidth="1"/>
    <col min="10" max="10" width="15.85546875" customWidth="1"/>
    <col min="11" max="12" width="11.7109375" customWidth="1"/>
    <col min="14" max="14" width="11.140625" customWidth="1"/>
    <col min="16" max="16" width="10" customWidth="1"/>
  </cols>
  <sheetData>
    <row r="1" spans="1:16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312</v>
      </c>
      <c r="K1" s="154" t="s">
        <v>316</v>
      </c>
      <c r="L1" s="146" t="s">
        <v>317</v>
      </c>
      <c r="M1" s="147" t="s">
        <v>318</v>
      </c>
      <c r="N1" s="148" t="s">
        <v>319</v>
      </c>
      <c r="O1" s="149" t="s">
        <v>320</v>
      </c>
      <c r="P1" s="147" t="s">
        <v>321</v>
      </c>
    </row>
    <row r="2" spans="1:16">
      <c r="A2" s="49" t="str">
        <f>D2</f>
        <v>MFRR06M30</v>
      </c>
      <c r="B2" s="49" t="s">
        <v>190</v>
      </c>
      <c r="C2" s="49" t="s">
        <v>191</v>
      </c>
      <c r="D2" s="99" t="s">
        <v>349</v>
      </c>
      <c r="E2" s="49">
        <v>1</v>
      </c>
      <c r="F2" s="50" t="str">
        <f>VLOOKUP('MFR06W-DATA'!W10,'MFR06W-DATA'!A2:B3,2,0)</f>
        <v>HS Spot Light Single (10W) GSD8305R-MFRR6W</v>
      </c>
      <c r="G2" s="121">
        <v>1</v>
      </c>
      <c r="H2" s="49" t="s">
        <v>189</v>
      </c>
      <c r="I2" s="49" t="s">
        <v>9</v>
      </c>
      <c r="J2" s="49"/>
      <c r="K2" s="172">
        <f>P2*87</f>
        <v>43.195500000000003</v>
      </c>
      <c r="L2" s="172">
        <f>G2*K2</f>
        <v>43.195500000000003</v>
      </c>
      <c r="M2" s="156">
        <v>0.33100000000000002</v>
      </c>
      <c r="N2" s="159">
        <v>0.5</v>
      </c>
      <c r="O2" s="162"/>
      <c r="P2" s="187">
        <f>M2+(M2*(N2+O2))</f>
        <v>0.49650000000000005</v>
      </c>
    </row>
    <row r="3" spans="1:16">
      <c r="A3" s="49"/>
      <c r="B3" s="49"/>
      <c r="C3" s="49"/>
      <c r="D3" s="49"/>
      <c r="E3" s="49"/>
      <c r="F3" s="120" t="s">
        <v>304</v>
      </c>
      <c r="G3" s="121">
        <v>1</v>
      </c>
      <c r="H3" s="49" t="s">
        <v>189</v>
      </c>
      <c r="I3" s="49" t="s">
        <v>9</v>
      </c>
      <c r="J3" s="49"/>
      <c r="K3" s="173"/>
      <c r="L3" s="173"/>
      <c r="M3" s="157"/>
      <c r="N3" s="160"/>
      <c r="O3" s="163"/>
      <c r="P3" s="188"/>
    </row>
    <row r="4" spans="1:16">
      <c r="A4" s="49"/>
      <c r="B4" s="49"/>
      <c r="C4" s="49"/>
      <c r="D4" s="49"/>
      <c r="E4" s="49"/>
      <c r="F4" s="120" t="s">
        <v>305</v>
      </c>
      <c r="G4" s="121">
        <v>1</v>
      </c>
      <c r="H4" s="49" t="s">
        <v>189</v>
      </c>
      <c r="I4" s="49" t="s">
        <v>9</v>
      </c>
      <c r="J4" s="49"/>
      <c r="K4" s="173"/>
      <c r="L4" s="173"/>
      <c r="M4" s="157"/>
      <c r="N4" s="160"/>
      <c r="O4" s="163"/>
      <c r="P4" s="188"/>
    </row>
    <row r="5" spans="1:16">
      <c r="A5" s="49"/>
      <c r="B5" s="49"/>
      <c r="C5" s="49"/>
      <c r="D5" s="49"/>
      <c r="E5" s="49"/>
      <c r="F5" s="120" t="s">
        <v>192</v>
      </c>
      <c r="G5" s="121">
        <v>1</v>
      </c>
      <c r="H5" s="49" t="s">
        <v>189</v>
      </c>
      <c r="I5" s="49" t="s">
        <v>9</v>
      </c>
      <c r="J5" s="49"/>
      <c r="K5" s="173"/>
      <c r="L5" s="173"/>
      <c r="M5" s="157"/>
      <c r="N5" s="160"/>
      <c r="O5" s="163"/>
      <c r="P5" s="188"/>
    </row>
    <row r="6" spans="1:16">
      <c r="A6" s="49"/>
      <c r="B6" s="49"/>
      <c r="C6" s="49"/>
      <c r="D6" s="49"/>
      <c r="E6" s="49"/>
      <c r="F6" s="120" t="s">
        <v>193</v>
      </c>
      <c r="G6" s="121">
        <v>1</v>
      </c>
      <c r="H6" s="49" t="s">
        <v>189</v>
      </c>
      <c r="I6" s="49" t="s">
        <v>9</v>
      </c>
      <c r="J6" s="49"/>
      <c r="K6" s="173"/>
      <c r="L6" s="173"/>
      <c r="M6" s="157"/>
      <c r="N6" s="160"/>
      <c r="O6" s="163"/>
      <c r="P6" s="188"/>
    </row>
    <row r="7" spans="1:16">
      <c r="A7" s="49"/>
      <c r="B7" s="49"/>
      <c r="C7" s="49"/>
      <c r="D7" s="49"/>
      <c r="E7" s="49"/>
      <c r="F7" s="120" t="s">
        <v>194</v>
      </c>
      <c r="G7" s="121">
        <v>1</v>
      </c>
      <c r="H7" s="49" t="s">
        <v>189</v>
      </c>
      <c r="I7" s="49" t="s">
        <v>9</v>
      </c>
      <c r="J7" s="49"/>
      <c r="K7" s="173"/>
      <c r="L7" s="173"/>
      <c r="M7" s="157"/>
      <c r="N7" s="160"/>
      <c r="O7" s="163"/>
      <c r="P7" s="188"/>
    </row>
    <row r="8" spans="1:16">
      <c r="A8" s="49"/>
      <c r="B8" s="49"/>
      <c r="C8" s="49"/>
      <c r="D8" s="49"/>
      <c r="E8" s="49"/>
      <c r="F8" s="120" t="s">
        <v>195</v>
      </c>
      <c r="G8" s="121">
        <v>1</v>
      </c>
      <c r="H8" s="49" t="s">
        <v>189</v>
      </c>
      <c r="I8" s="49" t="s">
        <v>9</v>
      </c>
      <c r="J8" s="49"/>
      <c r="K8" s="173"/>
      <c r="L8" s="173"/>
      <c r="M8" s="157"/>
      <c r="N8" s="160"/>
      <c r="O8" s="163"/>
      <c r="P8" s="188"/>
    </row>
    <row r="9" spans="1:16">
      <c r="A9" s="49"/>
      <c r="B9" s="49"/>
      <c r="C9" s="49"/>
      <c r="D9" s="49"/>
      <c r="E9" s="49"/>
      <c r="F9" s="120" t="s">
        <v>196</v>
      </c>
      <c r="G9" s="121">
        <v>2</v>
      </c>
      <c r="H9" s="49" t="s">
        <v>189</v>
      </c>
      <c r="I9" s="49" t="s">
        <v>9</v>
      </c>
      <c r="J9" s="49"/>
      <c r="K9" s="173"/>
      <c r="L9" s="173"/>
      <c r="M9" s="157"/>
      <c r="N9" s="160"/>
      <c r="O9" s="163"/>
      <c r="P9" s="188"/>
    </row>
    <row r="10" spans="1:16">
      <c r="A10" s="49"/>
      <c r="B10" s="49"/>
      <c r="C10" s="49"/>
      <c r="D10" s="49"/>
      <c r="E10" s="49"/>
      <c r="F10" s="120" t="s">
        <v>197</v>
      </c>
      <c r="G10" s="121">
        <v>1</v>
      </c>
      <c r="H10" s="49" t="s">
        <v>189</v>
      </c>
      <c r="I10" s="49" t="s">
        <v>9</v>
      </c>
      <c r="J10" s="49"/>
      <c r="K10" s="174"/>
      <c r="L10" s="174"/>
      <c r="M10" s="158"/>
      <c r="N10" s="161"/>
      <c r="O10" s="164"/>
      <c r="P10" s="189"/>
    </row>
    <row r="11" spans="1:16">
      <c r="A11" s="49"/>
      <c r="B11" s="49"/>
      <c r="C11" s="49"/>
      <c r="D11" s="49"/>
      <c r="E11" s="49"/>
      <c r="F11" s="50" t="str">
        <f>VLOOKUP('MFR06W-DATA'!W11,'MFR06W-DATA'!M2:O21,2,0)</f>
        <v>COB 12&amp;15W 3000K 12LED 36V 350mA 13.5x13.5mm CRI-90</v>
      </c>
      <c r="G11" s="121">
        <v>1</v>
      </c>
      <c r="H11" s="155" t="s">
        <v>303</v>
      </c>
      <c r="I11" s="155" t="s">
        <v>9</v>
      </c>
      <c r="J11" s="49"/>
      <c r="K11" s="175">
        <f t="shared" ref="K3:K21" si="0">P11*87</f>
        <v>41.76</v>
      </c>
      <c r="L11" s="175">
        <f t="shared" ref="L3:L21" si="1">G11*K11</f>
        <v>41.76</v>
      </c>
      <c r="M11" s="150">
        <v>0.32</v>
      </c>
      <c r="N11" s="151">
        <v>0.5</v>
      </c>
      <c r="O11" s="152"/>
      <c r="P11" s="190">
        <f t="shared" ref="P3:P19" si="2">M11+(M11*(N11+O11))</f>
        <v>0.48</v>
      </c>
    </row>
    <row r="12" spans="1:16">
      <c r="A12" s="49"/>
      <c r="B12" s="49"/>
      <c r="C12" s="49"/>
      <c r="D12" s="49"/>
      <c r="E12" s="49"/>
      <c r="F12" s="118" t="s">
        <v>322</v>
      </c>
      <c r="G12" s="121">
        <v>1</v>
      </c>
      <c r="H12" s="155" t="s">
        <v>189</v>
      </c>
      <c r="I12" s="49" t="s">
        <v>9</v>
      </c>
      <c r="J12" s="49"/>
      <c r="K12" s="175">
        <f t="shared" si="0"/>
        <v>3.915</v>
      </c>
      <c r="L12" s="175">
        <f t="shared" si="1"/>
        <v>3.915</v>
      </c>
      <c r="M12" s="194">
        <f>0.06/2</f>
        <v>0.03</v>
      </c>
      <c r="N12" s="151">
        <v>0.5</v>
      </c>
      <c r="O12" s="152"/>
      <c r="P12" s="190">
        <f t="shared" si="2"/>
        <v>4.4999999999999998E-2</v>
      </c>
    </row>
    <row r="13" spans="1:16">
      <c r="A13" s="49"/>
      <c r="B13" s="49"/>
      <c r="C13" s="49"/>
      <c r="D13" s="49"/>
      <c r="E13" s="49"/>
      <c r="F13" s="49" t="s">
        <v>313</v>
      </c>
      <c r="G13" s="121">
        <v>0.12</v>
      </c>
      <c r="H13" s="49" t="s">
        <v>189</v>
      </c>
      <c r="I13" s="49" t="s">
        <v>9</v>
      </c>
      <c r="J13" s="49"/>
      <c r="K13" s="191">
        <f>5.7/1000*120</f>
        <v>0.68400000000000005</v>
      </c>
      <c r="L13" s="175">
        <f t="shared" si="1"/>
        <v>8.208E-2</v>
      </c>
      <c r="M13" s="165"/>
      <c r="N13" s="166"/>
      <c r="O13" s="167"/>
      <c r="P13" s="193"/>
    </row>
    <row r="14" spans="1:16">
      <c r="A14" s="49"/>
      <c r="B14" s="49"/>
      <c r="C14" s="49"/>
      <c r="D14" s="49"/>
      <c r="E14" s="49"/>
      <c r="F14" s="49" t="s">
        <v>198</v>
      </c>
      <c r="G14" s="121">
        <v>1</v>
      </c>
      <c r="H14" s="49" t="s">
        <v>189</v>
      </c>
      <c r="I14" s="49" t="s">
        <v>9</v>
      </c>
      <c r="J14" s="49"/>
      <c r="K14" s="175">
        <v>0.6</v>
      </c>
      <c r="L14" s="175">
        <f t="shared" si="1"/>
        <v>0.6</v>
      </c>
      <c r="M14" s="165"/>
      <c r="N14" s="166"/>
      <c r="O14" s="167"/>
      <c r="P14" s="193"/>
    </row>
    <row r="15" spans="1:16">
      <c r="A15" s="49"/>
      <c r="B15" s="49"/>
      <c r="C15" s="49"/>
      <c r="D15" s="49"/>
      <c r="E15" s="49"/>
      <c r="F15" s="192" t="s">
        <v>339</v>
      </c>
      <c r="G15" s="121">
        <v>4</v>
      </c>
      <c r="H15" s="49" t="s">
        <v>189</v>
      </c>
      <c r="I15" s="49" t="s">
        <v>9</v>
      </c>
      <c r="J15" s="49"/>
      <c r="K15" s="175">
        <v>0.57999999999999996</v>
      </c>
      <c r="L15" s="175">
        <f t="shared" si="1"/>
        <v>2.3199999999999998</v>
      </c>
      <c r="M15" s="165"/>
      <c r="N15" s="166"/>
      <c r="O15" s="167"/>
      <c r="P15" s="193"/>
    </row>
    <row r="16" spans="1:16">
      <c r="A16" s="49"/>
      <c r="B16" s="49"/>
      <c r="C16" s="49"/>
      <c r="D16" s="49"/>
      <c r="E16" s="49"/>
      <c r="F16" s="49" t="s">
        <v>340</v>
      </c>
      <c r="G16" s="121">
        <v>4</v>
      </c>
      <c r="H16" s="49" t="s">
        <v>189</v>
      </c>
      <c r="I16" s="49" t="s">
        <v>9</v>
      </c>
      <c r="J16" s="49"/>
      <c r="K16" s="175">
        <v>0.5</v>
      </c>
      <c r="L16" s="175">
        <f t="shared" si="1"/>
        <v>2</v>
      </c>
      <c r="M16" s="165"/>
      <c r="N16" s="166"/>
      <c r="O16" s="167"/>
      <c r="P16" s="193"/>
    </row>
    <row r="17" spans="1:17">
      <c r="A17" s="49"/>
      <c r="B17" s="49"/>
      <c r="C17" s="49"/>
      <c r="D17" s="49"/>
      <c r="E17" s="49"/>
      <c r="F17" s="49" t="s">
        <v>341</v>
      </c>
      <c r="G17" s="121">
        <v>1</v>
      </c>
      <c r="H17" s="49" t="s">
        <v>189</v>
      </c>
      <c r="I17" s="49" t="s">
        <v>9</v>
      </c>
      <c r="J17" s="49"/>
      <c r="K17" s="175">
        <v>0.21</v>
      </c>
      <c r="L17" s="175">
        <f t="shared" si="1"/>
        <v>0.21</v>
      </c>
      <c r="M17" s="165"/>
      <c r="N17" s="166"/>
      <c r="O17" s="167"/>
      <c r="P17" s="193"/>
    </row>
    <row r="18" spans="1:17">
      <c r="A18" s="49"/>
      <c r="B18" s="49"/>
      <c r="C18" s="49"/>
      <c r="D18" s="49"/>
      <c r="E18" s="49"/>
      <c r="F18" s="192" t="s">
        <v>339</v>
      </c>
      <c r="G18" s="121">
        <v>2</v>
      </c>
      <c r="H18" s="49" t="s">
        <v>189</v>
      </c>
      <c r="I18" s="49" t="s">
        <v>9</v>
      </c>
      <c r="J18" s="49"/>
      <c r="K18" s="175">
        <v>0.57999999999999996</v>
      </c>
      <c r="L18" s="175">
        <f t="shared" si="1"/>
        <v>1.1599999999999999</v>
      </c>
      <c r="M18" s="165"/>
      <c r="N18" s="166"/>
      <c r="O18" s="167"/>
      <c r="P18" s="193"/>
    </row>
    <row r="19" spans="1:17">
      <c r="A19" s="49"/>
      <c r="B19" s="49"/>
      <c r="C19" s="49"/>
      <c r="D19" s="49"/>
      <c r="E19" s="49"/>
      <c r="F19" s="50" t="str">
        <f>VLOOKUP('MFR06W-DATA'!W12,'MFR06W-DATA'!I2:J7,2,0)</f>
        <v>PS 6W 150MA 36V LPF (PCB MT43-8-12W-V2 LPF)</v>
      </c>
      <c r="G19" s="121">
        <v>1</v>
      </c>
      <c r="H19" s="49" t="s">
        <v>189</v>
      </c>
      <c r="I19" s="49" t="s">
        <v>9</v>
      </c>
      <c r="J19" s="49"/>
      <c r="K19" s="175">
        <f t="shared" si="0"/>
        <v>0</v>
      </c>
      <c r="L19" s="175">
        <f t="shared" si="1"/>
        <v>0</v>
      </c>
      <c r="M19" s="171" t="s">
        <v>342</v>
      </c>
      <c r="N19" s="166"/>
      <c r="O19" s="167"/>
      <c r="P19" s="168"/>
      <c r="Q19" s="169"/>
    </row>
    <row r="20" spans="1:17">
      <c r="A20" s="49"/>
      <c r="B20" s="49"/>
      <c r="C20" s="49"/>
      <c r="D20" s="49"/>
      <c r="E20" s="49"/>
      <c r="F20" s="124" t="s">
        <v>325</v>
      </c>
      <c r="G20" s="121">
        <v>1</v>
      </c>
      <c r="H20" s="49" t="s">
        <v>189</v>
      </c>
      <c r="I20" s="49" t="s">
        <v>9</v>
      </c>
      <c r="J20" s="49"/>
      <c r="K20" s="175">
        <f t="shared" ref="K20:K21" si="3">P20*87</f>
        <v>0</v>
      </c>
      <c r="L20" s="175">
        <f t="shared" ref="L20:L21" si="4">G20*K20</f>
        <v>0</v>
      </c>
      <c r="M20" s="165"/>
      <c r="N20" s="166"/>
      <c r="O20" s="167"/>
      <c r="P20" s="168"/>
    </row>
    <row r="21" spans="1:17">
      <c r="A21" s="49"/>
      <c r="B21" s="49"/>
      <c r="C21" s="49"/>
      <c r="D21" s="49"/>
      <c r="E21" s="49"/>
      <c r="F21" s="120" t="s">
        <v>324</v>
      </c>
      <c r="G21" s="121">
        <v>1</v>
      </c>
      <c r="H21" s="49" t="s">
        <v>189</v>
      </c>
      <c r="I21" s="49" t="s">
        <v>9</v>
      </c>
      <c r="J21" s="49"/>
      <c r="K21" s="175">
        <f t="shared" si="3"/>
        <v>0</v>
      </c>
      <c r="L21" s="175">
        <f t="shared" si="4"/>
        <v>0</v>
      </c>
      <c r="M21" s="165"/>
      <c r="N21" s="166"/>
      <c r="O21" s="167"/>
      <c r="P21" s="168"/>
    </row>
    <row r="22" spans="1:17" ht="23.25" customHeight="1" thickBot="1">
      <c r="K22" s="176"/>
      <c r="L22" s="177">
        <f>SUM(L2:L21)</f>
        <v>95.24257999999999</v>
      </c>
      <c r="M22" s="170"/>
      <c r="N22" s="170"/>
      <c r="O22" s="170"/>
      <c r="P22" s="170"/>
    </row>
    <row r="23" spans="1:17" ht="15.75" thickTop="1"/>
    <row r="24" spans="1:17" ht="21" customHeight="1">
      <c r="J24" s="178" t="s">
        <v>343</v>
      </c>
      <c r="K24" s="179"/>
      <c r="L24" s="180">
        <f>L22+42</f>
        <v>137.24257999999998</v>
      </c>
    </row>
    <row r="25" spans="1:17" ht="21" customHeight="1">
      <c r="J25" s="181" t="s">
        <v>344</v>
      </c>
      <c r="K25" s="182"/>
      <c r="L25" s="183">
        <f>L22+275</f>
        <v>370.24257999999998</v>
      </c>
    </row>
    <row r="26" spans="1:17" ht="21" customHeight="1">
      <c r="J26" s="181" t="s">
        <v>345</v>
      </c>
      <c r="K26" s="182"/>
      <c r="L26" s="184">
        <f>((L22)+(P26*87))</f>
        <v>752.96258</v>
      </c>
      <c r="M26" s="185">
        <v>5.04</v>
      </c>
      <c r="N26" s="186">
        <v>0.5</v>
      </c>
      <c r="O26" s="152"/>
      <c r="P26" s="153">
        <f>M26+(M26*(N26+O26))</f>
        <v>7.5600000000000005</v>
      </c>
    </row>
    <row r="27" spans="1:17" ht="21" customHeight="1">
      <c r="J27" s="181" t="s">
        <v>346</v>
      </c>
      <c r="K27" s="182"/>
      <c r="L27" s="180">
        <f>L22+330</f>
        <v>425.24257999999998</v>
      </c>
    </row>
    <row r="28" spans="1:17" ht="21" customHeight="1">
      <c r="J28" s="181" t="s">
        <v>347</v>
      </c>
      <c r="K28" s="182"/>
      <c r="L28" s="184">
        <f>((L22)+(P28*87))</f>
        <v>809.73007999999982</v>
      </c>
      <c r="M28" s="185">
        <v>5.4749999999999996</v>
      </c>
      <c r="N28" s="186">
        <v>0.5</v>
      </c>
      <c r="O28" s="152"/>
      <c r="P28" s="153">
        <f>M28+(M28*(N28+O28))</f>
        <v>8.2124999999999986</v>
      </c>
    </row>
    <row r="29" spans="1:17" ht="21" customHeight="1">
      <c r="J29" s="181" t="s">
        <v>348</v>
      </c>
      <c r="K29" s="182"/>
      <c r="L29" s="180">
        <f>L22+330</f>
        <v>425.24257999999998</v>
      </c>
    </row>
    <row r="36" spans="7:7">
      <c r="G36"/>
    </row>
    <row r="37" spans="7:7">
      <c r="G37"/>
    </row>
    <row r="38" spans="7:7">
      <c r="G38"/>
    </row>
    <row r="39" spans="7:7">
      <c r="G39"/>
    </row>
    <row r="40" spans="7:7">
      <c r="G40"/>
    </row>
    <row r="41" spans="7:7">
      <c r="G41"/>
    </row>
    <row r="42" spans="7:7">
      <c r="G42"/>
    </row>
    <row r="43" spans="7:7">
      <c r="G43"/>
    </row>
    <row r="44" spans="7:7">
      <c r="G44"/>
    </row>
    <row r="45" spans="7:7">
      <c r="G45"/>
    </row>
    <row r="46" spans="7:7">
      <c r="G46"/>
    </row>
  </sheetData>
  <mergeCells count="12">
    <mergeCell ref="J24:K24"/>
    <mergeCell ref="J25:K25"/>
    <mergeCell ref="J26:K26"/>
    <mergeCell ref="J27:K27"/>
    <mergeCell ref="J28:K28"/>
    <mergeCell ref="J29:K29"/>
    <mergeCell ref="K2:K10"/>
    <mergeCell ref="L2:L10"/>
    <mergeCell ref="M2:M10"/>
    <mergeCell ref="N2:N10"/>
    <mergeCell ref="O2:O10"/>
    <mergeCell ref="P2:P10"/>
  </mergeCells>
  <pageMargins left="0.69930555555555995" right="0.69930555555555995" top="0.75" bottom="0.75" header="0.3" footer="0.3"/>
  <pageSetup orientation="portrait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'MFR06W-SKU'!$C$2:$C$37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C21"/>
  <sheetViews>
    <sheetView zoomScale="96" zoomScaleNormal="96" workbookViewId="0">
      <selection activeCell="I2" sqref="I2:J7"/>
    </sheetView>
  </sheetViews>
  <sheetFormatPr defaultRowHeight="15"/>
  <cols>
    <col min="1" max="1" width="9.140625" style="70"/>
    <col min="2" max="2" width="59" style="70" customWidth="1"/>
    <col min="3" max="3" width="9.140625" style="70"/>
    <col min="4" max="4" width="9.140625" style="62"/>
    <col min="5" max="5" width="0" style="70" hidden="1" customWidth="1"/>
    <col min="6" max="6" width="55.7109375" style="70" hidden="1" customWidth="1"/>
    <col min="7" max="7" width="0" style="70" hidden="1" customWidth="1"/>
    <col min="8" max="8" width="0" style="62" hidden="1" customWidth="1"/>
    <col min="9" max="9" width="9.140625" style="70"/>
    <col min="10" max="10" width="56.42578125" style="70" bestFit="1" customWidth="1"/>
    <col min="11" max="11" width="9.140625" style="70"/>
    <col min="12" max="12" width="9.140625" style="62"/>
    <col min="13" max="13" width="9.140625" style="70"/>
    <col min="14" max="14" width="63.5703125" style="70" bestFit="1" customWidth="1"/>
    <col min="15" max="15" width="17.140625" style="70" customWidth="1"/>
    <col min="16" max="16" width="9.140625" style="62"/>
    <col min="17" max="17" width="0" style="70" hidden="1" customWidth="1"/>
    <col min="18" max="18" width="56.85546875" style="70" hidden="1" customWidth="1"/>
    <col min="19" max="19" width="12.42578125" style="77" hidden="1" customWidth="1"/>
    <col min="20" max="20" width="9.140625" style="70"/>
    <col min="21" max="21" width="10.85546875" style="70" bestFit="1" customWidth="1"/>
    <col min="22" max="22" width="16.28515625" style="70" customWidth="1"/>
    <col min="23" max="23" width="13.5703125" style="70" customWidth="1"/>
    <col min="24" max="24" width="14.28515625" style="70" customWidth="1"/>
    <col min="25" max="25" width="11" style="70" customWidth="1"/>
    <col min="26" max="26" width="9.140625" style="70"/>
    <col min="27" max="27" width="15.28515625" style="70" customWidth="1"/>
    <col min="28" max="16384" width="9.140625" style="70"/>
  </cols>
  <sheetData>
    <row r="1" spans="1:29" s="59" customFormat="1" ht="15.75" thickBot="1">
      <c r="A1" s="51" t="s">
        <v>200</v>
      </c>
      <c r="B1" s="52" t="s">
        <v>201</v>
      </c>
      <c r="C1" s="53" t="s">
        <v>202</v>
      </c>
      <c r="D1" s="54"/>
      <c r="E1" s="55" t="s">
        <v>200</v>
      </c>
      <c r="F1" s="52" t="s">
        <v>203</v>
      </c>
      <c r="G1" s="53" t="s">
        <v>202</v>
      </c>
      <c r="H1" s="54"/>
      <c r="I1" s="55" t="s">
        <v>200</v>
      </c>
      <c r="J1" s="52" t="s">
        <v>204</v>
      </c>
      <c r="K1" s="53" t="s">
        <v>202</v>
      </c>
      <c r="L1" s="54"/>
      <c r="M1" s="55" t="s">
        <v>205</v>
      </c>
      <c r="N1" s="52" t="s">
        <v>206</v>
      </c>
      <c r="O1" s="53" t="s">
        <v>202</v>
      </c>
      <c r="P1" s="54"/>
      <c r="Q1" s="56" t="s">
        <v>200</v>
      </c>
      <c r="R1" s="56" t="s">
        <v>207</v>
      </c>
      <c r="S1" s="57" t="s">
        <v>202</v>
      </c>
      <c r="T1" s="58"/>
      <c r="U1" s="58"/>
      <c r="V1" s="58"/>
      <c r="W1" s="58"/>
      <c r="X1" s="58"/>
      <c r="Y1" s="58"/>
      <c r="Z1" s="58"/>
    </row>
    <row r="2" spans="1:29">
      <c r="A2" s="60" t="s">
        <v>208</v>
      </c>
      <c r="B2" s="60" t="s">
        <v>326</v>
      </c>
      <c r="C2" s="61"/>
      <c r="E2" s="63"/>
      <c r="F2" s="60"/>
      <c r="G2" s="61"/>
      <c r="I2" s="85" t="s">
        <v>232</v>
      </c>
      <c r="J2" s="122" t="s">
        <v>327</v>
      </c>
      <c r="K2" s="61">
        <v>42</v>
      </c>
      <c r="M2" s="64" t="s">
        <v>215</v>
      </c>
      <c r="N2" s="49" t="s">
        <v>336</v>
      </c>
      <c r="O2" s="61">
        <f>X17</f>
        <v>41.28</v>
      </c>
      <c r="Q2" s="63"/>
      <c r="R2" s="61"/>
      <c r="S2" s="65"/>
      <c r="T2" s="66"/>
      <c r="U2" s="67"/>
      <c r="V2" s="67" t="s">
        <v>211</v>
      </c>
      <c r="W2" s="67" t="s">
        <v>212</v>
      </c>
      <c r="X2" s="67" t="s">
        <v>213</v>
      </c>
      <c r="Y2" s="68"/>
      <c r="Z2" s="69"/>
      <c r="AA2" s="70" t="str">
        <f>MID('Stock Item'!D2,1,9)</f>
        <v>MFRR06M30</v>
      </c>
      <c r="AB2" s="70" t="s">
        <v>306</v>
      </c>
    </row>
    <row r="3" spans="1:29">
      <c r="A3" s="60" t="s">
        <v>19</v>
      </c>
      <c r="B3" s="60" t="s">
        <v>338</v>
      </c>
      <c r="C3" s="61"/>
      <c r="E3" s="63"/>
      <c r="F3" s="60"/>
      <c r="G3" s="61"/>
      <c r="I3" s="85" t="s">
        <v>233</v>
      </c>
      <c r="J3" s="122" t="s">
        <v>328</v>
      </c>
      <c r="K3" s="61">
        <v>275</v>
      </c>
      <c r="M3" s="64" t="s">
        <v>214</v>
      </c>
      <c r="N3" s="49" t="s">
        <v>335</v>
      </c>
      <c r="O3" s="61">
        <f>X17</f>
        <v>41.28</v>
      </c>
      <c r="Q3" s="63"/>
      <c r="R3" s="61"/>
      <c r="S3" s="65"/>
      <c r="T3" s="71"/>
      <c r="U3" s="78"/>
      <c r="V3" s="78" t="str">
        <f>LEFT('Stock Item'!D2,4)</f>
        <v>MFRR</v>
      </c>
      <c r="W3" s="78" t="str">
        <f>LEFT('Stock Item'!D2,10)</f>
        <v>MFRR06M30</v>
      </c>
      <c r="X3" s="78" t="str">
        <f>LEFT('Stock Item'!D2,14)</f>
        <v>MFRR06M30</v>
      </c>
      <c r="Y3" s="87" t="s">
        <v>209</v>
      </c>
      <c r="Z3" s="80"/>
      <c r="AB3" s="70" t="s">
        <v>307</v>
      </c>
    </row>
    <row r="4" spans="1:29">
      <c r="A4" s="60"/>
      <c r="B4" s="60"/>
      <c r="C4" s="61"/>
      <c r="E4" s="63"/>
      <c r="F4" s="60"/>
      <c r="G4" s="61"/>
      <c r="I4" s="85" t="s">
        <v>234</v>
      </c>
      <c r="J4" s="122" t="s">
        <v>329</v>
      </c>
      <c r="K4" s="61">
        <v>621</v>
      </c>
      <c r="M4" s="64" t="s">
        <v>210</v>
      </c>
      <c r="N4" s="49" t="s">
        <v>333</v>
      </c>
      <c r="O4" s="70">
        <f>X17</f>
        <v>41.28</v>
      </c>
      <c r="S4" s="71"/>
      <c r="T4" s="71"/>
      <c r="U4" s="81"/>
      <c r="V4" s="81"/>
      <c r="W4" s="81"/>
      <c r="X4" s="81"/>
      <c r="Y4" s="79"/>
      <c r="Z4" s="80"/>
      <c r="AB4" s="70" t="s">
        <v>308</v>
      </c>
    </row>
    <row r="5" spans="1:29">
      <c r="C5" s="72"/>
      <c r="E5" s="63"/>
      <c r="F5" s="60"/>
      <c r="G5" s="61"/>
      <c r="I5" s="85" t="s">
        <v>235</v>
      </c>
      <c r="J5" s="122" t="s">
        <v>330</v>
      </c>
      <c r="K5" s="61">
        <v>270</v>
      </c>
      <c r="M5" s="64" t="s">
        <v>217</v>
      </c>
      <c r="N5" s="60" t="s">
        <v>334</v>
      </c>
      <c r="O5" s="61">
        <f>X17</f>
        <v>41.28</v>
      </c>
      <c r="S5" s="71"/>
      <c r="T5" s="71"/>
      <c r="U5" s="79"/>
      <c r="V5" s="87" t="str">
        <f>MID(V3,4,1)</f>
        <v>R</v>
      </c>
      <c r="W5" s="87" t="str">
        <f>MID(W3,8,2)</f>
        <v>30</v>
      </c>
      <c r="X5" s="87" t="str">
        <f>MID(X3,10,3)</f>
        <v/>
      </c>
      <c r="Y5" s="79"/>
      <c r="Z5" s="80"/>
      <c r="AB5" s="70" t="s">
        <v>309</v>
      </c>
    </row>
    <row r="6" spans="1:29">
      <c r="H6" s="73"/>
      <c r="I6" s="86" t="s">
        <v>236</v>
      </c>
      <c r="J6" s="122" t="s">
        <v>331</v>
      </c>
      <c r="K6" s="60">
        <v>706</v>
      </c>
      <c r="L6" s="74"/>
      <c r="M6" s="75"/>
      <c r="S6" s="71"/>
      <c r="T6" s="71"/>
      <c r="U6" s="81"/>
      <c r="V6" s="81"/>
      <c r="W6" s="81"/>
      <c r="X6" s="81"/>
      <c r="Y6" s="79"/>
      <c r="Z6" s="80"/>
      <c r="AB6" s="70" t="s">
        <v>310</v>
      </c>
    </row>
    <row r="7" spans="1:29" ht="15.75" thickBot="1">
      <c r="H7" s="73"/>
      <c r="I7" s="86" t="s">
        <v>237</v>
      </c>
      <c r="J7" s="122" t="s">
        <v>332</v>
      </c>
      <c r="K7" s="60">
        <v>340</v>
      </c>
      <c r="L7" s="74"/>
      <c r="M7" s="64" t="s">
        <v>218</v>
      </c>
      <c r="N7" s="49" t="s">
        <v>336</v>
      </c>
      <c r="O7" s="61">
        <f>X17</f>
        <v>41.28</v>
      </c>
      <c r="S7" s="71"/>
      <c r="T7" s="76"/>
      <c r="U7" s="82"/>
      <c r="V7" s="82"/>
      <c r="W7" s="92" t="str">
        <f>MID(W3,5,2)</f>
        <v>06</v>
      </c>
      <c r="X7" s="82"/>
      <c r="Y7" s="83"/>
      <c r="Z7" s="84"/>
      <c r="AB7" s="70" t="s">
        <v>311</v>
      </c>
    </row>
    <row r="8" spans="1:29">
      <c r="M8" s="64" t="s">
        <v>219</v>
      </c>
      <c r="N8" s="49" t="s">
        <v>335</v>
      </c>
      <c r="O8" s="61">
        <f>X17</f>
        <v>41.28</v>
      </c>
    </row>
    <row r="9" spans="1:29" ht="15.75" thickBot="1">
      <c r="M9" s="64" t="s">
        <v>220</v>
      </c>
      <c r="N9" s="49" t="s">
        <v>333</v>
      </c>
      <c r="O9" s="70">
        <f>X17</f>
        <v>41.28</v>
      </c>
    </row>
    <row r="10" spans="1:29">
      <c r="M10" s="64" t="s">
        <v>221</v>
      </c>
      <c r="N10" s="60" t="s">
        <v>334</v>
      </c>
      <c r="O10" s="61">
        <f>X17</f>
        <v>41.28</v>
      </c>
      <c r="U10" s="88"/>
      <c r="V10" s="89" t="s">
        <v>211</v>
      </c>
      <c r="W10" s="100" t="str">
        <f>CONCATENATE(V5)</f>
        <v>R</v>
      </c>
      <c r="X10" s="88"/>
    </row>
    <row r="11" spans="1:29">
      <c r="N11" s="135"/>
      <c r="O11" s="137"/>
      <c r="U11" s="88"/>
      <c r="V11" s="90" t="s">
        <v>212</v>
      </c>
      <c r="W11" s="101" t="str">
        <f>CONCATENATE(W5,Y3,X5)</f>
        <v>30-</v>
      </c>
      <c r="X11" s="88"/>
    </row>
    <row r="12" spans="1:29" ht="15.75" thickBot="1">
      <c r="M12" s="64" t="s">
        <v>222</v>
      </c>
      <c r="N12" s="49" t="s">
        <v>336</v>
      </c>
      <c r="O12" s="61">
        <f>Y17</f>
        <v>41.28</v>
      </c>
      <c r="U12" s="88"/>
      <c r="V12" s="91" t="s">
        <v>213</v>
      </c>
      <c r="W12" s="102" t="str">
        <f>CONCATENATE(W7,Y3,X5)</f>
        <v>06-</v>
      </c>
      <c r="X12" s="88"/>
    </row>
    <row r="13" spans="1:29">
      <c r="M13" s="64" t="s">
        <v>223</v>
      </c>
      <c r="N13" s="49" t="s">
        <v>335</v>
      </c>
      <c r="O13" s="61">
        <f>X17</f>
        <v>41.28</v>
      </c>
    </row>
    <row r="14" spans="1:29">
      <c r="M14" s="64" t="s">
        <v>224</v>
      </c>
      <c r="N14" s="49" t="s">
        <v>333</v>
      </c>
      <c r="O14" s="70">
        <f>X17</f>
        <v>41.28</v>
      </c>
      <c r="T14" s="138" t="s">
        <v>314</v>
      </c>
      <c r="U14" s="139"/>
      <c r="V14" s="140"/>
      <c r="W14" s="107" t="s">
        <v>315</v>
      </c>
      <c r="X14" s="108" t="s">
        <v>316</v>
      </c>
      <c r="Y14" s="108" t="s">
        <v>317</v>
      </c>
      <c r="Z14" s="109" t="s">
        <v>318</v>
      </c>
      <c r="AA14" s="110" t="s">
        <v>319</v>
      </c>
      <c r="AB14" s="111" t="s">
        <v>320</v>
      </c>
      <c r="AC14" s="109" t="s">
        <v>321</v>
      </c>
    </row>
    <row r="15" spans="1:29">
      <c r="M15" s="64" t="s">
        <v>225</v>
      </c>
      <c r="N15" s="60" t="s">
        <v>334</v>
      </c>
      <c r="O15" s="61">
        <f>X17</f>
        <v>41.28</v>
      </c>
      <c r="T15" s="141" t="s">
        <v>323</v>
      </c>
      <c r="U15" s="141"/>
      <c r="V15" s="141"/>
      <c r="W15" s="112">
        <v>1</v>
      </c>
      <c r="X15" s="113">
        <f>86*AC15</f>
        <v>0</v>
      </c>
      <c r="Y15" s="114">
        <f>W15*X15</f>
        <v>0</v>
      </c>
      <c r="Z15" s="115">
        <v>0</v>
      </c>
      <c r="AA15" s="116">
        <v>0.5</v>
      </c>
      <c r="AB15" s="116"/>
      <c r="AC15" s="115">
        <f>Z15+(Z15*(AA15+AB15))</f>
        <v>0</v>
      </c>
    </row>
    <row r="16" spans="1:29" ht="18" customHeight="1">
      <c r="T16" s="125" t="s">
        <v>322</v>
      </c>
      <c r="U16" s="126"/>
      <c r="V16" s="127"/>
      <c r="W16" s="117">
        <v>1</v>
      </c>
      <c r="X16" s="103">
        <f>86*AC16</f>
        <v>3.4830000000000001</v>
      </c>
      <c r="Y16" s="104">
        <f t="shared" ref="Y16" si="0">W16*X16</f>
        <v>3.4830000000000001</v>
      </c>
      <c r="Z16" s="105">
        <v>2.7E-2</v>
      </c>
      <c r="AA16" s="106">
        <v>0.5</v>
      </c>
      <c r="AB16" s="106"/>
      <c r="AC16" s="105">
        <f>Z16+(Z16*(AA16+AB16))</f>
        <v>4.0500000000000001E-2</v>
      </c>
    </row>
    <row r="17" spans="13:29" ht="25.5" customHeight="1">
      <c r="M17" s="64" t="s">
        <v>226</v>
      </c>
      <c r="N17" s="49" t="s">
        <v>336</v>
      </c>
      <c r="O17" s="61">
        <f>X17</f>
        <v>41.28</v>
      </c>
      <c r="S17" s="71"/>
      <c r="T17" s="128" t="s">
        <v>216</v>
      </c>
      <c r="U17" s="129"/>
      <c r="V17" s="130"/>
      <c r="W17" s="119">
        <v>1</v>
      </c>
      <c r="X17" s="103">
        <f t="shared" ref="X17:X18" si="1">86*AC17</f>
        <v>41.28</v>
      </c>
      <c r="Y17" s="104">
        <f t="shared" ref="Y17:Y18" si="2">W17*X17</f>
        <v>41.28</v>
      </c>
      <c r="Z17" s="105">
        <v>0.32</v>
      </c>
      <c r="AA17" s="106">
        <v>0.5</v>
      </c>
      <c r="AB17" s="106"/>
      <c r="AC17" s="105">
        <f t="shared" ref="AC17:AC18" si="3">Z17+(Z17*(AA17+AB17))</f>
        <v>0.48</v>
      </c>
    </row>
    <row r="18" spans="13:29" ht="33" customHeight="1">
      <c r="M18" s="64" t="s">
        <v>227</v>
      </c>
      <c r="N18" s="49" t="s">
        <v>335</v>
      </c>
      <c r="O18" s="61">
        <f>X17</f>
        <v>41.28</v>
      </c>
      <c r="S18" s="71"/>
      <c r="T18" s="131" t="s">
        <v>230</v>
      </c>
      <c r="U18" s="132"/>
      <c r="V18" s="133"/>
      <c r="W18" s="119">
        <v>1</v>
      </c>
      <c r="X18" s="103">
        <f t="shared" si="1"/>
        <v>193.5</v>
      </c>
      <c r="Y18" s="104">
        <f t="shared" si="2"/>
        <v>193.5</v>
      </c>
      <c r="Z18" s="105">
        <v>1.5</v>
      </c>
      <c r="AA18" s="106">
        <v>0.5</v>
      </c>
      <c r="AB18" s="106"/>
      <c r="AC18" s="105">
        <f t="shared" si="3"/>
        <v>2.25</v>
      </c>
    </row>
    <row r="19" spans="13:29">
      <c r="M19" s="64" t="s">
        <v>228</v>
      </c>
      <c r="N19" s="49" t="s">
        <v>333</v>
      </c>
      <c r="O19" s="70">
        <f>X17</f>
        <v>41.28</v>
      </c>
      <c r="S19" s="71"/>
      <c r="T19" s="134"/>
      <c r="U19" s="135"/>
      <c r="V19" s="136"/>
      <c r="W19" s="60"/>
      <c r="X19" s="60"/>
      <c r="Y19" s="60"/>
      <c r="Z19" s="60"/>
      <c r="AA19" s="60"/>
      <c r="AB19" s="60"/>
      <c r="AC19" s="60"/>
    </row>
    <row r="20" spans="13:29">
      <c r="M20" s="64" t="s">
        <v>229</v>
      </c>
      <c r="N20" s="60" t="s">
        <v>334</v>
      </c>
      <c r="O20" s="61">
        <f>X17</f>
        <v>41.28</v>
      </c>
    </row>
    <row r="21" spans="13:29">
      <c r="M21" s="63" t="s">
        <v>231</v>
      </c>
      <c r="N21" s="123" t="s">
        <v>337</v>
      </c>
      <c r="O21" s="61">
        <f>X18</f>
        <v>193.5</v>
      </c>
    </row>
  </sheetData>
  <mergeCells count="7">
    <mergeCell ref="T16:V16"/>
    <mergeCell ref="T17:V17"/>
    <mergeCell ref="T18:V18"/>
    <mergeCell ref="T19:V19"/>
    <mergeCell ref="N11:O11"/>
    <mergeCell ref="T14:V14"/>
    <mergeCell ref="T15:V15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43" t="s">
        <v>20</v>
      </c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5"/>
    </row>
    <row r="6" spans="1:17" ht="12.6" customHeight="1">
      <c r="A6" s="16" t="s">
        <v>21</v>
      </c>
      <c r="B6" s="12" t="s">
        <v>15</v>
      </c>
      <c r="C6" s="13"/>
      <c r="E6" s="143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5"/>
    </row>
    <row r="7" spans="1:17" ht="12.6" customHeight="1">
      <c r="A7" s="16" t="s">
        <v>22</v>
      </c>
      <c r="B7" s="12" t="s">
        <v>15</v>
      </c>
      <c r="C7" s="13"/>
      <c r="E7" s="143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5"/>
    </row>
    <row r="8" spans="1:17" ht="12.6" customHeight="1">
      <c r="A8" s="16" t="s">
        <v>23</v>
      </c>
      <c r="B8" s="12" t="s">
        <v>15</v>
      </c>
      <c r="C8" s="13"/>
      <c r="E8" s="143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5"/>
    </row>
    <row r="9" spans="1:17" ht="12.95" customHeight="1">
      <c r="A9" s="16" t="s">
        <v>24</v>
      </c>
      <c r="B9" s="12" t="s">
        <v>15</v>
      </c>
      <c r="C9" s="13"/>
      <c r="E9" s="143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5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</row>
    <row r="20" spans="1:17" ht="25.5">
      <c r="A20" s="16" t="s">
        <v>40</v>
      </c>
      <c r="B20" s="12" t="s">
        <v>15</v>
      </c>
      <c r="C20" s="13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</row>
    <row r="21" spans="1:17">
      <c r="A21" s="16" t="s">
        <v>41</v>
      </c>
      <c r="B21" s="12" t="s">
        <v>15</v>
      </c>
      <c r="C21" s="13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</row>
    <row r="22" spans="1:17">
      <c r="A22" s="6" t="s">
        <v>42</v>
      </c>
      <c r="B22" s="30"/>
      <c r="C22" s="31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V37"/>
  <sheetViews>
    <sheetView topLeftCell="A17" workbookViewId="0">
      <selection activeCell="L15" sqref="L15"/>
    </sheetView>
  </sheetViews>
  <sheetFormatPr defaultRowHeight="15"/>
  <cols>
    <col min="1" max="1" width="7" style="93" bestFit="1" customWidth="1"/>
    <col min="2" max="2" width="15.28515625" style="93" bestFit="1" customWidth="1"/>
    <col min="3" max="3" width="15.28515625" style="95" bestFit="1" customWidth="1"/>
    <col min="4" max="4" width="9.7109375" style="93" bestFit="1" customWidth="1"/>
    <col min="5" max="5" width="11" style="93" bestFit="1" customWidth="1"/>
    <col min="6" max="6" width="11.85546875" style="93" bestFit="1" customWidth="1"/>
    <col min="7" max="7" width="7.42578125" style="93" bestFit="1" customWidth="1"/>
    <col min="8" max="8" width="6.42578125" style="93" bestFit="1" customWidth="1"/>
    <col min="9" max="9" width="8.85546875" style="93" customWidth="1"/>
    <col min="10" max="10" width="6.42578125" style="93" bestFit="1" customWidth="1"/>
    <col min="11" max="11" width="12.7109375" style="93" bestFit="1" customWidth="1"/>
    <col min="12" max="12" width="49.42578125" style="93" bestFit="1" customWidth="1"/>
    <col min="13" max="13" width="35.42578125" style="93" bestFit="1" customWidth="1"/>
    <col min="14" max="14" width="10.85546875" style="93" bestFit="1" customWidth="1"/>
    <col min="15" max="15" width="7.7109375" style="93" bestFit="1" customWidth="1"/>
    <col min="16" max="16" width="9.140625" style="93"/>
    <col min="17" max="20" width="9.28515625" style="94" customWidth="1"/>
    <col min="21" max="21" width="9.140625" style="94"/>
    <col min="22" max="16384" width="9.140625" style="93"/>
  </cols>
  <sheetData>
    <row r="1" spans="1:22" s="96" customFormat="1">
      <c r="A1" s="96" t="s">
        <v>302</v>
      </c>
      <c r="B1" s="98" t="s">
        <v>301</v>
      </c>
      <c r="C1" s="96" t="s">
        <v>300</v>
      </c>
      <c r="D1" s="97" t="s">
        <v>299</v>
      </c>
      <c r="E1" s="96" t="s">
        <v>298</v>
      </c>
      <c r="F1" s="96" t="s">
        <v>297</v>
      </c>
      <c r="G1" s="96" t="s">
        <v>296</v>
      </c>
      <c r="H1" s="96" t="s">
        <v>295</v>
      </c>
      <c r="I1" s="96" t="s">
        <v>294</v>
      </c>
      <c r="J1" s="96" t="s">
        <v>293</v>
      </c>
      <c r="K1" s="96" t="s">
        <v>292</v>
      </c>
      <c r="L1" s="96" t="s">
        <v>291</v>
      </c>
      <c r="M1" s="96" t="s">
        <v>290</v>
      </c>
      <c r="N1" s="96" t="s">
        <v>211</v>
      </c>
      <c r="O1" s="96" t="s">
        <v>289</v>
      </c>
      <c r="P1" s="98"/>
      <c r="V1" s="97"/>
    </row>
    <row r="2" spans="1:22">
      <c r="A2" s="93">
        <v>145904</v>
      </c>
      <c r="B2" s="93" t="s">
        <v>199</v>
      </c>
      <c r="C2" s="95" t="str">
        <f t="shared" ref="C2:C37" si="0">_xlfn.CONCAT(Q2,R2,S2,T2,U2)</f>
        <v>MFRR06M50</v>
      </c>
      <c r="D2" s="93">
        <v>0</v>
      </c>
      <c r="E2" s="93">
        <v>0</v>
      </c>
      <c r="F2" s="93">
        <v>1247</v>
      </c>
      <c r="G2" s="93">
        <v>0</v>
      </c>
      <c r="H2" s="93">
        <v>0</v>
      </c>
      <c r="I2" s="93">
        <v>0</v>
      </c>
      <c r="J2" s="93">
        <v>0</v>
      </c>
      <c r="K2" s="93" t="s">
        <v>242</v>
      </c>
      <c r="L2" s="93" t="s">
        <v>257</v>
      </c>
      <c r="M2" s="93" t="s">
        <v>281</v>
      </c>
      <c r="N2" s="93" t="s">
        <v>244</v>
      </c>
      <c r="O2" s="93" t="s">
        <v>238</v>
      </c>
      <c r="Q2" s="94" t="str">
        <f t="shared" ref="Q2:Q37" si="1">MID(B2,1,3)</f>
        <v>MFR</v>
      </c>
      <c r="R2" s="94" t="str">
        <f t="shared" ref="R2:R37" si="2">MID(B2,4,1)</f>
        <v>R</v>
      </c>
      <c r="S2" s="94" t="str">
        <f t="shared" ref="S2:S37" si="3">MID(B2,5,2)</f>
        <v>06</v>
      </c>
      <c r="T2" s="94" t="str">
        <f t="shared" ref="T2:T37" si="4">MID(B2,7,1)</f>
        <v>M</v>
      </c>
      <c r="U2" s="94" t="str">
        <f t="shared" ref="U2:U9" si="5">MID(B2,8,2)</f>
        <v>50</v>
      </c>
    </row>
    <row r="3" spans="1:22">
      <c r="A3" s="93">
        <v>145905</v>
      </c>
      <c r="B3" s="93" t="s">
        <v>288</v>
      </c>
      <c r="C3" s="95" t="str">
        <f t="shared" si="0"/>
        <v>MFRR06M40</v>
      </c>
      <c r="D3" s="93">
        <v>0</v>
      </c>
      <c r="E3" s="93">
        <v>0</v>
      </c>
      <c r="F3" s="93">
        <v>1247</v>
      </c>
      <c r="G3" s="93">
        <v>0</v>
      </c>
      <c r="H3" s="93">
        <v>0</v>
      </c>
      <c r="I3" s="93">
        <v>0</v>
      </c>
      <c r="J3" s="93">
        <v>0</v>
      </c>
      <c r="K3" s="93" t="s">
        <v>242</v>
      </c>
      <c r="L3" s="93" t="s">
        <v>255</v>
      </c>
      <c r="M3" s="93" t="s">
        <v>281</v>
      </c>
      <c r="N3" s="93" t="s">
        <v>244</v>
      </c>
      <c r="O3" s="93" t="s">
        <v>238</v>
      </c>
      <c r="Q3" s="94" t="str">
        <f t="shared" si="1"/>
        <v>MFR</v>
      </c>
      <c r="R3" s="94" t="str">
        <f t="shared" si="2"/>
        <v>R</v>
      </c>
      <c r="S3" s="94" t="str">
        <f t="shared" si="3"/>
        <v>06</v>
      </c>
      <c r="T3" s="94" t="str">
        <f t="shared" si="4"/>
        <v>M</v>
      </c>
      <c r="U3" s="94" t="str">
        <f t="shared" si="5"/>
        <v>40</v>
      </c>
    </row>
    <row r="4" spans="1:22">
      <c r="A4" s="93">
        <v>145906</v>
      </c>
      <c r="B4" s="93" t="s">
        <v>287</v>
      </c>
      <c r="C4" s="95" t="str">
        <f t="shared" si="0"/>
        <v>MFRR06M30</v>
      </c>
      <c r="D4" s="93">
        <v>0</v>
      </c>
      <c r="E4" s="93">
        <v>0</v>
      </c>
      <c r="F4" s="93">
        <v>1247</v>
      </c>
      <c r="G4" s="93">
        <v>0</v>
      </c>
      <c r="H4" s="93">
        <v>0</v>
      </c>
      <c r="I4" s="93">
        <v>0</v>
      </c>
      <c r="J4" s="93">
        <v>0</v>
      </c>
      <c r="K4" s="93" t="s">
        <v>242</v>
      </c>
      <c r="L4" s="93" t="s">
        <v>253</v>
      </c>
      <c r="M4" s="93" t="s">
        <v>281</v>
      </c>
      <c r="N4" s="93" t="s">
        <v>244</v>
      </c>
      <c r="O4" s="93" t="s">
        <v>238</v>
      </c>
      <c r="Q4" s="94" t="str">
        <f t="shared" si="1"/>
        <v>MFR</v>
      </c>
      <c r="R4" s="94" t="str">
        <f t="shared" si="2"/>
        <v>R</v>
      </c>
      <c r="S4" s="94" t="str">
        <f t="shared" si="3"/>
        <v>06</v>
      </c>
      <c r="T4" s="94" t="str">
        <f t="shared" si="4"/>
        <v>M</v>
      </c>
      <c r="U4" s="94" t="str">
        <f t="shared" si="5"/>
        <v>30</v>
      </c>
    </row>
    <row r="5" spans="1:22">
      <c r="A5" s="93">
        <v>145907</v>
      </c>
      <c r="B5" s="93" t="s">
        <v>286</v>
      </c>
      <c r="C5" s="95" t="str">
        <f t="shared" si="0"/>
        <v>MFRR06M27</v>
      </c>
      <c r="D5" s="93">
        <v>0</v>
      </c>
      <c r="E5" s="93">
        <v>0</v>
      </c>
      <c r="F5" s="93">
        <v>1247</v>
      </c>
      <c r="G5" s="93">
        <v>0</v>
      </c>
      <c r="H5" s="93">
        <v>0</v>
      </c>
      <c r="I5" s="93">
        <v>0</v>
      </c>
      <c r="J5" s="93">
        <v>0</v>
      </c>
      <c r="K5" s="93" t="s">
        <v>242</v>
      </c>
      <c r="L5" s="93" t="s">
        <v>251</v>
      </c>
      <c r="M5" s="93" t="s">
        <v>281</v>
      </c>
      <c r="N5" s="93" t="s">
        <v>244</v>
      </c>
      <c r="O5" s="93" t="s">
        <v>238</v>
      </c>
      <c r="Q5" s="94" t="str">
        <f t="shared" si="1"/>
        <v>MFR</v>
      </c>
      <c r="R5" s="94" t="str">
        <f t="shared" si="2"/>
        <v>R</v>
      </c>
      <c r="S5" s="94" t="str">
        <f t="shared" si="3"/>
        <v>06</v>
      </c>
      <c r="T5" s="94" t="str">
        <f t="shared" si="4"/>
        <v>M</v>
      </c>
      <c r="U5" s="94" t="str">
        <f t="shared" si="5"/>
        <v>27</v>
      </c>
    </row>
    <row r="6" spans="1:22">
      <c r="A6" s="93">
        <v>145911</v>
      </c>
      <c r="B6" s="93" t="s">
        <v>285</v>
      </c>
      <c r="C6" s="95" t="str">
        <f t="shared" si="0"/>
        <v>MFRB06M50</v>
      </c>
      <c r="D6" s="93">
        <v>0</v>
      </c>
      <c r="E6" s="93">
        <v>0</v>
      </c>
      <c r="F6" s="93">
        <v>1371</v>
      </c>
      <c r="G6" s="93">
        <v>0</v>
      </c>
      <c r="H6" s="93">
        <v>0</v>
      </c>
      <c r="I6" s="93">
        <v>0</v>
      </c>
      <c r="J6" s="93">
        <v>0</v>
      </c>
      <c r="K6" s="93" t="s">
        <v>242</v>
      </c>
      <c r="L6" s="93" t="s">
        <v>257</v>
      </c>
      <c r="M6" s="93" t="s">
        <v>281</v>
      </c>
      <c r="N6" s="93" t="s">
        <v>239</v>
      </c>
      <c r="O6" s="93" t="s">
        <v>238</v>
      </c>
      <c r="Q6" s="94" t="str">
        <f t="shared" si="1"/>
        <v>MFR</v>
      </c>
      <c r="R6" s="94" t="str">
        <f t="shared" si="2"/>
        <v>B</v>
      </c>
      <c r="S6" s="94" t="str">
        <f t="shared" si="3"/>
        <v>06</v>
      </c>
      <c r="T6" s="94" t="str">
        <f t="shared" si="4"/>
        <v>M</v>
      </c>
      <c r="U6" s="94" t="str">
        <f t="shared" si="5"/>
        <v>50</v>
      </c>
    </row>
    <row r="7" spans="1:22">
      <c r="A7" s="93">
        <v>145912</v>
      </c>
      <c r="B7" s="93" t="s">
        <v>284</v>
      </c>
      <c r="C7" s="95" t="str">
        <f t="shared" si="0"/>
        <v>MFRB06M40</v>
      </c>
      <c r="D7" s="93">
        <v>0</v>
      </c>
      <c r="E7" s="93">
        <v>0</v>
      </c>
      <c r="F7" s="93">
        <v>1371</v>
      </c>
      <c r="G7" s="93">
        <v>0</v>
      </c>
      <c r="H7" s="93">
        <v>0</v>
      </c>
      <c r="I7" s="93">
        <v>0</v>
      </c>
      <c r="J7" s="93">
        <v>0</v>
      </c>
      <c r="K7" s="93" t="s">
        <v>242</v>
      </c>
      <c r="L7" s="93" t="s">
        <v>255</v>
      </c>
      <c r="M7" s="93" t="s">
        <v>281</v>
      </c>
      <c r="N7" s="93" t="s">
        <v>239</v>
      </c>
      <c r="O7" s="93" t="s">
        <v>238</v>
      </c>
      <c r="Q7" s="94" t="str">
        <f t="shared" si="1"/>
        <v>MFR</v>
      </c>
      <c r="R7" s="94" t="str">
        <f t="shared" si="2"/>
        <v>B</v>
      </c>
      <c r="S7" s="94" t="str">
        <f t="shared" si="3"/>
        <v>06</v>
      </c>
      <c r="T7" s="94" t="str">
        <f t="shared" si="4"/>
        <v>M</v>
      </c>
      <c r="U7" s="94" t="str">
        <f t="shared" si="5"/>
        <v>40</v>
      </c>
    </row>
    <row r="8" spans="1:22">
      <c r="A8" s="93">
        <v>145913</v>
      </c>
      <c r="B8" s="93" t="s">
        <v>283</v>
      </c>
      <c r="C8" s="95" t="str">
        <f t="shared" si="0"/>
        <v>MFRB06M30</v>
      </c>
      <c r="D8" s="93">
        <v>0</v>
      </c>
      <c r="E8" s="93">
        <v>0</v>
      </c>
      <c r="F8" s="93">
        <v>1371</v>
      </c>
      <c r="G8" s="93">
        <v>0</v>
      </c>
      <c r="H8" s="93">
        <v>0</v>
      </c>
      <c r="I8" s="93">
        <v>0</v>
      </c>
      <c r="J8" s="93">
        <v>0</v>
      </c>
      <c r="K8" s="93" t="s">
        <v>242</v>
      </c>
      <c r="L8" s="93" t="s">
        <v>253</v>
      </c>
      <c r="M8" s="93" t="s">
        <v>281</v>
      </c>
      <c r="N8" s="93" t="s">
        <v>239</v>
      </c>
      <c r="O8" s="93" t="s">
        <v>238</v>
      </c>
      <c r="Q8" s="94" t="str">
        <f t="shared" si="1"/>
        <v>MFR</v>
      </c>
      <c r="R8" s="94" t="str">
        <f t="shared" si="2"/>
        <v>B</v>
      </c>
      <c r="S8" s="94" t="str">
        <f t="shared" si="3"/>
        <v>06</v>
      </c>
      <c r="T8" s="94" t="str">
        <f t="shared" si="4"/>
        <v>M</v>
      </c>
      <c r="U8" s="94" t="str">
        <f t="shared" si="5"/>
        <v>30</v>
      </c>
    </row>
    <row r="9" spans="1:22">
      <c r="A9" s="93">
        <v>145914</v>
      </c>
      <c r="B9" s="93" t="s">
        <v>282</v>
      </c>
      <c r="C9" s="95" t="str">
        <f t="shared" si="0"/>
        <v>MFRB06M27</v>
      </c>
      <c r="D9" s="93">
        <v>0</v>
      </c>
      <c r="E9" s="93">
        <v>0</v>
      </c>
      <c r="F9" s="93">
        <v>1371</v>
      </c>
      <c r="G9" s="93">
        <v>0</v>
      </c>
      <c r="H9" s="93">
        <v>0</v>
      </c>
      <c r="I9" s="93">
        <v>0</v>
      </c>
      <c r="J9" s="93">
        <v>0</v>
      </c>
      <c r="K9" s="93" t="s">
        <v>242</v>
      </c>
      <c r="L9" s="93" t="s">
        <v>251</v>
      </c>
      <c r="M9" s="93" t="s">
        <v>281</v>
      </c>
      <c r="N9" s="93" t="s">
        <v>239</v>
      </c>
      <c r="O9" s="93" t="s">
        <v>238</v>
      </c>
      <c r="Q9" s="94" t="str">
        <f t="shared" si="1"/>
        <v>MFR</v>
      </c>
      <c r="R9" s="94" t="str">
        <f t="shared" si="2"/>
        <v>B</v>
      </c>
      <c r="S9" s="94" t="str">
        <f t="shared" si="3"/>
        <v>06</v>
      </c>
      <c r="T9" s="94" t="str">
        <f t="shared" si="4"/>
        <v>M</v>
      </c>
      <c r="U9" s="94" t="str">
        <f t="shared" si="5"/>
        <v>27</v>
      </c>
    </row>
    <row r="10" spans="1:22">
      <c r="A10" s="93">
        <v>145918</v>
      </c>
      <c r="B10" s="93" t="s">
        <v>280</v>
      </c>
      <c r="C10" s="95" t="str">
        <f t="shared" si="0"/>
        <v>MFRR06M50T</v>
      </c>
      <c r="D10" s="93">
        <v>0</v>
      </c>
      <c r="E10" s="93">
        <v>0</v>
      </c>
      <c r="F10" s="93">
        <v>1703</v>
      </c>
      <c r="G10" s="93">
        <v>0</v>
      </c>
      <c r="H10" s="93">
        <v>0</v>
      </c>
      <c r="I10" s="93">
        <v>0</v>
      </c>
      <c r="J10" s="93">
        <v>0</v>
      </c>
      <c r="K10" s="93" t="s">
        <v>242</v>
      </c>
      <c r="L10" s="93" t="s">
        <v>257</v>
      </c>
      <c r="M10" s="93" t="s">
        <v>272</v>
      </c>
      <c r="N10" s="93" t="s">
        <v>244</v>
      </c>
      <c r="O10" s="93" t="s">
        <v>238</v>
      </c>
      <c r="Q10" s="94" t="str">
        <f t="shared" si="1"/>
        <v>MFR</v>
      </c>
      <c r="R10" s="94" t="str">
        <f t="shared" si="2"/>
        <v>R</v>
      </c>
      <c r="S10" s="94" t="str">
        <f t="shared" si="3"/>
        <v>06</v>
      </c>
      <c r="T10" s="94" t="str">
        <f t="shared" si="4"/>
        <v>M</v>
      </c>
      <c r="U10" s="94" t="str">
        <f t="shared" ref="U10:U37" si="6">MID(B10,8,6)</f>
        <v>50T</v>
      </c>
    </row>
    <row r="11" spans="1:22">
      <c r="A11" s="93">
        <v>145919</v>
      </c>
      <c r="B11" s="93" t="s">
        <v>279</v>
      </c>
      <c r="C11" s="95" t="str">
        <f t="shared" si="0"/>
        <v>MFRR06M40T</v>
      </c>
      <c r="D11" s="93">
        <v>0</v>
      </c>
      <c r="E11" s="93">
        <v>0</v>
      </c>
      <c r="F11" s="93">
        <v>1703</v>
      </c>
      <c r="G11" s="93">
        <v>0</v>
      </c>
      <c r="H11" s="93">
        <v>0</v>
      </c>
      <c r="I11" s="93">
        <v>0</v>
      </c>
      <c r="J11" s="93">
        <v>0</v>
      </c>
      <c r="K11" s="93" t="s">
        <v>242</v>
      </c>
      <c r="L11" s="93" t="s">
        <v>255</v>
      </c>
      <c r="M11" s="93" t="s">
        <v>272</v>
      </c>
      <c r="N11" s="93" t="s">
        <v>244</v>
      </c>
      <c r="O11" s="93" t="s">
        <v>238</v>
      </c>
      <c r="Q11" s="94" t="str">
        <f t="shared" si="1"/>
        <v>MFR</v>
      </c>
      <c r="R11" s="94" t="str">
        <f t="shared" si="2"/>
        <v>R</v>
      </c>
      <c r="S11" s="94" t="str">
        <f t="shared" si="3"/>
        <v>06</v>
      </c>
      <c r="T11" s="94" t="str">
        <f t="shared" si="4"/>
        <v>M</v>
      </c>
      <c r="U11" s="94" t="str">
        <f t="shared" si="6"/>
        <v>40T</v>
      </c>
    </row>
    <row r="12" spans="1:22">
      <c r="A12" s="93">
        <v>145920</v>
      </c>
      <c r="B12" s="93" t="s">
        <v>278</v>
      </c>
      <c r="C12" s="95" t="str">
        <f t="shared" si="0"/>
        <v>MFRR06M30T</v>
      </c>
      <c r="D12" s="93">
        <v>0</v>
      </c>
      <c r="E12" s="93">
        <v>0</v>
      </c>
      <c r="F12" s="93">
        <v>1703</v>
      </c>
      <c r="G12" s="93">
        <v>0</v>
      </c>
      <c r="H12" s="93">
        <v>0</v>
      </c>
      <c r="I12" s="93">
        <v>0</v>
      </c>
      <c r="J12" s="93">
        <v>0</v>
      </c>
      <c r="K12" s="93" t="s">
        <v>242</v>
      </c>
      <c r="L12" s="93" t="s">
        <v>253</v>
      </c>
      <c r="M12" s="93" t="s">
        <v>272</v>
      </c>
      <c r="N12" s="93" t="s">
        <v>244</v>
      </c>
      <c r="O12" s="93" t="s">
        <v>238</v>
      </c>
      <c r="Q12" s="94" t="str">
        <f t="shared" si="1"/>
        <v>MFR</v>
      </c>
      <c r="R12" s="94" t="str">
        <f t="shared" si="2"/>
        <v>R</v>
      </c>
      <c r="S12" s="94" t="str">
        <f t="shared" si="3"/>
        <v>06</v>
      </c>
      <c r="T12" s="94" t="str">
        <f t="shared" si="4"/>
        <v>M</v>
      </c>
      <c r="U12" s="94" t="str">
        <f t="shared" si="6"/>
        <v>30T</v>
      </c>
    </row>
    <row r="13" spans="1:22">
      <c r="A13" s="93">
        <v>145921</v>
      </c>
      <c r="B13" s="93" t="s">
        <v>277</v>
      </c>
      <c r="C13" s="95" t="str">
        <f t="shared" si="0"/>
        <v>MFRR06M27T</v>
      </c>
      <c r="D13" s="93">
        <v>0</v>
      </c>
      <c r="E13" s="93">
        <v>0</v>
      </c>
      <c r="F13" s="93">
        <v>1703</v>
      </c>
      <c r="G13" s="93">
        <v>0</v>
      </c>
      <c r="H13" s="93">
        <v>0</v>
      </c>
      <c r="I13" s="93">
        <v>0</v>
      </c>
      <c r="J13" s="93">
        <v>0</v>
      </c>
      <c r="K13" s="93" t="s">
        <v>242</v>
      </c>
      <c r="L13" s="93" t="s">
        <v>251</v>
      </c>
      <c r="M13" s="93" t="s">
        <v>272</v>
      </c>
      <c r="N13" s="93" t="s">
        <v>244</v>
      </c>
      <c r="O13" s="93" t="s">
        <v>238</v>
      </c>
      <c r="Q13" s="94" t="str">
        <f t="shared" si="1"/>
        <v>MFR</v>
      </c>
      <c r="R13" s="94" t="str">
        <f t="shared" si="2"/>
        <v>R</v>
      </c>
      <c r="S13" s="94" t="str">
        <f t="shared" si="3"/>
        <v>06</v>
      </c>
      <c r="T13" s="94" t="str">
        <f t="shared" si="4"/>
        <v>M</v>
      </c>
      <c r="U13" s="94" t="str">
        <f t="shared" si="6"/>
        <v>27T</v>
      </c>
    </row>
    <row r="14" spans="1:22">
      <c r="A14" s="93">
        <v>145925</v>
      </c>
      <c r="B14" s="93" t="s">
        <v>276</v>
      </c>
      <c r="C14" s="95" t="str">
        <f t="shared" si="0"/>
        <v>MFRB06M50T</v>
      </c>
      <c r="D14" s="93">
        <v>0</v>
      </c>
      <c r="E14" s="93">
        <v>0</v>
      </c>
      <c r="F14" s="93">
        <v>1828</v>
      </c>
      <c r="G14" s="93">
        <v>0</v>
      </c>
      <c r="H14" s="93">
        <v>0</v>
      </c>
      <c r="I14" s="93">
        <v>0</v>
      </c>
      <c r="J14" s="93">
        <v>0</v>
      </c>
      <c r="K14" s="93" t="s">
        <v>242</v>
      </c>
      <c r="L14" s="93" t="s">
        <v>257</v>
      </c>
      <c r="M14" s="93" t="s">
        <v>272</v>
      </c>
      <c r="N14" s="93" t="s">
        <v>239</v>
      </c>
      <c r="O14" s="93" t="s">
        <v>238</v>
      </c>
      <c r="Q14" s="94" t="str">
        <f t="shared" si="1"/>
        <v>MFR</v>
      </c>
      <c r="R14" s="94" t="str">
        <f t="shared" si="2"/>
        <v>B</v>
      </c>
      <c r="S14" s="94" t="str">
        <f t="shared" si="3"/>
        <v>06</v>
      </c>
      <c r="T14" s="94" t="str">
        <f t="shared" si="4"/>
        <v>M</v>
      </c>
      <c r="U14" s="94" t="str">
        <f t="shared" si="6"/>
        <v>50T</v>
      </c>
    </row>
    <row r="15" spans="1:22">
      <c r="A15" s="93">
        <v>145926</v>
      </c>
      <c r="B15" s="93" t="s">
        <v>275</v>
      </c>
      <c r="C15" s="95" t="str">
        <f t="shared" si="0"/>
        <v>MFRB06M40T</v>
      </c>
      <c r="D15" s="93">
        <v>0</v>
      </c>
      <c r="E15" s="93">
        <v>0</v>
      </c>
      <c r="F15" s="93">
        <v>1828</v>
      </c>
      <c r="G15" s="93">
        <v>0</v>
      </c>
      <c r="H15" s="93">
        <v>0</v>
      </c>
      <c r="I15" s="93">
        <v>0</v>
      </c>
      <c r="J15" s="93">
        <v>0</v>
      </c>
      <c r="K15" s="93" t="s">
        <v>242</v>
      </c>
      <c r="L15" s="93" t="s">
        <v>255</v>
      </c>
      <c r="M15" s="93" t="s">
        <v>272</v>
      </c>
      <c r="N15" s="93" t="s">
        <v>239</v>
      </c>
      <c r="O15" s="93" t="s">
        <v>238</v>
      </c>
      <c r="Q15" s="94" t="str">
        <f t="shared" si="1"/>
        <v>MFR</v>
      </c>
      <c r="R15" s="94" t="str">
        <f t="shared" si="2"/>
        <v>B</v>
      </c>
      <c r="S15" s="94" t="str">
        <f t="shared" si="3"/>
        <v>06</v>
      </c>
      <c r="T15" s="94" t="str">
        <f t="shared" si="4"/>
        <v>M</v>
      </c>
      <c r="U15" s="94" t="str">
        <f t="shared" si="6"/>
        <v>40T</v>
      </c>
    </row>
    <row r="16" spans="1:22">
      <c r="A16" s="93">
        <v>145927</v>
      </c>
      <c r="B16" s="93" t="s">
        <v>274</v>
      </c>
      <c r="C16" s="95" t="str">
        <f t="shared" si="0"/>
        <v>MFRB06M30T</v>
      </c>
      <c r="D16" s="93">
        <v>0</v>
      </c>
      <c r="E16" s="93">
        <v>0</v>
      </c>
      <c r="F16" s="93">
        <v>1828</v>
      </c>
      <c r="G16" s="93">
        <v>0</v>
      </c>
      <c r="H16" s="93">
        <v>0</v>
      </c>
      <c r="I16" s="93">
        <v>0</v>
      </c>
      <c r="J16" s="93">
        <v>0</v>
      </c>
      <c r="K16" s="93" t="s">
        <v>242</v>
      </c>
      <c r="L16" s="93" t="s">
        <v>253</v>
      </c>
      <c r="M16" s="93" t="s">
        <v>272</v>
      </c>
      <c r="N16" s="93" t="s">
        <v>239</v>
      </c>
      <c r="O16" s="93" t="s">
        <v>238</v>
      </c>
      <c r="Q16" s="94" t="str">
        <f t="shared" si="1"/>
        <v>MFR</v>
      </c>
      <c r="R16" s="94" t="str">
        <f t="shared" si="2"/>
        <v>B</v>
      </c>
      <c r="S16" s="94" t="str">
        <f t="shared" si="3"/>
        <v>06</v>
      </c>
      <c r="T16" s="94" t="str">
        <f t="shared" si="4"/>
        <v>M</v>
      </c>
      <c r="U16" s="94" t="str">
        <f t="shared" si="6"/>
        <v>30T</v>
      </c>
    </row>
    <row r="17" spans="1:21">
      <c r="A17" s="93">
        <v>145928</v>
      </c>
      <c r="B17" s="93" t="s">
        <v>273</v>
      </c>
      <c r="C17" s="95" t="str">
        <f t="shared" si="0"/>
        <v>MFRB06M27T</v>
      </c>
      <c r="D17" s="93">
        <v>0</v>
      </c>
      <c r="E17" s="93">
        <v>0</v>
      </c>
      <c r="F17" s="93">
        <v>1828</v>
      </c>
      <c r="G17" s="93">
        <v>0</v>
      </c>
      <c r="H17" s="93">
        <v>0</v>
      </c>
      <c r="I17" s="93">
        <v>0</v>
      </c>
      <c r="J17" s="93">
        <v>0</v>
      </c>
      <c r="K17" s="93" t="s">
        <v>242</v>
      </c>
      <c r="L17" s="93" t="s">
        <v>251</v>
      </c>
      <c r="M17" s="93" t="s">
        <v>272</v>
      </c>
      <c r="N17" s="93" t="s">
        <v>239</v>
      </c>
      <c r="O17" s="93" t="s">
        <v>238</v>
      </c>
      <c r="Q17" s="94" t="str">
        <f t="shared" si="1"/>
        <v>MFR</v>
      </c>
      <c r="R17" s="94" t="str">
        <f t="shared" si="2"/>
        <v>B</v>
      </c>
      <c r="S17" s="94" t="str">
        <f t="shared" si="3"/>
        <v>06</v>
      </c>
      <c r="T17" s="94" t="str">
        <f t="shared" si="4"/>
        <v>M</v>
      </c>
      <c r="U17" s="94" t="str">
        <f t="shared" si="6"/>
        <v>27T</v>
      </c>
    </row>
    <row r="18" spans="1:21">
      <c r="A18" s="93">
        <v>145932</v>
      </c>
      <c r="B18" s="93" t="s">
        <v>271</v>
      </c>
      <c r="C18" s="95" t="str">
        <f t="shared" si="0"/>
        <v>MFRR06M50I</v>
      </c>
      <c r="D18" s="93">
        <v>0</v>
      </c>
      <c r="E18" s="93">
        <v>0</v>
      </c>
      <c r="F18" s="93">
        <v>2842</v>
      </c>
      <c r="G18" s="93">
        <v>0</v>
      </c>
      <c r="H18" s="93">
        <v>0</v>
      </c>
      <c r="I18" s="93">
        <v>0</v>
      </c>
      <c r="J18" s="93">
        <v>0</v>
      </c>
      <c r="K18" s="93" t="s">
        <v>242</v>
      </c>
      <c r="L18" s="93" t="s">
        <v>257</v>
      </c>
      <c r="M18" s="93" t="s">
        <v>263</v>
      </c>
      <c r="N18" s="93" t="s">
        <v>244</v>
      </c>
      <c r="O18" s="93" t="s">
        <v>238</v>
      </c>
      <c r="Q18" s="94" t="str">
        <f t="shared" si="1"/>
        <v>MFR</v>
      </c>
      <c r="R18" s="94" t="str">
        <f t="shared" si="2"/>
        <v>R</v>
      </c>
      <c r="S18" s="94" t="str">
        <f t="shared" si="3"/>
        <v>06</v>
      </c>
      <c r="T18" s="94" t="str">
        <f t="shared" si="4"/>
        <v>M</v>
      </c>
      <c r="U18" s="94" t="str">
        <f t="shared" si="6"/>
        <v>50I</v>
      </c>
    </row>
    <row r="19" spans="1:21">
      <c r="A19" s="93">
        <v>145933</v>
      </c>
      <c r="B19" s="93" t="s">
        <v>270</v>
      </c>
      <c r="C19" s="95" t="str">
        <f t="shared" si="0"/>
        <v>MFRR06M40I</v>
      </c>
      <c r="D19" s="93">
        <v>0</v>
      </c>
      <c r="E19" s="93">
        <v>0</v>
      </c>
      <c r="F19" s="93">
        <v>2842</v>
      </c>
      <c r="G19" s="93">
        <v>0</v>
      </c>
      <c r="H19" s="93">
        <v>0</v>
      </c>
      <c r="I19" s="93">
        <v>0</v>
      </c>
      <c r="J19" s="93">
        <v>0</v>
      </c>
      <c r="K19" s="93" t="s">
        <v>242</v>
      </c>
      <c r="L19" s="93" t="s">
        <v>255</v>
      </c>
      <c r="M19" s="93" t="s">
        <v>263</v>
      </c>
      <c r="N19" s="93" t="s">
        <v>244</v>
      </c>
      <c r="O19" s="93" t="s">
        <v>238</v>
      </c>
      <c r="Q19" s="94" t="str">
        <f t="shared" si="1"/>
        <v>MFR</v>
      </c>
      <c r="R19" s="94" t="str">
        <f t="shared" si="2"/>
        <v>R</v>
      </c>
      <c r="S19" s="94" t="str">
        <f t="shared" si="3"/>
        <v>06</v>
      </c>
      <c r="T19" s="94" t="str">
        <f t="shared" si="4"/>
        <v>M</v>
      </c>
      <c r="U19" s="94" t="str">
        <f t="shared" si="6"/>
        <v>40I</v>
      </c>
    </row>
    <row r="20" spans="1:21">
      <c r="A20" s="93">
        <v>145934</v>
      </c>
      <c r="B20" s="93" t="s">
        <v>269</v>
      </c>
      <c r="C20" s="95" t="str">
        <f t="shared" si="0"/>
        <v>MFRR06M30I</v>
      </c>
      <c r="D20" s="93">
        <v>0</v>
      </c>
      <c r="E20" s="93">
        <v>0</v>
      </c>
      <c r="F20" s="93">
        <v>2842</v>
      </c>
      <c r="G20" s="93">
        <v>0</v>
      </c>
      <c r="H20" s="93">
        <v>0</v>
      </c>
      <c r="I20" s="93">
        <v>0</v>
      </c>
      <c r="J20" s="93">
        <v>0</v>
      </c>
      <c r="K20" s="93" t="s">
        <v>242</v>
      </c>
      <c r="L20" s="93" t="s">
        <v>253</v>
      </c>
      <c r="M20" s="93" t="s">
        <v>263</v>
      </c>
      <c r="N20" s="93" t="s">
        <v>244</v>
      </c>
      <c r="O20" s="93" t="s">
        <v>238</v>
      </c>
      <c r="Q20" s="94" t="str">
        <f t="shared" si="1"/>
        <v>MFR</v>
      </c>
      <c r="R20" s="94" t="str">
        <f t="shared" si="2"/>
        <v>R</v>
      </c>
      <c r="S20" s="94" t="str">
        <f t="shared" si="3"/>
        <v>06</v>
      </c>
      <c r="T20" s="94" t="str">
        <f t="shared" si="4"/>
        <v>M</v>
      </c>
      <c r="U20" s="94" t="str">
        <f t="shared" si="6"/>
        <v>30I</v>
      </c>
    </row>
    <row r="21" spans="1:21">
      <c r="A21" s="93">
        <v>145935</v>
      </c>
      <c r="B21" s="93" t="s">
        <v>268</v>
      </c>
      <c r="C21" s="95" t="str">
        <f t="shared" si="0"/>
        <v>MFRR06M27I</v>
      </c>
      <c r="D21" s="93">
        <v>0</v>
      </c>
      <c r="E21" s="93">
        <v>0</v>
      </c>
      <c r="F21" s="93">
        <v>2842</v>
      </c>
      <c r="G21" s="93">
        <v>0</v>
      </c>
      <c r="H21" s="93">
        <v>0</v>
      </c>
      <c r="I21" s="93">
        <v>0</v>
      </c>
      <c r="J21" s="93">
        <v>0</v>
      </c>
      <c r="K21" s="93" t="s">
        <v>242</v>
      </c>
      <c r="L21" s="93" t="s">
        <v>251</v>
      </c>
      <c r="M21" s="93" t="s">
        <v>263</v>
      </c>
      <c r="N21" s="93" t="s">
        <v>244</v>
      </c>
      <c r="O21" s="93" t="s">
        <v>238</v>
      </c>
      <c r="Q21" s="94" t="str">
        <f t="shared" si="1"/>
        <v>MFR</v>
      </c>
      <c r="R21" s="94" t="str">
        <f t="shared" si="2"/>
        <v>R</v>
      </c>
      <c r="S21" s="94" t="str">
        <f t="shared" si="3"/>
        <v>06</v>
      </c>
      <c r="T21" s="94" t="str">
        <f t="shared" si="4"/>
        <v>M</v>
      </c>
      <c r="U21" s="94" t="str">
        <f t="shared" si="6"/>
        <v>27I</v>
      </c>
    </row>
    <row r="22" spans="1:21">
      <c r="A22" s="93">
        <v>145939</v>
      </c>
      <c r="B22" s="93" t="s">
        <v>267</v>
      </c>
      <c r="C22" s="95" t="str">
        <f t="shared" si="0"/>
        <v>MFRB06M50I</v>
      </c>
      <c r="D22" s="93">
        <v>0</v>
      </c>
      <c r="E22" s="93">
        <v>0</v>
      </c>
      <c r="F22" s="93">
        <v>2967</v>
      </c>
      <c r="G22" s="93">
        <v>0</v>
      </c>
      <c r="H22" s="93">
        <v>0</v>
      </c>
      <c r="I22" s="93">
        <v>0</v>
      </c>
      <c r="J22" s="93">
        <v>0</v>
      </c>
      <c r="K22" s="93" t="s">
        <v>242</v>
      </c>
      <c r="L22" s="93" t="s">
        <v>257</v>
      </c>
      <c r="M22" s="93" t="s">
        <v>263</v>
      </c>
      <c r="N22" s="93" t="s">
        <v>239</v>
      </c>
      <c r="O22" s="93" t="s">
        <v>238</v>
      </c>
      <c r="Q22" s="94" t="str">
        <f t="shared" si="1"/>
        <v>MFR</v>
      </c>
      <c r="R22" s="94" t="str">
        <f t="shared" si="2"/>
        <v>B</v>
      </c>
      <c r="S22" s="94" t="str">
        <f t="shared" si="3"/>
        <v>06</v>
      </c>
      <c r="T22" s="94" t="str">
        <f t="shared" si="4"/>
        <v>M</v>
      </c>
      <c r="U22" s="94" t="str">
        <f t="shared" si="6"/>
        <v>50I</v>
      </c>
    </row>
    <row r="23" spans="1:21">
      <c r="A23" s="93">
        <v>145940</v>
      </c>
      <c r="B23" s="93" t="s">
        <v>266</v>
      </c>
      <c r="C23" s="95" t="str">
        <f t="shared" si="0"/>
        <v>MFRB06M40I</v>
      </c>
      <c r="D23" s="93">
        <v>0</v>
      </c>
      <c r="E23" s="93">
        <v>0</v>
      </c>
      <c r="F23" s="93">
        <v>2967</v>
      </c>
      <c r="G23" s="93">
        <v>0</v>
      </c>
      <c r="H23" s="93">
        <v>0</v>
      </c>
      <c r="I23" s="93">
        <v>0</v>
      </c>
      <c r="J23" s="93">
        <v>0</v>
      </c>
      <c r="K23" s="93" t="s">
        <v>242</v>
      </c>
      <c r="L23" s="93" t="s">
        <v>255</v>
      </c>
      <c r="M23" s="93" t="s">
        <v>263</v>
      </c>
      <c r="N23" s="93" t="s">
        <v>239</v>
      </c>
      <c r="O23" s="93" t="s">
        <v>238</v>
      </c>
      <c r="Q23" s="94" t="str">
        <f t="shared" si="1"/>
        <v>MFR</v>
      </c>
      <c r="R23" s="94" t="str">
        <f t="shared" si="2"/>
        <v>B</v>
      </c>
      <c r="S23" s="94" t="str">
        <f t="shared" si="3"/>
        <v>06</v>
      </c>
      <c r="T23" s="94" t="str">
        <f t="shared" si="4"/>
        <v>M</v>
      </c>
      <c r="U23" s="94" t="str">
        <f t="shared" si="6"/>
        <v>40I</v>
      </c>
    </row>
    <row r="24" spans="1:21">
      <c r="A24" s="93">
        <v>145941</v>
      </c>
      <c r="B24" s="93" t="s">
        <v>265</v>
      </c>
      <c r="C24" s="95" t="str">
        <f t="shared" si="0"/>
        <v>MFRB06M30I</v>
      </c>
      <c r="D24" s="93">
        <v>0</v>
      </c>
      <c r="E24" s="93">
        <v>0</v>
      </c>
      <c r="F24" s="93">
        <v>2967</v>
      </c>
      <c r="G24" s="93">
        <v>0</v>
      </c>
      <c r="H24" s="93">
        <v>0</v>
      </c>
      <c r="I24" s="93">
        <v>0</v>
      </c>
      <c r="J24" s="93">
        <v>0</v>
      </c>
      <c r="K24" s="93" t="s">
        <v>242</v>
      </c>
      <c r="L24" s="93" t="s">
        <v>253</v>
      </c>
      <c r="M24" s="93" t="s">
        <v>263</v>
      </c>
      <c r="N24" s="93" t="s">
        <v>239</v>
      </c>
      <c r="O24" s="93" t="s">
        <v>238</v>
      </c>
      <c r="Q24" s="94" t="str">
        <f t="shared" si="1"/>
        <v>MFR</v>
      </c>
      <c r="R24" s="94" t="str">
        <f t="shared" si="2"/>
        <v>B</v>
      </c>
      <c r="S24" s="94" t="str">
        <f t="shared" si="3"/>
        <v>06</v>
      </c>
      <c r="T24" s="94" t="str">
        <f t="shared" si="4"/>
        <v>M</v>
      </c>
      <c r="U24" s="94" t="str">
        <f t="shared" si="6"/>
        <v>30I</v>
      </c>
    </row>
    <row r="25" spans="1:21">
      <c r="A25" s="93">
        <v>145942</v>
      </c>
      <c r="B25" s="93" t="s">
        <v>264</v>
      </c>
      <c r="C25" s="95" t="str">
        <f t="shared" si="0"/>
        <v>MFRB06M27I</v>
      </c>
      <c r="D25" s="93">
        <v>0</v>
      </c>
      <c r="E25" s="93">
        <v>0</v>
      </c>
      <c r="F25" s="93">
        <v>2967</v>
      </c>
      <c r="G25" s="93">
        <v>0</v>
      </c>
      <c r="H25" s="93">
        <v>0</v>
      </c>
      <c r="I25" s="93">
        <v>0</v>
      </c>
      <c r="J25" s="93">
        <v>0</v>
      </c>
      <c r="K25" s="93" t="s">
        <v>242</v>
      </c>
      <c r="L25" s="93" t="s">
        <v>251</v>
      </c>
      <c r="M25" s="93" t="s">
        <v>263</v>
      </c>
      <c r="N25" s="93" t="s">
        <v>239</v>
      </c>
      <c r="O25" s="93" t="s">
        <v>238</v>
      </c>
      <c r="Q25" s="94" t="str">
        <f t="shared" si="1"/>
        <v>MFR</v>
      </c>
      <c r="R25" s="94" t="str">
        <f t="shared" si="2"/>
        <v>B</v>
      </c>
      <c r="S25" s="94" t="str">
        <f t="shared" si="3"/>
        <v>06</v>
      </c>
      <c r="T25" s="94" t="str">
        <f t="shared" si="4"/>
        <v>M</v>
      </c>
      <c r="U25" s="94" t="str">
        <f t="shared" si="6"/>
        <v>27I</v>
      </c>
    </row>
    <row r="26" spans="1:21">
      <c r="A26" s="93">
        <v>145960</v>
      </c>
      <c r="B26" s="93" t="s">
        <v>262</v>
      </c>
      <c r="C26" s="95" t="str">
        <f t="shared" si="0"/>
        <v>MFRR06M50BT</v>
      </c>
      <c r="D26" s="93">
        <v>0</v>
      </c>
      <c r="E26" s="93">
        <v>0</v>
      </c>
      <c r="F26" s="93">
        <v>2103</v>
      </c>
      <c r="G26" s="93">
        <v>0</v>
      </c>
      <c r="H26" s="93">
        <v>0</v>
      </c>
      <c r="I26" s="93">
        <v>0</v>
      </c>
      <c r="J26" s="93">
        <v>0</v>
      </c>
      <c r="K26" s="93" t="s">
        <v>242</v>
      </c>
      <c r="L26" s="93" t="s">
        <v>257</v>
      </c>
      <c r="M26" s="93" t="s">
        <v>250</v>
      </c>
      <c r="N26" s="93" t="s">
        <v>244</v>
      </c>
      <c r="O26" s="93" t="s">
        <v>238</v>
      </c>
      <c r="Q26" s="94" t="str">
        <f t="shared" si="1"/>
        <v>MFR</v>
      </c>
      <c r="R26" s="94" t="str">
        <f t="shared" si="2"/>
        <v>R</v>
      </c>
      <c r="S26" s="94" t="str">
        <f t="shared" si="3"/>
        <v>06</v>
      </c>
      <c r="T26" s="94" t="str">
        <f t="shared" si="4"/>
        <v>M</v>
      </c>
      <c r="U26" s="94" t="str">
        <f t="shared" si="6"/>
        <v>50BT</v>
      </c>
    </row>
    <row r="27" spans="1:21">
      <c r="A27" s="93">
        <v>145961</v>
      </c>
      <c r="B27" s="93" t="s">
        <v>261</v>
      </c>
      <c r="C27" s="95" t="str">
        <f t="shared" si="0"/>
        <v>MFRR06M40BT</v>
      </c>
      <c r="D27" s="93">
        <v>0</v>
      </c>
      <c r="E27" s="93">
        <v>0</v>
      </c>
      <c r="F27" s="93">
        <v>2103</v>
      </c>
      <c r="G27" s="93">
        <v>0</v>
      </c>
      <c r="H27" s="93">
        <v>0</v>
      </c>
      <c r="I27" s="93">
        <v>0</v>
      </c>
      <c r="J27" s="93">
        <v>0</v>
      </c>
      <c r="K27" s="93" t="s">
        <v>242</v>
      </c>
      <c r="L27" s="93" t="s">
        <v>255</v>
      </c>
      <c r="M27" s="93" t="s">
        <v>250</v>
      </c>
      <c r="N27" s="93" t="s">
        <v>244</v>
      </c>
      <c r="O27" s="93" t="s">
        <v>238</v>
      </c>
      <c r="Q27" s="94" t="str">
        <f t="shared" si="1"/>
        <v>MFR</v>
      </c>
      <c r="R27" s="94" t="str">
        <f t="shared" si="2"/>
        <v>R</v>
      </c>
      <c r="S27" s="94" t="str">
        <f t="shared" si="3"/>
        <v>06</v>
      </c>
      <c r="T27" s="94" t="str">
        <f t="shared" si="4"/>
        <v>M</v>
      </c>
      <c r="U27" s="94" t="str">
        <f t="shared" si="6"/>
        <v>40BT</v>
      </c>
    </row>
    <row r="28" spans="1:21">
      <c r="A28" s="93">
        <v>145962</v>
      </c>
      <c r="B28" s="93" t="s">
        <v>260</v>
      </c>
      <c r="C28" s="95" t="str">
        <f t="shared" si="0"/>
        <v>MFRR06M30BT</v>
      </c>
      <c r="D28" s="93">
        <v>0</v>
      </c>
      <c r="E28" s="93">
        <v>0</v>
      </c>
      <c r="F28" s="93">
        <v>2103</v>
      </c>
      <c r="G28" s="93">
        <v>0</v>
      </c>
      <c r="H28" s="93">
        <v>0</v>
      </c>
      <c r="I28" s="93">
        <v>0</v>
      </c>
      <c r="J28" s="93">
        <v>0</v>
      </c>
      <c r="K28" s="93" t="s">
        <v>242</v>
      </c>
      <c r="L28" s="93" t="s">
        <v>253</v>
      </c>
      <c r="M28" s="93" t="s">
        <v>250</v>
      </c>
      <c r="N28" s="93" t="s">
        <v>244</v>
      </c>
      <c r="O28" s="93" t="s">
        <v>238</v>
      </c>
      <c r="Q28" s="94" t="str">
        <f t="shared" si="1"/>
        <v>MFR</v>
      </c>
      <c r="R28" s="94" t="str">
        <f t="shared" si="2"/>
        <v>R</v>
      </c>
      <c r="S28" s="94" t="str">
        <f t="shared" si="3"/>
        <v>06</v>
      </c>
      <c r="T28" s="94" t="str">
        <f t="shared" si="4"/>
        <v>M</v>
      </c>
      <c r="U28" s="94" t="str">
        <f t="shared" si="6"/>
        <v>30BT</v>
      </c>
    </row>
    <row r="29" spans="1:21">
      <c r="A29" s="93">
        <v>145963</v>
      </c>
      <c r="B29" s="93" t="s">
        <v>259</v>
      </c>
      <c r="C29" s="95" t="str">
        <f t="shared" si="0"/>
        <v>MFRR06M27BT</v>
      </c>
      <c r="D29" s="93">
        <v>0</v>
      </c>
      <c r="E29" s="93">
        <v>0</v>
      </c>
      <c r="F29" s="93">
        <v>2103</v>
      </c>
      <c r="G29" s="93">
        <v>0</v>
      </c>
      <c r="H29" s="93">
        <v>0</v>
      </c>
      <c r="I29" s="93">
        <v>0</v>
      </c>
      <c r="J29" s="93">
        <v>0</v>
      </c>
      <c r="K29" s="93" t="s">
        <v>242</v>
      </c>
      <c r="L29" s="93" t="s">
        <v>251</v>
      </c>
      <c r="M29" s="93" t="s">
        <v>250</v>
      </c>
      <c r="N29" s="93" t="s">
        <v>244</v>
      </c>
      <c r="O29" s="93" t="s">
        <v>238</v>
      </c>
      <c r="Q29" s="94" t="str">
        <f t="shared" si="1"/>
        <v>MFR</v>
      </c>
      <c r="R29" s="94" t="str">
        <f t="shared" si="2"/>
        <v>R</v>
      </c>
      <c r="S29" s="94" t="str">
        <f t="shared" si="3"/>
        <v>06</v>
      </c>
      <c r="T29" s="94" t="str">
        <f t="shared" si="4"/>
        <v>M</v>
      </c>
      <c r="U29" s="94" t="str">
        <f t="shared" si="6"/>
        <v>27BT</v>
      </c>
    </row>
    <row r="30" spans="1:21">
      <c r="A30" s="93">
        <v>145967</v>
      </c>
      <c r="B30" s="93" t="s">
        <v>258</v>
      </c>
      <c r="C30" s="95" t="str">
        <f t="shared" si="0"/>
        <v>MFRB06M50BT</v>
      </c>
      <c r="D30" s="93">
        <v>0</v>
      </c>
      <c r="E30" s="93">
        <v>0</v>
      </c>
      <c r="F30" s="93">
        <v>2228</v>
      </c>
      <c r="G30" s="93">
        <v>0</v>
      </c>
      <c r="H30" s="93">
        <v>0</v>
      </c>
      <c r="I30" s="93">
        <v>0</v>
      </c>
      <c r="J30" s="93">
        <v>0</v>
      </c>
      <c r="K30" s="93" t="s">
        <v>242</v>
      </c>
      <c r="L30" s="93" t="s">
        <v>257</v>
      </c>
      <c r="M30" s="93" t="s">
        <v>250</v>
      </c>
      <c r="N30" s="93" t="s">
        <v>239</v>
      </c>
      <c r="O30" s="93" t="s">
        <v>238</v>
      </c>
      <c r="Q30" s="94" t="str">
        <f t="shared" si="1"/>
        <v>MFR</v>
      </c>
      <c r="R30" s="94" t="str">
        <f t="shared" si="2"/>
        <v>B</v>
      </c>
      <c r="S30" s="94" t="str">
        <f t="shared" si="3"/>
        <v>06</v>
      </c>
      <c r="T30" s="94" t="str">
        <f t="shared" si="4"/>
        <v>M</v>
      </c>
      <c r="U30" s="94" t="str">
        <f t="shared" si="6"/>
        <v>50BT</v>
      </c>
    </row>
    <row r="31" spans="1:21">
      <c r="A31" s="93">
        <v>145968</v>
      </c>
      <c r="B31" s="93" t="s">
        <v>256</v>
      </c>
      <c r="C31" s="95" t="str">
        <f t="shared" si="0"/>
        <v>MFRB06M40BT</v>
      </c>
      <c r="D31" s="93">
        <v>0</v>
      </c>
      <c r="E31" s="93">
        <v>0</v>
      </c>
      <c r="F31" s="93">
        <v>2228</v>
      </c>
      <c r="G31" s="93">
        <v>0</v>
      </c>
      <c r="H31" s="93">
        <v>0</v>
      </c>
      <c r="I31" s="93">
        <v>0</v>
      </c>
      <c r="J31" s="93">
        <v>0</v>
      </c>
      <c r="K31" s="93" t="s">
        <v>242</v>
      </c>
      <c r="L31" s="93" t="s">
        <v>255</v>
      </c>
      <c r="M31" s="93" t="s">
        <v>250</v>
      </c>
      <c r="N31" s="93" t="s">
        <v>239</v>
      </c>
      <c r="O31" s="93" t="s">
        <v>238</v>
      </c>
      <c r="Q31" s="94" t="str">
        <f t="shared" si="1"/>
        <v>MFR</v>
      </c>
      <c r="R31" s="94" t="str">
        <f t="shared" si="2"/>
        <v>B</v>
      </c>
      <c r="S31" s="94" t="str">
        <f t="shared" si="3"/>
        <v>06</v>
      </c>
      <c r="T31" s="94" t="str">
        <f t="shared" si="4"/>
        <v>M</v>
      </c>
      <c r="U31" s="94" t="str">
        <f t="shared" si="6"/>
        <v>40BT</v>
      </c>
    </row>
    <row r="32" spans="1:21">
      <c r="A32" s="93">
        <v>145969</v>
      </c>
      <c r="B32" s="93" t="s">
        <v>254</v>
      </c>
      <c r="C32" s="95" t="str">
        <f t="shared" si="0"/>
        <v>MFRB06M30BT</v>
      </c>
      <c r="D32" s="93">
        <v>0</v>
      </c>
      <c r="E32" s="93">
        <v>0</v>
      </c>
      <c r="F32" s="93">
        <v>2228</v>
      </c>
      <c r="G32" s="93">
        <v>0</v>
      </c>
      <c r="H32" s="93">
        <v>0</v>
      </c>
      <c r="I32" s="93">
        <v>0</v>
      </c>
      <c r="J32" s="93">
        <v>0</v>
      </c>
      <c r="K32" s="93" t="s">
        <v>242</v>
      </c>
      <c r="L32" s="93" t="s">
        <v>253</v>
      </c>
      <c r="M32" s="93" t="s">
        <v>250</v>
      </c>
      <c r="N32" s="93" t="s">
        <v>239</v>
      </c>
      <c r="O32" s="93" t="s">
        <v>238</v>
      </c>
      <c r="Q32" s="94" t="str">
        <f t="shared" si="1"/>
        <v>MFR</v>
      </c>
      <c r="R32" s="94" t="str">
        <f t="shared" si="2"/>
        <v>B</v>
      </c>
      <c r="S32" s="94" t="str">
        <f t="shared" si="3"/>
        <v>06</v>
      </c>
      <c r="T32" s="94" t="str">
        <f t="shared" si="4"/>
        <v>M</v>
      </c>
      <c r="U32" s="94" t="str">
        <f t="shared" si="6"/>
        <v>30BT</v>
      </c>
    </row>
    <row r="33" spans="1:21">
      <c r="A33" s="93">
        <v>145970</v>
      </c>
      <c r="B33" s="93" t="s">
        <v>252</v>
      </c>
      <c r="C33" s="95" t="str">
        <f t="shared" si="0"/>
        <v>MFRB06M27BT</v>
      </c>
      <c r="D33" s="93">
        <v>0</v>
      </c>
      <c r="E33" s="93">
        <v>0</v>
      </c>
      <c r="F33" s="93">
        <v>2228</v>
      </c>
      <c r="G33" s="93">
        <v>0</v>
      </c>
      <c r="H33" s="93">
        <v>0</v>
      </c>
      <c r="I33" s="93">
        <v>0</v>
      </c>
      <c r="J33" s="93">
        <v>0</v>
      </c>
      <c r="K33" s="93" t="s">
        <v>242</v>
      </c>
      <c r="L33" s="93" t="s">
        <v>251</v>
      </c>
      <c r="M33" s="93" t="s">
        <v>250</v>
      </c>
      <c r="N33" s="93" t="s">
        <v>239</v>
      </c>
      <c r="O33" s="93" t="s">
        <v>238</v>
      </c>
      <c r="Q33" s="94" t="str">
        <f t="shared" si="1"/>
        <v>MFR</v>
      </c>
      <c r="R33" s="94" t="str">
        <f t="shared" si="2"/>
        <v>B</v>
      </c>
      <c r="S33" s="94" t="str">
        <f t="shared" si="3"/>
        <v>06</v>
      </c>
      <c r="T33" s="94" t="str">
        <f t="shared" si="4"/>
        <v>M</v>
      </c>
      <c r="U33" s="94" t="str">
        <f t="shared" si="6"/>
        <v>27BT</v>
      </c>
    </row>
    <row r="34" spans="1:21">
      <c r="A34" s="93">
        <v>145979</v>
      </c>
      <c r="B34" s="93" t="s">
        <v>249</v>
      </c>
      <c r="C34" s="95" t="str">
        <f t="shared" si="0"/>
        <v>MFRR06M25BTD</v>
      </c>
      <c r="D34" s="93">
        <v>0</v>
      </c>
      <c r="E34" s="93">
        <v>0</v>
      </c>
      <c r="F34" s="93">
        <v>2602</v>
      </c>
      <c r="G34" s="93">
        <v>0</v>
      </c>
      <c r="H34" s="93">
        <v>0</v>
      </c>
      <c r="I34" s="93">
        <v>0</v>
      </c>
      <c r="J34" s="93">
        <v>0</v>
      </c>
      <c r="K34" s="93" t="s">
        <v>242</v>
      </c>
      <c r="L34" s="93" t="s">
        <v>247</v>
      </c>
      <c r="M34" s="93" t="s">
        <v>246</v>
      </c>
      <c r="N34" s="93" t="s">
        <v>244</v>
      </c>
      <c r="O34" s="93" t="s">
        <v>238</v>
      </c>
      <c r="Q34" s="94" t="str">
        <f t="shared" si="1"/>
        <v>MFR</v>
      </c>
      <c r="R34" s="94" t="str">
        <f t="shared" si="2"/>
        <v>R</v>
      </c>
      <c r="S34" s="94" t="str">
        <f t="shared" si="3"/>
        <v>06</v>
      </c>
      <c r="T34" s="94" t="str">
        <f t="shared" si="4"/>
        <v>M</v>
      </c>
      <c r="U34" s="94" t="str">
        <f t="shared" si="6"/>
        <v>25BTD</v>
      </c>
    </row>
    <row r="35" spans="1:21">
      <c r="A35" s="93">
        <v>145986</v>
      </c>
      <c r="B35" s="93" t="s">
        <v>248</v>
      </c>
      <c r="C35" s="95" t="str">
        <f t="shared" si="0"/>
        <v>MFRB06M25BTD</v>
      </c>
      <c r="D35" s="93">
        <v>0</v>
      </c>
      <c r="E35" s="93">
        <v>0</v>
      </c>
      <c r="F35" s="93">
        <v>2787</v>
      </c>
      <c r="G35" s="93">
        <v>0</v>
      </c>
      <c r="H35" s="93">
        <v>0</v>
      </c>
      <c r="I35" s="93">
        <v>0</v>
      </c>
      <c r="J35" s="93">
        <v>0</v>
      </c>
      <c r="K35" s="93" t="s">
        <v>242</v>
      </c>
      <c r="L35" s="93" t="s">
        <v>247</v>
      </c>
      <c r="M35" s="93" t="s">
        <v>246</v>
      </c>
      <c r="N35" s="93" t="s">
        <v>239</v>
      </c>
      <c r="O35" s="93" t="s">
        <v>238</v>
      </c>
      <c r="Q35" s="94" t="str">
        <f t="shared" si="1"/>
        <v>MFR</v>
      </c>
      <c r="R35" s="94" t="str">
        <f t="shared" si="2"/>
        <v>B</v>
      </c>
      <c r="S35" s="94" t="str">
        <f t="shared" si="3"/>
        <v>06</v>
      </c>
      <c r="T35" s="94" t="str">
        <f t="shared" si="4"/>
        <v>M</v>
      </c>
      <c r="U35" s="94" t="str">
        <f t="shared" si="6"/>
        <v>25BTD</v>
      </c>
    </row>
    <row r="36" spans="1:21">
      <c r="A36" s="93">
        <v>145992</v>
      </c>
      <c r="B36" s="93" t="s">
        <v>245</v>
      </c>
      <c r="C36" s="95" t="str">
        <f t="shared" si="0"/>
        <v>MFRR06M25ID</v>
      </c>
      <c r="D36" s="93">
        <v>0</v>
      </c>
      <c r="E36" s="93">
        <v>0</v>
      </c>
      <c r="F36" s="93">
        <v>3341</v>
      </c>
      <c r="G36" s="93">
        <v>0</v>
      </c>
      <c r="H36" s="93">
        <v>0</v>
      </c>
      <c r="I36" s="93">
        <v>0</v>
      </c>
      <c r="J36" s="93">
        <v>0</v>
      </c>
      <c r="K36" s="93" t="s">
        <v>242</v>
      </c>
      <c r="L36" s="93" t="s">
        <v>241</v>
      </c>
      <c r="M36" s="93" t="s">
        <v>240</v>
      </c>
      <c r="N36" s="93" t="s">
        <v>244</v>
      </c>
      <c r="O36" s="93" t="s">
        <v>238</v>
      </c>
      <c r="Q36" s="94" t="str">
        <f t="shared" si="1"/>
        <v>MFR</v>
      </c>
      <c r="R36" s="94" t="str">
        <f t="shared" si="2"/>
        <v>R</v>
      </c>
      <c r="S36" s="94" t="str">
        <f t="shared" si="3"/>
        <v>06</v>
      </c>
      <c r="T36" s="94" t="str">
        <f t="shared" si="4"/>
        <v>M</v>
      </c>
      <c r="U36" s="94" t="str">
        <f t="shared" si="6"/>
        <v>25ID</v>
      </c>
    </row>
    <row r="37" spans="1:21">
      <c r="A37" s="93">
        <v>145999</v>
      </c>
      <c r="B37" s="93" t="s">
        <v>243</v>
      </c>
      <c r="C37" s="95" t="str">
        <f t="shared" si="0"/>
        <v>MFRB06M25ID</v>
      </c>
      <c r="D37" s="93">
        <v>0</v>
      </c>
      <c r="E37" s="93">
        <v>0</v>
      </c>
      <c r="F37" s="93">
        <v>3527</v>
      </c>
      <c r="G37" s="93">
        <v>0</v>
      </c>
      <c r="H37" s="93">
        <v>0</v>
      </c>
      <c r="I37" s="93">
        <v>0</v>
      </c>
      <c r="J37" s="93">
        <v>0</v>
      </c>
      <c r="K37" s="93" t="s">
        <v>242</v>
      </c>
      <c r="L37" s="93" t="s">
        <v>241</v>
      </c>
      <c r="M37" s="93" t="s">
        <v>240</v>
      </c>
      <c r="N37" s="93" t="s">
        <v>239</v>
      </c>
      <c r="O37" s="93" t="s">
        <v>238</v>
      </c>
      <c r="Q37" s="94" t="str">
        <f t="shared" si="1"/>
        <v>MFR</v>
      </c>
      <c r="R37" s="94" t="str">
        <f t="shared" si="2"/>
        <v>B</v>
      </c>
      <c r="S37" s="94" t="str">
        <f t="shared" si="3"/>
        <v>06</v>
      </c>
      <c r="T37" s="94" t="str">
        <f t="shared" si="4"/>
        <v>M</v>
      </c>
      <c r="U37" s="94" t="str">
        <f t="shared" si="6"/>
        <v>25ID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A7A392F-F524-4A60-8A38-C11F214F628B}">
  <ds:schemaRefs/>
</ds:datastoreItem>
</file>

<file path=customXml/itemProps2.xml><?xml version="1.0" encoding="utf-8"?>
<ds:datastoreItem xmlns:ds="http://schemas.openxmlformats.org/officeDocument/2006/customXml" ds:itemID="{E0CA5442-C2DA-43F1-A162-45733585A7FC}">
  <ds:schemaRefs/>
</ds:datastoreItem>
</file>

<file path=customXml/itemProps3.xml><?xml version="1.0" encoding="utf-8"?>
<ds:datastoreItem xmlns:ds="http://schemas.openxmlformats.org/officeDocument/2006/customXml" ds:itemID="{02797C48-CC81-4B8D-8032-B370D450D1E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MFR06W-DATA</vt:lpstr>
      <vt:lpstr>Stock Item (Read Me)</vt:lpstr>
      <vt:lpstr>MFR06W-SKU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2025-03-28T05:13:45Z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
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 (2)" sheetId="26" r:id="rId4"/>
  </sheets>
  <externalReferences>
    <externalReference r:id="rId5"/>
  </externalReferences>
  <definedNames>
    <definedName name="_xlnm._FilterDatabase" localSheetId="3" hidden="1">'Result (2)'!$A$1:$O$85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5" i="23" l="1"/>
  <c r="M15" i="23" s="1"/>
  <c r="Q15" i="23"/>
  <c r="L10" i="23" l="1"/>
  <c r="M14" i="23"/>
  <c r="M13" i="23"/>
  <c r="M12" i="23"/>
  <c r="M11" i="23"/>
  <c r="M10" i="23"/>
  <c r="L6" i="23"/>
  <c r="M6" i="23" s="1"/>
  <c r="M8" i="23"/>
  <c r="M9" i="23"/>
  <c r="Q7" i="23"/>
  <c r="L7" i="23" s="1"/>
  <c r="M7" i="23" s="1"/>
  <c r="Q6" i="23"/>
  <c r="Q4" i="23"/>
  <c r="L4" i="23" s="1"/>
  <c r="M4" i="23" s="1"/>
  <c r="Q3" i="23"/>
  <c r="L3" i="23" s="1"/>
  <c r="M3" i="23" s="1"/>
  <c r="Q23" i="23" l="1"/>
  <c r="R23" i="23" s="1"/>
  <c r="Q21" i="23"/>
  <c r="R21" i="23" s="1"/>
  <c r="Q2" i="23"/>
  <c r="L2" i="23" s="1"/>
  <c r="M2" i="23" s="1"/>
  <c r="M17" i="23" s="1"/>
  <c r="M24" i="23" l="1"/>
  <c r="M20" i="23"/>
  <c r="M22" i="23"/>
  <c r="M19" i="23"/>
  <c r="M23" i="23"/>
  <c r="M21" i="23"/>
  <c r="D3" i="24"/>
  <c r="H5" i="24" l="1"/>
  <c r="G3" i="24"/>
  <c r="H3" i="24" l="1"/>
  <c r="H4" i="24" s="1"/>
  <c r="G4" i="24" s="1"/>
  <c r="F3" i="24"/>
  <c r="A2" i="23" l="1"/>
  <c r="E3" i="24"/>
  <c r="H8" i="24" l="1"/>
  <c r="I3" i="24"/>
  <c r="I7" i="24" s="1"/>
  <c r="H7" i="24" l="1"/>
  <c r="H6" i="24"/>
  <c r="F16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F4" i="23" s="1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<sst xmlns="http://schemas.openxmlformats.org/spreadsheetml/2006/main" count="1018" uniqueCount="404">
  <si>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</si>
  <si>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</si>
  <si>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</si>
  <si>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</si>
  <si>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</si>
  <si>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</si>
  <si>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</si>
  <si>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</si>
  <si>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</si>
  <si>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</si>
  <si>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</si>
  <si>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</si>
  <si>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</si>
  <si>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</si>
  <si>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</si>
  <si>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</si>
  <si>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</si>
  <si>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</si>
  <si>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</si>
  <si>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</si>
  <si>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</si>
  <si>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</si>
  <si>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</si>
  <si>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</si>
  <si>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</si>
  <si>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</si>
  <si>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</si>
  <si>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</si>
  <si>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</si>
  <si>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</si>
  <si>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</si>
  <si>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</si>
  <si>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</si>
  <si>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</si>
  <si>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</si>
  <si>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</si>
  <si>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</si>
  <si>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</si>
  <si>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</si>
  <si>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</si>
  <si>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</si>
  <si>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</si>
  <si>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</si>
  <si>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</si>
  <si>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</si>
  <si>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</si>
  <si>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</si>
  <si>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</si>
  <si>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</si>
  <si>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</si>
  <si>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</si>
  <si>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</si>
  <si>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</si>
  <si>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</si>
  <si>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</si>
  <si>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</si>
  <si>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</si>
  <si>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</si>
  <si>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</si>
  <si>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</si>
  <si>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</si>
  <si>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</si>
  <si>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</si>
  <si>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</si>
  <si>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</si>
  <si>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</si>
  <si>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</si>
  <si>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</si>
  <si>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</si>
  <si>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</si>
  <si>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</si>
  <si>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</si>
  <si>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</si>
  <si>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</si>
  <si>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</si>
  <si>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</si>
  <si>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</si>
  <si>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</si>
  <si>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</si>
  <si>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</si>
  <si>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</si>
  <si>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</si>
  <si>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</si>
  <si>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</si>
  <si>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</si>
  <si>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</si>
  <si>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</si>
  <si>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</si>
  <si>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</si>
  <si>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</si>
  <si>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</si>
  <si>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</si>
  <si>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</si>
  <si>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</si>
  <si>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</si>
  <si>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</si>
  <si>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</si>
  <si>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</si>
  <si>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</si>
  <si>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</si>
  <si>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</si>
  <si>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</si>
  <si>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</si>
  <si>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</si>
  <si>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</si>
  <si>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</si>
  <si>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</si>
  <si>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</si>
  <si>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</si>
  <si>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</si>
  <si>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</si>
  <si>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</si>
  <si>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</si>
  <si>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</si>
  <si>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</si>
  <si>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</si>
  <si>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</si>
  <si>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</si>
  <si>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</si>
  <si>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</si>
  <si>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</si>
  <si>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</si>
  <si>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</si>
  <si>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</si>
  <si>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</si>
  <si>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</si>
  <si>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</si>
  <si>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</si>
  <si>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</si>
  <si>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</si>
  <si>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</si>
  <si>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</si>
  <si>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</si>
  <si>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</si>
  <si>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</si>
  <si>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</si>
  <si>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</si>
  <si>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</si>
  <si>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</si>
  <si>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</si>
  <si>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</si>
  <si>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</si>
  <si>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</si>
  <si>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</si>
  <si>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</si>
  <si>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</si>
  <si>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</si>
  <si>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</si>
  <si>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</si>
  <si>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</si>
  <si>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</si>
  <si>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</si>
  <si>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</si>
  <si>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</si>
  <si>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</si>
  <si>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</si>
  <si>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</si>
  <si>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</si>
  <si>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</si>
  <si>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</si>
  <si>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</si>
  <si>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</si>
  <si>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</si>
  <si>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</si>
  <si>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</si>
  <si>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</si>
  <si>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</si>
  <si>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</si>
  <si>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</si>
  <si>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</si>
  <si>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</si>
  <si>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</si>
  <si>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</si>
  <si>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</si>
  <si>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</si>
  <si>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</si>
  <si>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</si>
  <si>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</si>
  <si>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</si>
  <si>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</si>
  <si>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</si>
  <si>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</si>
  <si>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</si>
  <si>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</si>
  <si>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</si>
  <si>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</si>
  <si>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</si>
  <si>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</si>
  <si>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</si>
  <si>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</si>
  <si>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</si>
  <si>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</si>
  <si>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</si>
  <si>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</si>
  <si>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</si>
  <si>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</si>
  <si>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</si>
  <si>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</si>
  <si>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</si>
  <si>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</si>
  <si>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</si>
  <si>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</si>
  <si>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</si>
  <si>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</si>
  <si>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</si>
  <si>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</si>
  <si>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</si>
  <si>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</si>
  <si>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</si>
  <si>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</si>
  <si>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T</t>
  </si>
  <si>
    <t>-</t>
  </si>
  <si>
    <t>Downlight Series</t>
  </si>
  <si>
    <t>BOM LED PCB</t>
  </si>
  <si>
    <t xml:space="preserve">Electronics Store </t>
  </si>
  <si>
    <t>Wire Clip-M3-MS</t>
  </si>
  <si>
    <t>27-</t>
  </si>
  <si>
    <t>50-</t>
  </si>
  <si>
    <t>T-</t>
  </si>
  <si>
    <t>I-</t>
  </si>
  <si>
    <t>BT-</t>
  </si>
  <si>
    <t>ID-</t>
  </si>
  <si>
    <t>BTD-</t>
  </si>
  <si>
    <t>27T-</t>
  </si>
  <si>
    <t>30T-</t>
  </si>
  <si>
    <t>40T-</t>
  </si>
  <si>
    <t>50T-</t>
  </si>
  <si>
    <t>60T-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</si>
  <si>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</si>
  <si>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</si>
  <si>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</si>
  <si>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</si>
  <si>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</si>
  <si>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</si>
  <si>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</si>
  <si>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</si>
  <si>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</si>
  <si>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27I-</t>
  </si>
  <si>
    <t>26BTD-</t>
  </si>
  <si>
    <t>26ID-</t>
  </si>
  <si>
    <t>White</t>
  </si>
  <si>
    <t>Medium</t>
  </si>
  <si>
    <t>4000K</t>
  </si>
  <si>
    <t>Constant Current</t>
  </si>
  <si>
    <t>5000K</t>
  </si>
  <si>
    <t>NRLR12M30</t>
  </si>
  <si>
    <t>3000K</t>
  </si>
  <si>
    <t>12W</t>
  </si>
  <si>
    <t>NRLR12M40</t>
  </si>
  <si>
    <t>NRLR12M50</t>
  </si>
  <si>
    <t>Black</t>
  </si>
  <si>
    <t>NRLB12M30</t>
  </si>
  <si>
    <t>NRLB12M40</t>
  </si>
  <si>
    <t>NRLB12M50</t>
  </si>
  <si>
    <t>Two Color</t>
  </si>
  <si>
    <t>NRLT12M30</t>
  </si>
  <si>
    <t>NRLT12M40</t>
  </si>
  <si>
    <t>NRLT12M50</t>
  </si>
  <si>
    <t>TRIAC Dimming</t>
  </si>
  <si>
    <t>NRLR12M30T</t>
  </si>
  <si>
    <t>NRLR12M40T</t>
  </si>
  <si>
    <t>NRLR12M50T</t>
  </si>
  <si>
    <t>NRLB12M30T</t>
  </si>
  <si>
    <t>NRLB12M40T</t>
  </si>
  <si>
    <t>NRLB12M50T</t>
  </si>
  <si>
    <t>NRLT12M30T</t>
  </si>
  <si>
    <t>NRLT12M40T</t>
  </si>
  <si>
    <t>NRLT12M50T</t>
  </si>
  <si>
    <t>DALI Dimming</t>
  </si>
  <si>
    <t>NRLR12M30I</t>
  </si>
  <si>
    <t>NRLR12M40I</t>
  </si>
  <si>
    <t>NRLR12M50I</t>
  </si>
  <si>
    <t>NRLB12M30I</t>
  </si>
  <si>
    <t>NRLB12M40I</t>
  </si>
  <si>
    <t>NRLB12M50I</t>
  </si>
  <si>
    <t>NRLT12M30I</t>
  </si>
  <si>
    <t>NRLT12M40I</t>
  </si>
  <si>
    <t>NRLT12M50I</t>
  </si>
  <si>
    <t>2700K - 6000K</t>
  </si>
  <si>
    <t>DALI Dual</t>
  </si>
  <si>
    <t>NRLR12M26ID</t>
  </si>
  <si>
    <t>NRLB12M26ID</t>
  </si>
  <si>
    <t>NRLT12M26ID</t>
  </si>
  <si>
    <t>Bluetooth Dimming</t>
  </si>
  <si>
    <t>NRLR12M30BT</t>
  </si>
  <si>
    <t>NRLR12M40BT</t>
  </si>
  <si>
    <t>NRLR12M50BT</t>
  </si>
  <si>
    <t>NRLB12M30BT</t>
  </si>
  <si>
    <t>NRLB12M40BT</t>
  </si>
  <si>
    <t>NRLB12M50BT</t>
  </si>
  <si>
    <t>NRLT12M30BT</t>
  </si>
  <si>
    <t>NRLT12M40BT</t>
  </si>
  <si>
    <t>NRLT12M50BT</t>
  </si>
  <si>
    <t>Bluetooth Dual</t>
  </si>
  <si>
    <t>NRLR12M26BTD</t>
  </si>
  <si>
    <t>NRLB12M26BTD</t>
  </si>
  <si>
    <t>NRLT12M26BTD</t>
  </si>
  <si>
    <t>R08</t>
  </si>
  <si>
    <t>HS 50X24.5mm 8W DR-NR-SR</t>
  </si>
  <si>
    <t>R12</t>
  </si>
  <si>
    <t>HS 50x34.5mm (SR-DR-NR-12W)</t>
  </si>
  <si>
    <t>R15</t>
  </si>
  <si>
    <t>HS-50X40.5mm (SR-DR-NR-15W)</t>
  </si>
  <si>
    <t>R18</t>
  </si>
  <si>
    <t>HS-50X50.5mm (SR-DR-NR-12W)</t>
  </si>
  <si>
    <t>SBX - COB 8 - 18W(12Nos)</t>
  </si>
  <si>
    <t>Screw No. 4X6.5mm Self Pan Combi. PH - SS</t>
  </si>
  <si>
    <t>Screw M3X6mm CSK PH - SS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</si>
  <si>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</si>
  <si>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</si>
  <si>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</si>
  <si>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</si>
  <si>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</si>
  <si>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</si>
  <si>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</si>
  <si>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</si>
  <si>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</si>
  <si>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</si>
  <si>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</si>
  <si>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</si>
  <si>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</si>
  <si>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</si>
  <si>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</si>
  <si>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NRLR12N30</t>
  </si>
  <si>
    <t>Narrow</t>
  </si>
  <si>
    <t>NRLR12N40</t>
  </si>
  <si>
    <t>NRLR12N50</t>
  </si>
  <si>
    <t>NRLB12N30</t>
  </si>
  <si>
    <t>NRLB12N40</t>
  </si>
  <si>
    <t>NRLB12N50</t>
  </si>
  <si>
    <t>NRLT12N30</t>
  </si>
  <si>
    <t>NRLT12N40</t>
  </si>
  <si>
    <t>NRLT12N50</t>
  </si>
  <si>
    <t>NRLR12N30T</t>
  </si>
  <si>
    <t>NRLR12N40T</t>
  </si>
  <si>
    <t>NRLR12N50T</t>
  </si>
  <si>
    <t>NRLB12N30T</t>
  </si>
  <si>
    <t>NRLB12N40T</t>
  </si>
  <si>
    <t>NRLB12N50T</t>
  </si>
  <si>
    <t>NRLT12N30T</t>
  </si>
  <si>
    <t>NRLT12N40T</t>
  </si>
  <si>
    <t>NRLT12N50T</t>
  </si>
  <si>
    <t>NRLR12N30I</t>
  </si>
  <si>
    <t>NRLR12N40I</t>
  </si>
  <si>
    <t>NRLR12N50I</t>
  </si>
  <si>
    <t>NRLB12N30I</t>
  </si>
  <si>
    <t>NRLB12N40I</t>
  </si>
  <si>
    <t>NRLB12N50I</t>
  </si>
  <si>
    <t>NRLT12N30I</t>
  </si>
  <si>
    <t>NRLT12N40I</t>
  </si>
  <si>
    <t>NRLT12N50I</t>
  </si>
  <si>
    <t>NRLR12N26ID</t>
  </si>
  <si>
    <t>NRLB12N26ID</t>
  </si>
  <si>
    <t>NRLT12N26ID</t>
  </si>
  <si>
    <t>NRLR12N30BT</t>
  </si>
  <si>
    <t>NRLR12N40BT</t>
  </si>
  <si>
    <t>NRLR12N50BT</t>
  </si>
  <si>
    <t>NRLB12N30BT</t>
  </si>
  <si>
    <t>NRLB12N40BT</t>
  </si>
  <si>
    <t>NRLB12N50BT</t>
  </si>
  <si>
    <t>NRLT12N30BT</t>
  </si>
  <si>
    <t>NRLT12N40BT</t>
  </si>
  <si>
    <t>NRLT12N50BT</t>
  </si>
  <si>
    <t>NRLR12N26BTD</t>
  </si>
  <si>
    <t>NRLB12N26BTD</t>
  </si>
  <si>
    <t>NRLT12N26BTD</t>
  </si>
  <si>
    <t>M</t>
  </si>
  <si>
    <t>N</t>
  </si>
  <si>
    <t>Rivet 1/8" x 1/4" MS (Big)</t>
  </si>
  <si>
    <t>Trim-O-68 I-51 H-63mm White NRRR8-18W</t>
  </si>
  <si>
    <t>Trim-O-68 I-51 H-63mm Black NRRR8-18W</t>
  </si>
  <si>
    <t>Trim-O-68 I-51 H-63mm Inner Black NRRR8-18W</t>
  </si>
  <si>
    <t>Conn. 2Pin Ass. Wire Black Male (Small)</t>
  </si>
  <si>
    <t>Sleeve M4mm Fiber Glass White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</si>
  <si>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</si>
  <si>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</si>
  <si>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</si>
  <si>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</si>
  <si>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</si>
  <si>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</si>
  <si>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PS 12-20W 300mA 36-72V Maxic (PCB LT-MX-20W-V2)</t>
  </si>
  <si>
    <t>PS 12W 300mA 36V Triac Dimming</t>
  </si>
  <si>
    <t>Dali Driver SC-10W PE19DA4240  (AI-Dimming)-25-40V</t>
  </si>
  <si>
    <t>PS CCT 12W 250MA 36V BT-SC (PCB LT 7-20W-CCT-V 1.1 REV-1)</t>
  </si>
  <si>
    <t>Dali Driver DC-10W PE694R4230(AI-Dimming)-25-40V</t>
  </si>
  <si>
    <t>PS CCT 12W 250MA 36V BT-DC (PCB LT 7-20W-CCT-V 1.1 REV-1)</t>
  </si>
  <si>
    <t>Lens GLC-O-50 L-13.4 H-13.4  24° PC ( Zhenglian)</t>
  </si>
  <si>
    <t>Lens GLC-O-50 L-13.4 H-13.4   15° PC ( Zhenglian)</t>
  </si>
  <si>
    <t>COB Holder OD-35 ID-17 H-3.5mm 8-18W</t>
  </si>
  <si>
    <t>PBX-COB 8-15W</t>
  </si>
  <si>
    <t>Unit Price</t>
  </si>
  <si>
    <t>USD</t>
  </si>
  <si>
    <t>INS&amp;FRED</t>
  </si>
  <si>
    <t>BCD</t>
  </si>
  <si>
    <t>Total Cost</t>
  </si>
  <si>
    <t>PS Rate Mention with Total Amt</t>
  </si>
  <si>
    <t>NRLR12-CC</t>
  </si>
  <si>
    <t>NRLR12 Track Dimming</t>
  </si>
  <si>
    <t>NRLR12 Dali Single Color</t>
  </si>
  <si>
    <t>NRLR12 BT Single Color</t>
  </si>
  <si>
    <t>NRLR12  Dali Dual Color</t>
  </si>
  <si>
    <t>NRLR12  BT Dual Color</t>
  </si>
  <si>
    <t>Locking Spring  L-57 W-10mm T-0.2mm DR/NR-5/18W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</si>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</sst>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_-[$Rs-420]* #,##0.00_-;_-[$Rs-420]* #,##0.00\-;_-[$Rs-420]* &quot;-&quot;??_-;_-@_-"/>
    <numFmt numFmtId="168" formatCode="&quot;$&quot;#,##0.000"/>
    <numFmt numFmtId="169" formatCode="_-[$$-409]* #,##0.0000_ ;_-[$$-409]* \-#,##0.0000\ ;_-[$$-409]* &quot;-&quot;??_ ;_-@_ "/>
    <numFmt numFmtId="170" formatCode="_-[$$-409]* #,##0.000_ ;_-[$$-409]* \-#,##0.000\ ;_-[$$-409]* &quot;-&quot;??_ ;_-@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2" fillId="0" borderId="0"/>
    <xf numFmtId="0" fontId="23" fillId="0" borderId="0"/>
  </cellStyleXfs>
  <cellXfs count="133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20" fillId="0" borderId="0" xfId="0" applyFont="1"/>
    <xf numFmtId="0" fontId="0" fillId="0" borderId="1" xfId="0" applyBorder="1" applyAlignment="1">
      <alignment horizontal="center"/>
    </xf>
    <xf numFmtId="0" fontId="0" fillId="12" borderId="1" xfId="0" applyFill="1" applyBorder="1"/>
    <xf numFmtId="0" fontId="3" fillId="0" borderId="6" xfId="2" applyBorder="1"/>
    <xf numFmtId="0" fontId="3" fillId="0" borderId="1" xfId="2" applyBorder="1"/>
    <xf numFmtId="49" fontId="3" fillId="0" borderId="16" xfId="2" applyNumberFormat="1" applyBorder="1"/>
    <xf numFmtId="49" fontId="3" fillId="0" borderId="14" xfId="2" applyNumberFormat="1" applyBorder="1"/>
    <xf numFmtId="0" fontId="3" fillId="0" borderId="14" xfId="2" applyBorder="1"/>
    <xf numFmtId="0" fontId="3" fillId="0" borderId="0" xfId="2"/>
    <xf numFmtId="0" fontId="3" fillId="0" borderId="2" xfId="2" applyBorder="1"/>
    <xf numFmtId="0" fontId="0" fillId="0" borderId="15" xfId="0" applyFill="1" applyBorder="1" applyAlignment="1">
      <alignment horizontal="center"/>
    </xf>
    <xf numFmtId="0" fontId="3" fillId="11" borderId="1" xfId="0" applyFont="1" applyFill="1" applyBorder="1"/>
    <xf numFmtId="0" fontId="21" fillId="10" borderId="0" xfId="0" applyFont="1" applyFill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9" borderId="1" xfId="0" applyFont="1" applyFill="1" applyBorder="1"/>
    <xf numFmtId="0" fontId="23" fillId="0" borderId="0" xfId="4"/>
    <xf numFmtId="0" fontId="0" fillId="0" borderId="1" xfId="0" applyBorder="1" applyAlignment="1">
      <alignment horizontal="center"/>
    </xf>
    <xf numFmtId="0" fontId="3" fillId="10" borderId="1" xfId="0" applyFont="1" applyFill="1" applyBorder="1"/>
    <xf numFmtId="0" fontId="0" fillId="12" borderId="1" xfId="0" applyFill="1" applyBorder="1" applyAlignment="1">
      <alignment vertical="center"/>
    </xf>
    <xf numFmtId="0" fontId="0" fillId="12" borderId="1" xfId="0" applyFont="1" applyFill="1" applyBorder="1" applyAlignment="1">
      <alignment vertical="center"/>
    </xf>
    <xf numFmtId="0" fontId="0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24" fillId="9" borderId="17" xfId="0" applyNumberFormat="1" applyFont="1" applyFill="1" applyBorder="1" applyAlignment="1" applyProtection="1"/>
    <xf numFmtId="0" fontId="0" fillId="6" borderId="1" xfId="0" applyFill="1" applyBorder="1"/>
    <xf numFmtId="0" fontId="25" fillId="0" borderId="17" xfId="0" applyNumberFormat="1" applyFont="1" applyBorder="1" applyAlignment="1">
      <alignment horizontal="center" vertical="center" wrapText="1"/>
    </xf>
    <xf numFmtId="164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167" fontId="25" fillId="8" borderId="17" xfId="0" applyNumberFormat="1" applyFont="1" applyFill="1" applyBorder="1" applyAlignment="1">
      <alignment horizontal="center" vertical="center"/>
    </xf>
    <xf numFmtId="168" fontId="26" fillId="0" borderId="0" xfId="0" applyNumberFormat="1" applyFont="1" applyBorder="1" applyAlignment="1">
      <alignment horizontal="center" vertical="center"/>
    </xf>
    <xf numFmtId="9" fontId="26" fillId="0" borderId="0" xfId="0" applyNumberFormat="1" applyFont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69" fontId="27" fillId="0" borderId="17" xfId="0" applyNumberFormat="1" applyFont="1" applyBorder="1" applyAlignment="1">
      <alignment horizontal="center" vertical="center"/>
    </xf>
    <xf numFmtId="9" fontId="27" fillId="0" borderId="17" xfId="0" applyNumberFormat="1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165" fontId="27" fillId="0" borderId="17" xfId="0" applyNumberFormat="1" applyFont="1" applyBorder="1" applyAlignment="1">
      <alignment horizontal="center" vertical="center"/>
    </xf>
    <xf numFmtId="0" fontId="1" fillId="10" borderId="1" xfId="0" applyFont="1" applyFill="1" applyBorder="1"/>
    <xf numFmtId="170" fontId="27" fillId="0" borderId="17" xfId="0" applyNumberFormat="1" applyFont="1" applyBorder="1" applyAlignment="1">
      <alignment horizontal="center" vertical="center"/>
    </xf>
    <xf numFmtId="166" fontId="27" fillId="0" borderId="1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165" fontId="28" fillId="6" borderId="18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167" fontId="29" fillId="8" borderId="17" xfId="0" applyNumberFormat="1" applyFont="1" applyFill="1" applyBorder="1" applyAlignment="1">
      <alignment vertical="center"/>
    </xf>
    <xf numFmtId="165" fontId="27" fillId="0" borderId="19" xfId="0" applyNumberFormat="1" applyFont="1" applyBorder="1" applyAlignment="1">
      <alignment horizontal="center" vertical="center"/>
    </xf>
    <xf numFmtId="165" fontId="27" fillId="0" borderId="6" xfId="0" applyNumberFormat="1" applyFont="1" applyBorder="1" applyAlignment="1">
      <alignment horizontal="center" vertical="center"/>
    </xf>
    <xf numFmtId="170" fontId="27" fillId="0" borderId="19" xfId="0" applyNumberFormat="1" applyFont="1" applyBorder="1" applyAlignment="1">
      <alignment horizontal="center" vertical="center"/>
    </xf>
    <xf numFmtId="170" fontId="27" fillId="0" borderId="6" xfId="0" applyNumberFormat="1" applyFont="1" applyBorder="1" applyAlignment="1">
      <alignment horizontal="center" vertical="center"/>
    </xf>
    <xf numFmtId="9" fontId="27" fillId="0" borderId="19" xfId="0" applyNumberFormat="1" applyFont="1" applyBorder="1" applyAlignment="1">
      <alignment horizontal="center" vertical="center"/>
    </xf>
    <xf numFmtId="9" fontId="27" fillId="0" borderId="6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8" borderId="2" xfId="0" applyFont="1" applyFill="1" applyBorder="1" applyAlignment="1">
      <alignment horizontal="right" vertical="center"/>
    </xf>
    <xf numFmtId="0" fontId="29" fillId="8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Hyperlink 2" xfId="1"/>
    <cellStyle name="Normal" xfId="0" builtinId="0"/>
    <cellStyle name="Normal 2" xfId="2"/>
    <cellStyle name="Normal 3" xfId="3"/>
    <cellStyle name="Normal 4" xfId="4"/>
  </cellStyles>
  <dxfs count="25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7)%20NRRR\2)%20NRRR12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F1" zoomScale="96" zoomScaleNormal="96" workbookViewId="0">
      <selection activeCell="F14" sqref="F14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18" customWidth="1"/>
    <col min="8" max="8" width="27.7109375" hidden="1" customWidth="1"/>
    <col min="9" max="9" width="31.85546875" hidden="1" customWidth="1"/>
    <col min="10" max="10" width="27.7109375" hidden="1" customWidth="1"/>
    <col min="11" max="11" width="14.140625" customWidth="1"/>
    <col min="12" max="12" width="15.28515625" customWidth="1"/>
    <col min="13" max="13" width="14.7109375" customWidth="1"/>
    <col min="15" max="15" width="12.5703125" customWidth="1"/>
    <col min="17" max="17" width="12.28515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2" t="s">
        <v>390</v>
      </c>
      <c r="M1" s="92" t="s">
        <v>194</v>
      </c>
      <c r="N1" s="93" t="s">
        <v>391</v>
      </c>
      <c r="O1" s="94" t="s">
        <v>392</v>
      </c>
      <c r="P1" s="95" t="s">
        <v>393</v>
      </c>
      <c r="Q1" s="93" t="s">
        <v>394</v>
      </c>
    </row>
    <row r="2" spans="1:17">
      <c r="A2" s="49" t="str">
        <f>$D$2</f>
        <v>NRLR12M30</v>
      </c>
      <c r="B2" s="49" t="s">
        <v>212</v>
      </c>
      <c r="C2" s="49" t="s">
        <v>190</v>
      </c>
      <c r="D2" s="78" t="s">
        <v>245</v>
      </c>
      <c r="E2" s="49">
        <v>1</v>
      </c>
      <c r="F2" s="68" t="str">
        <f>'Backend data'!C6</f>
        <v>Trim-O-68 I-51 H-63mm White NRRR8-18W</v>
      </c>
      <c r="G2" s="67">
        <v>1</v>
      </c>
      <c r="H2" s="49" t="s">
        <v>189</v>
      </c>
      <c r="I2" s="49" t="s">
        <v>9</v>
      </c>
      <c r="J2" s="49"/>
      <c r="K2" s="49"/>
      <c r="L2" s="105">
        <f>Q2*87</f>
        <v>55.984499999999997</v>
      </c>
      <c r="M2" s="105">
        <f>L2*G2</f>
        <v>55.984499999999997</v>
      </c>
      <c r="N2" s="107">
        <v>0.42899999999999999</v>
      </c>
      <c r="O2" s="103">
        <v>0.5</v>
      </c>
      <c r="P2" s="104"/>
      <c r="Q2" s="104">
        <f>N2+(N2*(O2+P2))</f>
        <v>0.64349999999999996</v>
      </c>
    </row>
    <row r="3" spans="1:17">
      <c r="A3" s="49"/>
      <c r="B3" s="49"/>
      <c r="C3" s="49"/>
      <c r="D3" s="49"/>
      <c r="E3" s="49"/>
      <c r="F3" s="79" t="s">
        <v>300</v>
      </c>
      <c r="G3" s="67">
        <v>1</v>
      </c>
      <c r="H3" s="49" t="s">
        <v>189</v>
      </c>
      <c r="I3" s="49" t="s">
        <v>9</v>
      </c>
      <c r="J3" s="49"/>
      <c r="K3" s="49"/>
      <c r="L3" s="105">
        <f>Q3*87</f>
        <v>60.291000000000004</v>
      </c>
      <c r="M3" s="105">
        <f>L3*G3</f>
        <v>60.291000000000004</v>
      </c>
      <c r="N3" s="108">
        <v>0.46200000000000002</v>
      </c>
      <c r="O3" s="103">
        <v>0.5</v>
      </c>
      <c r="P3" s="104"/>
      <c r="Q3" s="104">
        <f t="shared" ref="Q3:Q4" si="0">N3+(N3*(O3+P3))</f>
        <v>0.69300000000000006</v>
      </c>
    </row>
    <row r="4" spans="1:17">
      <c r="A4" s="49"/>
      <c r="B4" s="49"/>
      <c r="C4" s="49"/>
      <c r="D4" s="49"/>
      <c r="E4" s="49"/>
      <c r="F4" s="84" t="str">
        <f>'Backend data'!F6</f>
        <v>Lens GLC-O-50 L-13.4 H-13.4  24° PC ( Zhenglian)</v>
      </c>
      <c r="G4" s="67">
        <v>1</v>
      </c>
      <c r="H4" s="49" t="s">
        <v>189</v>
      </c>
      <c r="I4" s="49" t="s">
        <v>9</v>
      </c>
      <c r="J4" s="49"/>
      <c r="K4" s="49"/>
      <c r="L4" s="114">
        <f>Q4*87</f>
        <v>25.839000000000002</v>
      </c>
      <c r="M4" s="114">
        <f>G4*L4</f>
        <v>25.839000000000002</v>
      </c>
      <c r="N4" s="116">
        <v>0.19800000000000001</v>
      </c>
      <c r="O4" s="118">
        <v>0.5</v>
      </c>
      <c r="P4" s="120"/>
      <c r="Q4" s="120">
        <f t="shared" si="0"/>
        <v>0.29700000000000004</v>
      </c>
    </row>
    <row r="5" spans="1:17">
      <c r="A5" s="49"/>
      <c r="B5" s="49"/>
      <c r="C5" s="49"/>
      <c r="D5" s="49"/>
      <c r="E5" s="49"/>
      <c r="F5" s="91" t="s">
        <v>388</v>
      </c>
      <c r="G5" s="100">
        <v>1</v>
      </c>
      <c r="H5" s="49" t="s">
        <v>189</v>
      </c>
      <c r="I5" s="49" t="s">
        <v>9</v>
      </c>
      <c r="J5" s="49"/>
      <c r="K5" s="49"/>
      <c r="L5" s="115"/>
      <c r="M5" s="115"/>
      <c r="N5" s="117"/>
      <c r="O5" s="119"/>
      <c r="P5" s="121"/>
      <c r="Q5" s="121"/>
    </row>
    <row r="6" spans="1:17">
      <c r="A6" s="49"/>
      <c r="B6" s="49"/>
      <c r="C6" s="49"/>
      <c r="D6" s="49"/>
      <c r="E6" s="49"/>
      <c r="F6" s="101" t="s">
        <v>402</v>
      </c>
      <c r="G6" s="67">
        <v>1</v>
      </c>
      <c r="H6" s="49" t="s">
        <v>189</v>
      </c>
      <c r="I6" s="49" t="s">
        <v>9</v>
      </c>
      <c r="J6" s="49"/>
      <c r="K6" s="49"/>
      <c r="L6" s="105">
        <f t="shared" ref="L6:L7" si="1">Q6*87</f>
        <v>2.2185000000000001</v>
      </c>
      <c r="M6" s="105">
        <f t="shared" ref="M6:M7" si="2">L6*G6</f>
        <v>2.2185000000000001</v>
      </c>
      <c r="N6" s="102">
        <v>1.7000000000000001E-2</v>
      </c>
      <c r="O6" s="103">
        <v>0.5</v>
      </c>
      <c r="P6" s="104"/>
      <c r="Q6" s="104">
        <f>N6+(N6*(O6+P6))</f>
        <v>2.5500000000000002E-2</v>
      </c>
    </row>
    <row r="7" spans="1:17">
      <c r="A7" s="49"/>
      <c r="B7" s="49"/>
      <c r="C7" s="49"/>
      <c r="D7" s="49"/>
      <c r="E7" s="49"/>
      <c r="F7" s="87" t="s">
        <v>372</v>
      </c>
      <c r="G7" s="67">
        <v>1</v>
      </c>
      <c r="H7" s="49" t="s">
        <v>189</v>
      </c>
      <c r="I7" s="49" t="s">
        <v>9</v>
      </c>
      <c r="J7" s="49"/>
      <c r="K7" s="49"/>
      <c r="L7" s="105">
        <f t="shared" si="1"/>
        <v>3.915</v>
      </c>
      <c r="M7" s="105">
        <f t="shared" si="2"/>
        <v>3.915</v>
      </c>
      <c r="N7" s="102">
        <v>0.03</v>
      </c>
      <c r="O7" s="103">
        <v>0.5</v>
      </c>
      <c r="P7" s="104"/>
      <c r="Q7" s="104">
        <f>N7+(N7*(O7+P7))</f>
        <v>4.4999999999999998E-2</v>
      </c>
    </row>
    <row r="8" spans="1:17">
      <c r="A8" s="49"/>
      <c r="B8" s="49"/>
      <c r="C8" s="49"/>
      <c r="D8" s="49"/>
      <c r="E8" s="49"/>
      <c r="F8" s="90" t="s">
        <v>389</v>
      </c>
      <c r="G8" s="67">
        <v>1</v>
      </c>
      <c r="H8" s="49" t="s">
        <v>189</v>
      </c>
      <c r="I8" s="49" t="s">
        <v>9</v>
      </c>
      <c r="J8" s="49"/>
      <c r="K8" s="49"/>
      <c r="L8" s="105">
        <v>8.5</v>
      </c>
      <c r="M8" s="105">
        <f>G8*L8</f>
        <v>8.5</v>
      </c>
      <c r="N8" s="109"/>
      <c r="O8" s="109"/>
      <c r="P8" s="109"/>
      <c r="Q8" s="109"/>
    </row>
    <row r="9" spans="1:17">
      <c r="A9" s="49"/>
      <c r="B9" s="49"/>
      <c r="C9" s="49"/>
      <c r="D9" s="49"/>
      <c r="E9" s="49"/>
      <c r="F9" s="81" t="s">
        <v>305</v>
      </c>
      <c r="G9" s="76">
        <v>0.08</v>
      </c>
      <c r="H9" s="49" t="s">
        <v>189</v>
      </c>
      <c r="I9" s="49" t="s">
        <v>9</v>
      </c>
      <c r="J9" s="49"/>
      <c r="K9" s="49"/>
      <c r="L9" s="105">
        <v>27</v>
      </c>
      <c r="M9" s="105">
        <f>G9*L9</f>
        <v>2.16</v>
      </c>
      <c r="N9" s="109"/>
      <c r="O9" s="109"/>
      <c r="P9" s="109"/>
      <c r="Q9" s="109"/>
    </row>
    <row r="10" spans="1:17">
      <c r="A10" s="49"/>
      <c r="B10" s="49"/>
      <c r="C10" s="49"/>
      <c r="D10" s="49"/>
      <c r="E10" s="49"/>
      <c r="F10" s="49" t="s">
        <v>373</v>
      </c>
      <c r="G10" s="67">
        <v>0.12</v>
      </c>
      <c r="H10" s="49" t="s">
        <v>189</v>
      </c>
      <c r="I10" s="49" t="s">
        <v>9</v>
      </c>
      <c r="J10" s="49"/>
      <c r="K10" s="49"/>
      <c r="L10" s="105">
        <f>5.7/1000*120</f>
        <v>0.68400000000000005</v>
      </c>
      <c r="M10" s="105">
        <f>G10*L10</f>
        <v>8.208E-2</v>
      </c>
      <c r="N10" s="109"/>
      <c r="O10" s="109"/>
      <c r="P10" s="109"/>
      <c r="Q10" s="109"/>
    </row>
    <row r="11" spans="1:17">
      <c r="A11" s="49"/>
      <c r="B11" s="49"/>
      <c r="C11" s="49"/>
      <c r="D11" s="49"/>
      <c r="E11" s="49"/>
      <c r="F11" s="49" t="s">
        <v>215</v>
      </c>
      <c r="G11" s="67">
        <v>1</v>
      </c>
      <c r="H11" s="49" t="s">
        <v>189</v>
      </c>
      <c r="I11" s="49" t="s">
        <v>9</v>
      </c>
      <c r="J11" s="49"/>
      <c r="K11" s="49"/>
      <c r="L11" s="105">
        <v>0.6</v>
      </c>
      <c r="M11" s="105">
        <f t="shared" ref="M11:M14" si="3">G11*L11</f>
        <v>0.6</v>
      </c>
      <c r="N11" s="109"/>
      <c r="O11" s="109"/>
      <c r="P11" s="109"/>
      <c r="Q11" s="109"/>
    </row>
    <row r="12" spans="1:17">
      <c r="A12" s="49"/>
      <c r="B12" s="49"/>
      <c r="C12" s="49"/>
      <c r="D12" s="49"/>
      <c r="E12" s="49"/>
      <c r="F12" s="49" t="s">
        <v>306</v>
      </c>
      <c r="G12" s="67">
        <v>1</v>
      </c>
      <c r="H12" s="49" t="s">
        <v>189</v>
      </c>
      <c r="I12" s="49" t="s">
        <v>9</v>
      </c>
      <c r="J12" s="49"/>
      <c r="K12" s="49"/>
      <c r="L12" s="105">
        <v>0.21</v>
      </c>
      <c r="M12" s="105">
        <f t="shared" si="3"/>
        <v>0.21</v>
      </c>
      <c r="N12" s="109"/>
      <c r="O12" s="109"/>
      <c r="P12" s="109"/>
      <c r="Q12" s="109"/>
    </row>
    <row r="13" spans="1:17">
      <c r="A13" s="49"/>
      <c r="B13" s="49"/>
      <c r="C13" s="49"/>
      <c r="D13" s="49"/>
      <c r="E13" s="49"/>
      <c r="F13" s="49" t="s">
        <v>307</v>
      </c>
      <c r="G13" s="80">
        <v>2</v>
      </c>
      <c r="H13" s="49" t="s">
        <v>189</v>
      </c>
      <c r="I13" s="49" t="s">
        <v>9</v>
      </c>
      <c r="J13" s="49"/>
      <c r="K13" s="49"/>
      <c r="L13" s="105">
        <v>0.48</v>
      </c>
      <c r="M13" s="105">
        <f t="shared" si="3"/>
        <v>0.96</v>
      </c>
      <c r="N13" s="109"/>
      <c r="O13" s="109"/>
      <c r="P13" s="109"/>
      <c r="Q13" s="109"/>
    </row>
    <row r="14" spans="1:17">
      <c r="A14" s="49"/>
      <c r="B14" s="49"/>
      <c r="C14" s="49"/>
      <c r="D14" s="49"/>
      <c r="E14" s="49"/>
      <c r="F14" s="49" t="s">
        <v>368</v>
      </c>
      <c r="G14" s="83">
        <v>4</v>
      </c>
      <c r="H14" s="49" t="s">
        <v>189</v>
      </c>
      <c r="I14" s="49" t="s">
        <v>9</v>
      </c>
      <c r="J14" s="49"/>
      <c r="K14" s="49"/>
      <c r="L14" s="105">
        <v>0.26</v>
      </c>
      <c r="M14" s="105">
        <f t="shared" si="3"/>
        <v>1.04</v>
      </c>
      <c r="N14" s="109"/>
      <c r="O14" s="109"/>
      <c r="P14" s="109"/>
      <c r="Q14" s="109"/>
    </row>
    <row r="15" spans="1:17">
      <c r="A15" s="49"/>
      <c r="B15" s="49"/>
      <c r="C15" s="49"/>
      <c r="D15" s="49"/>
      <c r="E15" s="49"/>
      <c r="F15" s="65" t="str">
        <f>'Backend data'!G6</f>
        <v>COB 30-36W 3000K 12LED 34-38V 890mA 19x19mm CRI-90</v>
      </c>
      <c r="G15" s="67">
        <v>1</v>
      </c>
      <c r="H15" s="49" t="s">
        <v>214</v>
      </c>
      <c r="I15" s="49" t="s">
        <v>9</v>
      </c>
      <c r="J15" s="49"/>
      <c r="K15" s="49"/>
      <c r="L15" s="105">
        <f>Q15*87</f>
        <v>84.825000000000003</v>
      </c>
      <c r="M15" s="105">
        <f>G15*L15</f>
        <v>84.825000000000003</v>
      </c>
      <c r="N15" s="102">
        <v>0.65</v>
      </c>
      <c r="O15" s="103">
        <v>0.5</v>
      </c>
      <c r="P15" s="104"/>
      <c r="Q15" s="104">
        <f>N15+(N15*(O15+P15))</f>
        <v>0.97500000000000009</v>
      </c>
    </row>
    <row r="16" spans="1:17">
      <c r="A16" s="49"/>
      <c r="B16" s="49"/>
      <c r="C16" s="49"/>
      <c r="D16" s="49"/>
      <c r="E16" s="49"/>
      <c r="F16" s="65" t="str">
        <f>'Backend data'!H6</f>
        <v>PS 12-20W 300mA 36-72V Maxic (PCB LT-MX-20W-V2)</v>
      </c>
      <c r="G16" s="67">
        <v>1</v>
      </c>
      <c r="H16" s="49" t="s">
        <v>189</v>
      </c>
      <c r="I16" s="49" t="s">
        <v>9</v>
      </c>
      <c r="J16" s="49"/>
      <c r="K16" s="49"/>
      <c r="L16" s="105"/>
      <c r="M16" s="105"/>
      <c r="N16" s="110" t="s">
        <v>395</v>
      </c>
      <c r="O16" s="109"/>
      <c r="P16" s="109"/>
      <c r="Q16" s="109"/>
    </row>
    <row r="17" spans="6:18" ht="21" customHeight="1" thickBot="1">
      <c r="L17" s="110"/>
      <c r="M17" s="111">
        <f>SUM(M2:M16)</f>
        <v>246.62507999999997</v>
      </c>
      <c r="N17" s="110"/>
      <c r="O17" s="110"/>
      <c r="P17" s="110"/>
      <c r="Q17" s="110"/>
    </row>
    <row r="18" spans="6:18" ht="15.75" thickTop="1"/>
    <row r="19" spans="6:18" ht="20.25" customHeight="1">
      <c r="F19" s="106" t="s">
        <v>386</v>
      </c>
      <c r="K19" s="122" t="s">
        <v>396</v>
      </c>
      <c r="L19" s="123"/>
      <c r="M19" s="96">
        <f>M17+98</f>
        <v>344.62507999999997</v>
      </c>
      <c r="N19" s="110"/>
      <c r="O19" s="110"/>
      <c r="P19" s="110"/>
      <c r="Q19" s="110"/>
      <c r="R19" s="110"/>
    </row>
    <row r="20" spans="6:18" ht="20.25" customHeight="1">
      <c r="K20" s="122" t="s">
        <v>397</v>
      </c>
      <c r="L20" s="123"/>
      <c r="M20" s="96">
        <f>M17+275</f>
        <v>521.62508000000003</v>
      </c>
      <c r="N20" s="110"/>
      <c r="O20" s="110"/>
      <c r="P20" s="110"/>
      <c r="Q20" s="110"/>
      <c r="R20" s="112" t="s">
        <v>403</v>
      </c>
    </row>
    <row r="21" spans="6:18" ht="20.25" customHeight="1">
      <c r="K21" s="122" t="s">
        <v>398</v>
      </c>
      <c r="L21" s="123"/>
      <c r="M21" s="113">
        <f>((M17)+(Q21*87))</f>
        <v>904.34508000000005</v>
      </c>
      <c r="N21" s="97">
        <v>5.04</v>
      </c>
      <c r="O21" s="98">
        <v>0.5</v>
      </c>
      <c r="P21" s="98"/>
      <c r="Q21" s="99">
        <f>N21+(N21*(O21+P21))</f>
        <v>7.5600000000000005</v>
      </c>
      <c r="R21" s="110">
        <f>Q21*87</f>
        <v>657.72</v>
      </c>
    </row>
    <row r="22" spans="6:18" ht="20.25" customHeight="1">
      <c r="K22" s="122" t="s">
        <v>399</v>
      </c>
      <c r="L22" s="123"/>
      <c r="M22" s="96">
        <f>M17+330</f>
        <v>576.62508000000003</v>
      </c>
      <c r="N22" s="110"/>
      <c r="O22" s="110"/>
      <c r="P22" s="110"/>
      <c r="Q22" s="110"/>
      <c r="R22" s="110"/>
    </row>
    <row r="23" spans="6:18" ht="20.25" customHeight="1">
      <c r="K23" s="122" t="s">
        <v>400</v>
      </c>
      <c r="L23" s="123"/>
      <c r="M23" s="113">
        <f>((M17)+(Q23*87))</f>
        <v>961.11257999999975</v>
      </c>
      <c r="N23" s="97">
        <v>5.4749999999999996</v>
      </c>
      <c r="O23" s="98">
        <v>0.5</v>
      </c>
      <c r="P23" s="98"/>
      <c r="Q23" s="99">
        <f>N23+(N23*(O23+P23))</f>
        <v>8.2124999999999986</v>
      </c>
      <c r="R23" s="110">
        <f>Q23*87</f>
        <v>714.48749999999984</v>
      </c>
    </row>
    <row r="24" spans="6:18" ht="20.25" customHeight="1">
      <c r="K24" s="122" t="s">
        <v>401</v>
      </c>
      <c r="L24" s="123"/>
      <c r="M24" s="96">
        <f>M17+300</f>
        <v>546.62508000000003</v>
      </c>
      <c r="N24" s="110"/>
      <c r="O24" s="110"/>
      <c r="P24" s="110"/>
      <c r="Q24" s="110"/>
      <c r="R24" s="110"/>
    </row>
  </sheetData>
  <mergeCells count="12">
    <mergeCell ref="Q4:Q5"/>
    <mergeCell ref="K24:L24"/>
    <mergeCell ref="K19:L19"/>
    <mergeCell ref="K20:L20"/>
    <mergeCell ref="K21:L21"/>
    <mergeCell ref="K22:L22"/>
    <mergeCell ref="K23:L23"/>
    <mergeCell ref="L4:L5"/>
    <mergeCell ref="M4:M5"/>
    <mergeCell ref="N4:N5"/>
    <mergeCell ref="O4:O5"/>
    <mergeCell ref="P4:P5"/>
  </mergeCells>
  <conditionalFormatting sqref="F1 F24:F1048576">
    <cfRule type="containsText" dxfId="24" priority="19" operator="containsText" text="PS-">
      <formula>NOT(ISERROR(SEARCH("PS-",F1)))</formula>
    </cfRule>
    <cfRule type="containsText" dxfId="23" priority="22" operator="containsText" text="COB-">
      <formula>NOT(ISERROR(SEARCH("COB-",F1)))</formula>
    </cfRule>
    <cfRule type="containsText" dxfId="22" priority="24" operator="containsText" text="TRIM">
      <formula>NOT(ISERROR(SEARCH("TRIM",F1)))</formula>
    </cfRule>
  </conditionalFormatting>
  <conditionalFormatting sqref="F1:G1 F24:G1048576">
    <cfRule type="containsText" dxfId="21" priority="18" operator="containsText" text="REFLECTOR">
      <formula>NOT(ISERROR(SEARCH("REFLECTOR",F1)))</formula>
    </cfRule>
  </conditionalFormatting>
  <conditionalFormatting sqref="F6">
    <cfRule type="containsText" dxfId="20" priority="13" operator="containsText" text="PS-">
      <formula>NOT(ISERROR(SEARCH("PS-",F6)))</formula>
    </cfRule>
    <cfRule type="containsText" dxfId="19" priority="14" operator="containsText" text="COB-">
      <formula>NOT(ISERROR(SEARCH("COB-",F6)))</formula>
    </cfRule>
    <cfRule type="containsText" dxfId="18" priority="15" operator="containsText" text="TRIM">
      <formula>NOT(ISERROR(SEARCH("TRIM",F6)))</formula>
    </cfRule>
  </conditionalFormatting>
  <conditionalFormatting sqref="F6">
    <cfRule type="containsText" dxfId="17" priority="12" operator="containsText" text="REFLECTOR">
      <formula>NOT(ISERROR(SEARCH("REFLECTOR",F6)))</formula>
    </cfRule>
  </conditionalFormatting>
  <conditionalFormatting sqref="F7">
    <cfRule type="containsText" dxfId="16" priority="8" operator="containsText" text="PS-">
      <formula>NOT(ISERROR(SEARCH("PS-",F7)))</formula>
    </cfRule>
    <cfRule type="containsText" dxfId="15" priority="9" operator="containsText" text="COB-">
      <formula>NOT(ISERROR(SEARCH("COB-",F7)))</formula>
    </cfRule>
    <cfRule type="containsText" dxfId="14" priority="10" operator="containsText" text="TRIM">
      <formula>NOT(ISERROR(SEARCH("TRIM",F7)))</formula>
    </cfRule>
  </conditionalFormatting>
  <conditionalFormatting sqref="F7">
    <cfRule type="containsText" dxfId="13" priority="7" operator="containsText" text="REFLECTOR">
      <formula>NOT(ISERROR(SEARCH("REFLECTOR",F7)))</formula>
    </cfRule>
  </conditionalFormatting>
  <conditionalFormatting sqref="F11">
    <cfRule type="containsText" dxfId="12" priority="3" operator="containsText" text="PS-">
      <formula>NOT(ISERROR(SEARCH("PS-",F11)))</formula>
    </cfRule>
    <cfRule type="containsText" dxfId="11" priority="4" operator="containsText" text="COB-">
      <formula>NOT(ISERROR(SEARCH("COB-",F11)))</formula>
    </cfRule>
    <cfRule type="containsText" dxfId="10" priority="5" operator="containsText" text="TRIM">
      <formula>NOT(ISERROR(SEARCH("TRIM",F11)))</formula>
    </cfRule>
  </conditionalFormatting>
  <conditionalFormatting sqref="F11">
    <cfRule type="containsText" dxfId="9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F1:G1</xm:sqref>
        </x14:conditionalFormatting>
        <x14:conditionalFormatting xmlns:xm="http://schemas.microsoft.com/office/excel/2006/main">
          <x14:cfRule type="expression" priority="11" id="{D4F30874-7EC4-47C8-A084-3D9C23655D8A}">
            <xm:f>$F:$F='\\Brijesh-pc\d\SURYA- BOM\1) OK BOMs\7) NRRR\[2) NRRR12-F-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6" id="{ABA30454-C5EA-4A80-82E0-12615566E008}">
            <xm:f>$F:$F='\\Brijesh-pc\d\SURYA- BOM\1) OK BOMs\7) NRRR\[2) NRRR12-F-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" id="{556A5BC8-F821-436C-81DE-1B0BD6BA3796}">
            <xm:f>$F:$F='\\Brijesh-pc\d\SURYA- BOM\1) OK BOMs\7) NRRR\[2) NRRR12-F-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'Result (2)'!$B$2:$B$85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5" t="s">
        <v>20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7"/>
    </row>
    <row r="6" spans="1:17" ht="12.6" customHeight="1">
      <c r="A6" s="16" t="s">
        <v>21</v>
      </c>
      <c r="B6" s="12" t="s">
        <v>15</v>
      </c>
      <c r="C6" s="13"/>
      <c r="E6" s="125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</row>
    <row r="7" spans="1:17" ht="12.6" customHeight="1">
      <c r="A7" s="16" t="s">
        <v>22</v>
      </c>
      <c r="B7" s="12" t="s">
        <v>15</v>
      </c>
      <c r="C7" s="13"/>
      <c r="E7" s="125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7"/>
    </row>
    <row r="8" spans="1:17" ht="12.6" customHeight="1">
      <c r="A8" s="16" t="s">
        <v>23</v>
      </c>
      <c r="B8" s="12" t="s">
        <v>15</v>
      </c>
      <c r="C8" s="13"/>
      <c r="E8" s="125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7"/>
    </row>
    <row r="9" spans="1:17" ht="12.95" customHeight="1">
      <c r="A9" s="16" t="s">
        <v>24</v>
      </c>
      <c r="B9" s="12" t="s">
        <v>15</v>
      </c>
      <c r="C9" s="13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7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</row>
    <row r="20" spans="1:17" ht="25.5">
      <c r="A20" s="16" t="s">
        <v>40</v>
      </c>
      <c r="B20" s="12" t="s">
        <v>15</v>
      </c>
      <c r="C20" s="1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</row>
    <row r="21" spans="1:17">
      <c r="A21" s="16" t="s">
        <v>41</v>
      </c>
      <c r="B21" s="12" t="s">
        <v>15</v>
      </c>
      <c r="C21" s="1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</row>
    <row r="22" spans="1:17">
      <c r="A22" s="6" t="s">
        <v>42</v>
      </c>
      <c r="B22" s="30"/>
      <c r="C22" s="31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2" workbookViewId="0">
      <selection activeCell="AB23" sqref="AB23:AB2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21.7109375" customWidth="1"/>
    <col min="5" max="5" width="10.42578125" bestFit="1" customWidth="1"/>
    <col min="6" max="6" width="11.85546875" bestFit="1" customWidth="1"/>
    <col min="7" max="7" width="26.85546875" customWidth="1"/>
    <col min="8" max="8" width="35.140625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45.85546875" style="51" customWidth="1"/>
    <col min="21" max="21" width="1.42578125" customWidth="1"/>
    <col min="22" max="22" width="8.140625" customWidth="1"/>
    <col min="23" max="23" width="54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Item'!$D$2,5,2)</f>
        <v>12</v>
      </c>
      <c r="E3" s="63" t="str">
        <f>MID('Stock Item'!$D$2,3,1)</f>
        <v>L</v>
      </c>
      <c r="F3" s="63" t="str">
        <f>MID('Stock Item'!$D$2,7,1)</f>
        <v>M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CONCATENATE($C$3,$D$3)</f>
        <v>R12</v>
      </c>
      <c r="G4" s="64" t="str">
        <f>CONCATENATE($G$3,H4)</f>
        <v>30-</v>
      </c>
      <c r="H4" s="51" t="str">
        <f>CONCATENATE($H$3,"-")</f>
        <v>-</v>
      </c>
    </row>
    <row r="5" spans="2:9">
      <c r="H5" s="51" t="str">
        <f>CONCATENATE('Stock Item'!D2)</f>
        <v>NRLR12M30</v>
      </c>
    </row>
    <row r="6" spans="2:9" ht="30">
      <c r="B6" s="54" t="s">
        <v>201</v>
      </c>
      <c r="C6" s="58" t="str">
        <f>VLOOKUP($C$3,$B$23:$E$73,2,0)</f>
        <v>Trim-O-68 I-51 H-63mm White NRRR8-18W</v>
      </c>
      <c r="D6" s="57" t="str">
        <f>VLOOKUP($D$4,G23:$J$101,2,0)</f>
        <v>HS 50x34.5mm (SR-DR-NR-12W)</v>
      </c>
      <c r="E6" s="57" t="e">
        <f>VLOOKUP($E$3,$L$23:$O$73,2,0)</f>
        <v>#N/A</v>
      </c>
      <c r="F6" s="57" t="str">
        <f>VLOOKUP($F$3,$Q$23:$T$73,2,0)</f>
        <v>Lens GLC-O-50 L-13.4 H-13.4  24° PC ( Zhenglian)</v>
      </c>
      <c r="G6" s="57" t="str">
        <f>VLOOKUP($G$4,$V$23:$Y$73,2,0)</f>
        <v>COB 30-36W 3000K 12LED 34-38V 890mA 19x19mm CRI-90</v>
      </c>
      <c r="H6" s="56" t="str">
        <f>VLOOKUP($H$4,$AA$23:$AD$73,2,0)</f>
        <v>PS 12-20W 300mA 36-72V Maxic 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>
        <f>VLOOKUP($D$4,G23:$J$101,4,0)</f>
        <v>0</v>
      </c>
      <c r="E7" s="57" t="e">
        <f>VLOOKUP($E$3,$L$23:$O$73,4,0)</f>
        <v>#N/A</v>
      </c>
      <c r="F7" s="57">
        <f>VLOOKUP($F$3,$Q$23:$T$73,4,0)</f>
        <v>0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>
        <f>VLOOKUP($D$4,G23:$J$101,3,0)</f>
        <v>0</v>
      </c>
      <c r="E8" s="57" t="e">
        <f>VLOOKUP($E$3,$L$23:$O$73,3,0)</f>
        <v>#N/A</v>
      </c>
      <c r="F8" s="57">
        <f>VLOOKUP($F$3,$Q$23:$T$73,3,0)</f>
        <v>0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H10" s="66" t="s">
        <v>213</v>
      </c>
    </row>
    <row r="19" spans="2:35" ht="13.9" customHeight="1"/>
    <row r="21" spans="2:35">
      <c r="B21" s="131" t="s">
        <v>195</v>
      </c>
      <c r="C21" s="132"/>
      <c r="D21" s="132"/>
      <c r="E21" s="132"/>
      <c r="G21" s="131" t="s">
        <v>204</v>
      </c>
      <c r="H21" s="132"/>
      <c r="I21" s="132"/>
      <c r="J21" s="132"/>
      <c r="L21" s="131" t="s">
        <v>196</v>
      </c>
      <c r="M21" s="132"/>
      <c r="N21" s="132"/>
      <c r="O21" s="132"/>
      <c r="Q21" s="131" t="s">
        <v>197</v>
      </c>
      <c r="R21" s="132"/>
      <c r="S21" s="132"/>
      <c r="T21" s="132"/>
      <c r="V21" s="131" t="s">
        <v>198</v>
      </c>
      <c r="W21" s="132"/>
      <c r="X21" s="132"/>
      <c r="Y21" s="132"/>
      <c r="AA21" s="128" t="s">
        <v>199</v>
      </c>
      <c r="AB21" s="129"/>
      <c r="AC21" s="129"/>
      <c r="AD21" s="130"/>
      <c r="AF21" s="128" t="s">
        <v>205</v>
      </c>
      <c r="AG21" s="129"/>
      <c r="AH21" s="129"/>
      <c r="AI21" s="130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 ht="17.25" customHeight="1">
      <c r="B23" s="69" t="s">
        <v>206</v>
      </c>
      <c r="C23" s="85" t="s">
        <v>369</v>
      </c>
      <c r="D23" s="69"/>
      <c r="E23" s="69"/>
      <c r="G23" s="49" t="s">
        <v>297</v>
      </c>
      <c r="H23" s="79" t="s">
        <v>298</v>
      </c>
      <c r="M23"/>
      <c r="Q23" s="60" t="s">
        <v>366</v>
      </c>
      <c r="R23" s="89" t="s">
        <v>386</v>
      </c>
      <c r="S23" s="60"/>
      <c r="T23" s="60"/>
      <c r="V23" s="49" t="s">
        <v>216</v>
      </c>
      <c r="W23" s="88" t="s">
        <v>374</v>
      </c>
      <c r="X23" s="49"/>
      <c r="Y23" s="49"/>
      <c r="AA23" s="71" t="s">
        <v>211</v>
      </c>
      <c r="AB23" s="49" t="s">
        <v>380</v>
      </c>
      <c r="AF23" s="60"/>
      <c r="AG23" s="60"/>
      <c r="AH23" s="60"/>
      <c r="AI23" s="60"/>
    </row>
    <row r="24" spans="2:35" ht="14.25" customHeight="1">
      <c r="B24" s="70" t="s">
        <v>19</v>
      </c>
      <c r="C24" s="86" t="s">
        <v>370</v>
      </c>
      <c r="D24" s="69"/>
      <c r="E24" s="69"/>
      <c r="G24" s="49" t="s">
        <v>299</v>
      </c>
      <c r="H24" s="79" t="s">
        <v>300</v>
      </c>
      <c r="M24"/>
      <c r="Q24" s="60" t="s">
        <v>367</v>
      </c>
      <c r="R24" s="89" t="s">
        <v>387</v>
      </c>
      <c r="S24" s="60"/>
      <c r="T24" s="60"/>
      <c r="V24" s="49" t="s">
        <v>207</v>
      </c>
      <c r="W24" s="88" t="s">
        <v>375</v>
      </c>
      <c r="X24" s="49"/>
      <c r="Y24" s="49"/>
      <c r="AA24" s="72" t="s">
        <v>218</v>
      </c>
      <c r="AB24" s="49" t="s">
        <v>381</v>
      </c>
      <c r="AF24" s="60"/>
      <c r="AG24" s="60"/>
      <c r="AH24" s="60"/>
      <c r="AI24" s="60"/>
    </row>
    <row r="25" spans="2:35" ht="14.25" customHeight="1">
      <c r="B25" s="70" t="s">
        <v>210</v>
      </c>
      <c r="C25" s="86" t="s">
        <v>371</v>
      </c>
      <c r="D25" s="69"/>
      <c r="E25" s="69"/>
      <c r="G25" s="49" t="s">
        <v>301</v>
      </c>
      <c r="H25" s="79" t="s">
        <v>302</v>
      </c>
      <c r="M25"/>
      <c r="V25" s="49" t="s">
        <v>208</v>
      </c>
      <c r="W25" s="88" t="s">
        <v>376</v>
      </c>
      <c r="X25" s="49"/>
      <c r="Y25" s="49"/>
      <c r="AA25" s="72" t="s">
        <v>219</v>
      </c>
      <c r="AB25" s="87" t="s">
        <v>382</v>
      </c>
      <c r="AF25" s="49"/>
      <c r="AG25" s="60"/>
      <c r="AH25" s="60"/>
      <c r="AI25" s="60"/>
    </row>
    <row r="26" spans="2:35" ht="15.75" customHeight="1">
      <c r="G26" s="49" t="s">
        <v>303</v>
      </c>
      <c r="H26" s="79" t="s">
        <v>304</v>
      </c>
      <c r="M26"/>
      <c r="V26" s="49" t="s">
        <v>217</v>
      </c>
      <c r="W26" s="88" t="s">
        <v>377</v>
      </c>
      <c r="X26" s="49"/>
      <c r="Y26" s="49"/>
      <c r="AA26" s="72" t="s">
        <v>220</v>
      </c>
      <c r="AB26" s="49" t="s">
        <v>383</v>
      </c>
      <c r="AF26" s="49"/>
      <c r="AG26" s="60"/>
      <c r="AH26" s="60"/>
      <c r="AI26" s="60"/>
    </row>
    <row r="27" spans="2:35">
      <c r="H27"/>
      <c r="M27"/>
      <c r="V27" s="49" t="s">
        <v>209</v>
      </c>
      <c r="W27" s="88" t="s">
        <v>378</v>
      </c>
      <c r="X27" s="49"/>
      <c r="Y27" s="49"/>
      <c r="AA27" s="77" t="s">
        <v>221</v>
      </c>
      <c r="AB27" s="87" t="s">
        <v>384</v>
      </c>
    </row>
    <row r="28" spans="2:35">
      <c r="V28" s="49"/>
      <c r="W28" s="70"/>
      <c r="X28" s="49"/>
      <c r="Y28" s="49"/>
      <c r="AA28" s="77" t="s">
        <v>222</v>
      </c>
      <c r="AB28" s="49" t="s">
        <v>385</v>
      </c>
    </row>
    <row r="29" spans="2:35">
      <c r="V29" s="49" t="s">
        <v>223</v>
      </c>
      <c r="W29" s="88" t="s">
        <v>374</v>
      </c>
      <c r="X29" s="49"/>
      <c r="Y29" s="49"/>
    </row>
    <row r="30" spans="2:35">
      <c r="V30" s="49" t="s">
        <v>224</v>
      </c>
      <c r="W30" s="88" t="s">
        <v>375</v>
      </c>
      <c r="X30" s="49"/>
      <c r="Y30" s="49"/>
      <c r="AB30"/>
    </row>
    <row r="31" spans="2:35">
      <c r="V31" s="49" t="s">
        <v>225</v>
      </c>
      <c r="W31" s="88" t="s">
        <v>376</v>
      </c>
      <c r="X31" s="49"/>
      <c r="Y31" s="49"/>
      <c r="AB31"/>
    </row>
    <row r="32" spans="2:35">
      <c r="V32" s="49" t="s">
        <v>226</v>
      </c>
      <c r="W32" s="88" t="s">
        <v>377</v>
      </c>
      <c r="X32" s="49"/>
      <c r="Y32" s="49"/>
      <c r="AB32"/>
    </row>
    <row r="33" spans="22:28">
      <c r="V33" s="49" t="s">
        <v>227</v>
      </c>
      <c r="W33" s="88" t="s">
        <v>378</v>
      </c>
      <c r="X33" s="49"/>
      <c r="Y33" s="49"/>
      <c r="AB33"/>
    </row>
    <row r="34" spans="22:28">
      <c r="V34" s="74"/>
      <c r="W34" s="70"/>
      <c r="X34" s="49"/>
      <c r="Y34" s="49"/>
      <c r="AB34"/>
    </row>
    <row r="35" spans="22:28">
      <c r="V35" s="75" t="s">
        <v>237</v>
      </c>
      <c r="W35" s="88" t="s">
        <v>374</v>
      </c>
      <c r="X35" s="49"/>
      <c r="Y35" s="49"/>
      <c r="AB35"/>
    </row>
    <row r="36" spans="22:28">
      <c r="V36" s="75" t="s">
        <v>228</v>
      </c>
      <c r="W36" s="88" t="s">
        <v>375</v>
      </c>
      <c r="X36" s="49"/>
      <c r="Y36" s="49"/>
      <c r="AB36"/>
    </row>
    <row r="37" spans="22:28">
      <c r="V37" s="75" t="s">
        <v>229</v>
      </c>
      <c r="W37" s="88" t="s">
        <v>376</v>
      </c>
      <c r="X37" s="49"/>
      <c r="Y37" s="49"/>
      <c r="AB37"/>
    </row>
    <row r="38" spans="22:28">
      <c r="V38" s="75" t="s">
        <v>230</v>
      </c>
      <c r="W38" s="88" t="s">
        <v>377</v>
      </c>
      <c r="X38" s="49"/>
      <c r="Y38" s="49"/>
      <c r="AB38"/>
    </row>
    <row r="39" spans="22:28">
      <c r="V39" s="75" t="s">
        <v>231</v>
      </c>
      <c r="W39" s="88" t="s">
        <v>378</v>
      </c>
      <c r="X39" s="49"/>
      <c r="Y39" s="49"/>
      <c r="AB39"/>
    </row>
    <row r="40" spans="22:28">
      <c r="V40" s="75" t="s">
        <v>239</v>
      </c>
      <c r="W40" s="88" t="s">
        <v>379</v>
      </c>
      <c r="X40" s="49"/>
      <c r="Y40" s="49"/>
      <c r="AB40"/>
    </row>
    <row r="41" spans="22:28">
      <c r="V41" s="73"/>
      <c r="W41" s="49"/>
      <c r="X41" s="49"/>
      <c r="Y41" s="49"/>
      <c r="AB41"/>
    </row>
    <row r="42" spans="22:28">
      <c r="V42" s="75" t="s">
        <v>232</v>
      </c>
      <c r="W42" s="88" t="s">
        <v>374</v>
      </c>
      <c r="X42" s="49"/>
      <c r="Y42" s="49"/>
      <c r="AB42"/>
    </row>
    <row r="43" spans="22:28">
      <c r="V43" s="75" t="s">
        <v>233</v>
      </c>
      <c r="W43" s="88" t="s">
        <v>375</v>
      </c>
      <c r="X43" s="49"/>
      <c r="Y43" s="49"/>
      <c r="AB43"/>
    </row>
    <row r="44" spans="22:28">
      <c r="V44" s="75" t="s">
        <v>234</v>
      </c>
      <c r="W44" s="88" t="s">
        <v>376</v>
      </c>
      <c r="X44" s="49"/>
      <c r="Y44" s="49"/>
      <c r="AB44"/>
    </row>
    <row r="45" spans="22:28">
      <c r="V45" s="75" t="s">
        <v>235</v>
      </c>
      <c r="W45" s="88" t="s">
        <v>377</v>
      </c>
      <c r="X45" s="49"/>
      <c r="Y45" s="49"/>
      <c r="AB45"/>
    </row>
    <row r="46" spans="22:28">
      <c r="V46" s="75" t="s">
        <v>236</v>
      </c>
      <c r="W46" s="88" t="s">
        <v>378</v>
      </c>
      <c r="X46" s="49"/>
      <c r="Y46" s="49"/>
      <c r="AB46"/>
    </row>
    <row r="47" spans="22:28">
      <c r="V47" s="75" t="s">
        <v>238</v>
      </c>
      <c r="W47" s="88" t="s">
        <v>379</v>
      </c>
      <c r="X47" s="49"/>
      <c r="Y47" s="49"/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workbookViewId="0">
      <selection activeCell="J95" sqref="J95"/>
    </sheetView>
  </sheetViews>
  <sheetFormatPr defaultRowHeight="15"/>
  <cols>
    <col min="1" max="16384" width="9.140625" style="82"/>
  </cols>
  <sheetData>
    <row r="1" spans="1:15">
      <c r="A1" s="82" t="s">
        <v>308</v>
      </c>
      <c r="B1" s="82" t="s">
        <v>309</v>
      </c>
      <c r="C1" s="82" t="s">
        <v>310</v>
      </c>
      <c r="D1" s="82" t="s">
        <v>311</v>
      </c>
      <c r="E1" s="82" t="s">
        <v>312</v>
      </c>
      <c r="F1" s="82" t="s">
        <v>313</v>
      </c>
      <c r="G1" s="82" t="s">
        <v>314</v>
      </c>
      <c r="H1" s="82" t="s">
        <v>315</v>
      </c>
      <c r="I1" s="82" t="s">
        <v>316</v>
      </c>
      <c r="J1" s="82" t="s">
        <v>317</v>
      </c>
      <c r="K1" s="82" t="s">
        <v>318</v>
      </c>
      <c r="L1" s="82" t="s">
        <v>319</v>
      </c>
      <c r="M1" s="82" t="s">
        <v>320</v>
      </c>
      <c r="N1" s="82" t="s">
        <v>321</v>
      </c>
      <c r="O1" s="82" t="s">
        <v>322</v>
      </c>
    </row>
    <row r="2" spans="1:15">
      <c r="A2" s="82">
        <v>204912</v>
      </c>
      <c r="B2" s="82" t="s">
        <v>245</v>
      </c>
      <c r="D2" s="82">
        <v>0</v>
      </c>
      <c r="E2" s="82">
        <v>0</v>
      </c>
      <c r="F2" s="82">
        <v>0</v>
      </c>
      <c r="G2" s="82">
        <v>0</v>
      </c>
      <c r="H2" s="82">
        <v>0</v>
      </c>
      <c r="I2" s="82">
        <v>0</v>
      </c>
      <c r="J2" s="82">
        <v>0</v>
      </c>
      <c r="K2" s="82" t="s">
        <v>240</v>
      </c>
      <c r="L2" s="82" t="s">
        <v>241</v>
      </c>
      <c r="M2" s="82" t="s">
        <v>246</v>
      </c>
      <c r="N2" s="82" t="s">
        <v>243</v>
      </c>
      <c r="O2" s="82" t="s">
        <v>247</v>
      </c>
    </row>
    <row r="3" spans="1:15">
      <c r="A3" s="82">
        <v>204913</v>
      </c>
      <c r="B3" s="82" t="s">
        <v>323</v>
      </c>
      <c r="D3" s="82">
        <v>0</v>
      </c>
      <c r="E3" s="82">
        <v>0</v>
      </c>
      <c r="F3" s="82">
        <v>0</v>
      </c>
      <c r="G3" s="82">
        <v>0</v>
      </c>
      <c r="H3" s="82">
        <v>0</v>
      </c>
      <c r="I3" s="82">
        <v>0</v>
      </c>
      <c r="J3" s="82">
        <v>0</v>
      </c>
      <c r="K3" s="82" t="s">
        <v>240</v>
      </c>
      <c r="L3" s="82" t="s">
        <v>324</v>
      </c>
      <c r="M3" s="82" t="s">
        <v>246</v>
      </c>
      <c r="N3" s="82" t="s">
        <v>243</v>
      </c>
      <c r="O3" s="82" t="s">
        <v>247</v>
      </c>
    </row>
    <row r="4" spans="1:15">
      <c r="A4" s="82">
        <v>204914</v>
      </c>
      <c r="B4" s="82" t="s">
        <v>248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2">
        <v>0</v>
      </c>
      <c r="J4" s="82">
        <v>0</v>
      </c>
      <c r="K4" s="82" t="s">
        <v>240</v>
      </c>
      <c r="L4" s="82" t="s">
        <v>241</v>
      </c>
      <c r="M4" s="82" t="s">
        <v>242</v>
      </c>
      <c r="N4" s="82" t="s">
        <v>243</v>
      </c>
      <c r="O4" s="82" t="s">
        <v>247</v>
      </c>
    </row>
    <row r="5" spans="1:15">
      <c r="A5" s="82">
        <v>204915</v>
      </c>
      <c r="B5" s="82" t="s">
        <v>325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 t="s">
        <v>240</v>
      </c>
      <c r="L5" s="82" t="s">
        <v>324</v>
      </c>
      <c r="M5" s="82" t="s">
        <v>242</v>
      </c>
      <c r="N5" s="82" t="s">
        <v>243</v>
      </c>
      <c r="O5" s="82" t="s">
        <v>247</v>
      </c>
    </row>
    <row r="6" spans="1:15">
      <c r="A6" s="82">
        <v>204916</v>
      </c>
      <c r="B6" s="82" t="s">
        <v>249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 t="s">
        <v>240</v>
      </c>
      <c r="L6" s="82" t="s">
        <v>241</v>
      </c>
      <c r="M6" s="82" t="s">
        <v>244</v>
      </c>
      <c r="N6" s="82" t="s">
        <v>243</v>
      </c>
      <c r="O6" s="82" t="s">
        <v>247</v>
      </c>
    </row>
    <row r="7" spans="1:15">
      <c r="A7" s="82">
        <v>204917</v>
      </c>
      <c r="B7" s="82" t="s">
        <v>326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 t="s">
        <v>240</v>
      </c>
      <c r="L7" s="82" t="s">
        <v>324</v>
      </c>
      <c r="M7" s="82" t="s">
        <v>244</v>
      </c>
      <c r="N7" s="82" t="s">
        <v>243</v>
      </c>
      <c r="O7" s="82" t="s">
        <v>247</v>
      </c>
    </row>
    <row r="8" spans="1:15">
      <c r="A8" s="82">
        <v>204944</v>
      </c>
      <c r="B8" s="82" t="s">
        <v>251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 t="s">
        <v>250</v>
      </c>
      <c r="L8" s="82" t="s">
        <v>241</v>
      </c>
      <c r="M8" s="82" t="s">
        <v>246</v>
      </c>
      <c r="N8" s="82" t="s">
        <v>243</v>
      </c>
      <c r="O8" s="82" t="s">
        <v>247</v>
      </c>
    </row>
    <row r="9" spans="1:15">
      <c r="A9" s="82">
        <v>204945</v>
      </c>
      <c r="B9" s="82" t="s">
        <v>327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 t="s">
        <v>250</v>
      </c>
      <c r="L9" s="82" t="s">
        <v>324</v>
      </c>
      <c r="M9" s="82" t="s">
        <v>246</v>
      </c>
      <c r="N9" s="82" t="s">
        <v>243</v>
      </c>
      <c r="O9" s="82" t="s">
        <v>247</v>
      </c>
    </row>
    <row r="10" spans="1:15">
      <c r="A10" s="82">
        <v>204946</v>
      </c>
      <c r="B10" s="82" t="s">
        <v>252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 t="s">
        <v>250</v>
      </c>
      <c r="L10" s="82" t="s">
        <v>241</v>
      </c>
      <c r="M10" s="82" t="s">
        <v>242</v>
      </c>
      <c r="N10" s="82" t="s">
        <v>243</v>
      </c>
      <c r="O10" s="82" t="s">
        <v>247</v>
      </c>
    </row>
    <row r="11" spans="1:15">
      <c r="A11" s="82">
        <v>204947</v>
      </c>
      <c r="B11" s="82" t="s">
        <v>328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 t="s">
        <v>250</v>
      </c>
      <c r="L11" s="82" t="s">
        <v>324</v>
      </c>
      <c r="M11" s="82" t="s">
        <v>242</v>
      </c>
      <c r="N11" s="82" t="s">
        <v>243</v>
      </c>
      <c r="O11" s="82" t="s">
        <v>247</v>
      </c>
    </row>
    <row r="12" spans="1:15">
      <c r="A12" s="82">
        <v>204948</v>
      </c>
      <c r="B12" s="82" t="s">
        <v>253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 t="s">
        <v>250</v>
      </c>
      <c r="L12" s="82" t="s">
        <v>241</v>
      </c>
      <c r="M12" s="82" t="s">
        <v>244</v>
      </c>
      <c r="N12" s="82" t="s">
        <v>243</v>
      </c>
      <c r="O12" s="82" t="s">
        <v>247</v>
      </c>
    </row>
    <row r="13" spans="1:15">
      <c r="A13" s="82">
        <v>204949</v>
      </c>
      <c r="B13" s="82" t="s">
        <v>329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 t="s">
        <v>250</v>
      </c>
      <c r="L13" s="82" t="s">
        <v>324</v>
      </c>
      <c r="M13" s="82" t="s">
        <v>244</v>
      </c>
      <c r="N13" s="82" t="s">
        <v>243</v>
      </c>
      <c r="O13" s="82" t="s">
        <v>247</v>
      </c>
    </row>
    <row r="14" spans="1:15">
      <c r="A14" s="82">
        <v>204976</v>
      </c>
      <c r="B14" s="82" t="s">
        <v>255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 t="s">
        <v>254</v>
      </c>
      <c r="L14" s="82" t="s">
        <v>241</v>
      </c>
      <c r="M14" s="82" t="s">
        <v>246</v>
      </c>
      <c r="N14" s="82" t="s">
        <v>243</v>
      </c>
      <c r="O14" s="82" t="s">
        <v>247</v>
      </c>
    </row>
    <row r="15" spans="1:15">
      <c r="A15" s="82">
        <v>204977</v>
      </c>
      <c r="B15" s="82" t="s">
        <v>330</v>
      </c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 t="s">
        <v>254</v>
      </c>
      <c r="L15" s="82" t="s">
        <v>324</v>
      </c>
      <c r="M15" s="82" t="s">
        <v>246</v>
      </c>
      <c r="N15" s="82" t="s">
        <v>243</v>
      </c>
      <c r="O15" s="82" t="s">
        <v>247</v>
      </c>
    </row>
    <row r="16" spans="1:15">
      <c r="A16" s="82">
        <v>204978</v>
      </c>
      <c r="B16" s="82" t="s">
        <v>256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 t="s">
        <v>254</v>
      </c>
      <c r="L16" s="82" t="s">
        <v>241</v>
      </c>
      <c r="M16" s="82" t="s">
        <v>242</v>
      </c>
      <c r="N16" s="82" t="s">
        <v>243</v>
      </c>
      <c r="O16" s="82" t="s">
        <v>247</v>
      </c>
    </row>
    <row r="17" spans="1:15">
      <c r="A17" s="82">
        <v>204979</v>
      </c>
      <c r="B17" s="82" t="s">
        <v>331</v>
      </c>
      <c r="D17" s="82">
        <v>0</v>
      </c>
      <c r="E17" s="82">
        <v>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 t="s">
        <v>254</v>
      </c>
      <c r="L17" s="82" t="s">
        <v>324</v>
      </c>
      <c r="M17" s="82" t="s">
        <v>242</v>
      </c>
      <c r="N17" s="82" t="s">
        <v>243</v>
      </c>
      <c r="O17" s="82" t="s">
        <v>247</v>
      </c>
    </row>
    <row r="18" spans="1:15">
      <c r="A18" s="82">
        <v>204980</v>
      </c>
      <c r="B18" s="82" t="s">
        <v>257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 t="s">
        <v>254</v>
      </c>
      <c r="L18" s="82" t="s">
        <v>241</v>
      </c>
      <c r="M18" s="82" t="s">
        <v>244</v>
      </c>
      <c r="N18" s="82" t="s">
        <v>243</v>
      </c>
      <c r="O18" s="82" t="s">
        <v>247</v>
      </c>
    </row>
    <row r="19" spans="1:15">
      <c r="A19" s="82">
        <v>204981</v>
      </c>
      <c r="B19" s="82" t="s">
        <v>332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 t="s">
        <v>254</v>
      </c>
      <c r="L19" s="82" t="s">
        <v>324</v>
      </c>
      <c r="M19" s="82" t="s">
        <v>244</v>
      </c>
      <c r="N19" s="82" t="s">
        <v>243</v>
      </c>
      <c r="O19" s="82" t="s">
        <v>247</v>
      </c>
    </row>
    <row r="20" spans="1:15">
      <c r="A20" s="82">
        <v>205008</v>
      </c>
      <c r="B20" s="82" t="s">
        <v>259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 t="s">
        <v>240</v>
      </c>
      <c r="L20" s="82" t="s">
        <v>241</v>
      </c>
      <c r="M20" s="82" t="s">
        <v>246</v>
      </c>
      <c r="N20" s="82" t="s">
        <v>258</v>
      </c>
      <c r="O20" s="82" t="s">
        <v>247</v>
      </c>
    </row>
    <row r="21" spans="1:15">
      <c r="A21" s="82">
        <v>205009</v>
      </c>
      <c r="B21" s="82" t="s">
        <v>333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 t="s">
        <v>240</v>
      </c>
      <c r="L21" s="82" t="s">
        <v>324</v>
      </c>
      <c r="M21" s="82" t="s">
        <v>246</v>
      </c>
      <c r="N21" s="82" t="s">
        <v>258</v>
      </c>
      <c r="O21" s="82" t="s">
        <v>247</v>
      </c>
    </row>
    <row r="22" spans="1:15">
      <c r="A22" s="82">
        <v>205010</v>
      </c>
      <c r="B22" s="82" t="s">
        <v>260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 t="s">
        <v>240</v>
      </c>
      <c r="L22" s="82" t="s">
        <v>241</v>
      </c>
      <c r="M22" s="82" t="s">
        <v>242</v>
      </c>
      <c r="N22" s="82" t="s">
        <v>258</v>
      </c>
      <c r="O22" s="82" t="s">
        <v>247</v>
      </c>
    </row>
    <row r="23" spans="1:15">
      <c r="A23" s="82">
        <v>205011</v>
      </c>
      <c r="B23" s="82" t="s">
        <v>334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 t="s">
        <v>240</v>
      </c>
      <c r="L23" s="82" t="s">
        <v>324</v>
      </c>
      <c r="M23" s="82" t="s">
        <v>242</v>
      </c>
      <c r="N23" s="82" t="s">
        <v>258</v>
      </c>
      <c r="O23" s="82" t="s">
        <v>247</v>
      </c>
    </row>
    <row r="24" spans="1:15">
      <c r="A24" s="82">
        <v>205012</v>
      </c>
      <c r="B24" s="82" t="s">
        <v>261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 t="s">
        <v>240</v>
      </c>
      <c r="L24" s="82" t="s">
        <v>241</v>
      </c>
      <c r="M24" s="82" t="s">
        <v>244</v>
      </c>
      <c r="N24" s="82" t="s">
        <v>258</v>
      </c>
      <c r="O24" s="82" t="s">
        <v>247</v>
      </c>
    </row>
    <row r="25" spans="1:15">
      <c r="A25" s="82">
        <v>205013</v>
      </c>
      <c r="B25" s="82" t="s">
        <v>335</v>
      </c>
      <c r="D25" s="82">
        <v>0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 t="s">
        <v>240</v>
      </c>
      <c r="L25" s="82" t="s">
        <v>324</v>
      </c>
      <c r="M25" s="82" t="s">
        <v>244</v>
      </c>
      <c r="N25" s="82" t="s">
        <v>258</v>
      </c>
      <c r="O25" s="82" t="s">
        <v>247</v>
      </c>
    </row>
    <row r="26" spans="1:15">
      <c r="A26" s="82">
        <v>205040</v>
      </c>
      <c r="B26" s="82" t="s">
        <v>262</v>
      </c>
      <c r="D26" s="82">
        <v>0</v>
      </c>
      <c r="E26" s="82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 t="s">
        <v>250</v>
      </c>
      <c r="L26" s="82" t="s">
        <v>241</v>
      </c>
      <c r="M26" s="82" t="s">
        <v>246</v>
      </c>
      <c r="N26" s="82" t="s">
        <v>258</v>
      </c>
      <c r="O26" s="82" t="s">
        <v>247</v>
      </c>
    </row>
    <row r="27" spans="1:15">
      <c r="A27" s="82">
        <v>205041</v>
      </c>
      <c r="B27" s="82" t="s">
        <v>336</v>
      </c>
      <c r="D27" s="82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 t="s">
        <v>250</v>
      </c>
      <c r="L27" s="82" t="s">
        <v>324</v>
      </c>
      <c r="M27" s="82" t="s">
        <v>246</v>
      </c>
      <c r="N27" s="82" t="s">
        <v>258</v>
      </c>
      <c r="O27" s="82" t="s">
        <v>247</v>
      </c>
    </row>
    <row r="28" spans="1:15">
      <c r="A28" s="82">
        <v>205042</v>
      </c>
      <c r="B28" s="82" t="s">
        <v>263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 t="s">
        <v>250</v>
      </c>
      <c r="L28" s="82" t="s">
        <v>241</v>
      </c>
      <c r="M28" s="82" t="s">
        <v>242</v>
      </c>
      <c r="N28" s="82" t="s">
        <v>258</v>
      </c>
      <c r="O28" s="82" t="s">
        <v>247</v>
      </c>
    </row>
    <row r="29" spans="1:15">
      <c r="A29" s="82">
        <v>205043</v>
      </c>
      <c r="B29" s="82" t="s">
        <v>337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 t="s">
        <v>250</v>
      </c>
      <c r="L29" s="82" t="s">
        <v>324</v>
      </c>
      <c r="M29" s="82" t="s">
        <v>242</v>
      </c>
      <c r="N29" s="82" t="s">
        <v>258</v>
      </c>
      <c r="O29" s="82" t="s">
        <v>247</v>
      </c>
    </row>
    <row r="30" spans="1:15">
      <c r="A30" s="82">
        <v>205044</v>
      </c>
      <c r="B30" s="82" t="s">
        <v>264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 t="s">
        <v>250</v>
      </c>
      <c r="L30" s="82" t="s">
        <v>241</v>
      </c>
      <c r="M30" s="82" t="s">
        <v>244</v>
      </c>
      <c r="N30" s="82" t="s">
        <v>258</v>
      </c>
      <c r="O30" s="82" t="s">
        <v>247</v>
      </c>
    </row>
    <row r="31" spans="1:15">
      <c r="A31" s="82">
        <v>205045</v>
      </c>
      <c r="B31" s="82" t="s">
        <v>338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 t="s">
        <v>250</v>
      </c>
      <c r="L31" s="82" t="s">
        <v>324</v>
      </c>
      <c r="M31" s="82" t="s">
        <v>244</v>
      </c>
      <c r="N31" s="82" t="s">
        <v>258</v>
      </c>
      <c r="O31" s="82" t="s">
        <v>247</v>
      </c>
    </row>
    <row r="32" spans="1:15">
      <c r="A32" s="82">
        <v>205072</v>
      </c>
      <c r="B32" s="82" t="s">
        <v>265</v>
      </c>
      <c r="D32" s="82">
        <v>0</v>
      </c>
      <c r="E32" s="82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 t="s">
        <v>254</v>
      </c>
      <c r="L32" s="82" t="s">
        <v>241</v>
      </c>
      <c r="M32" s="82" t="s">
        <v>246</v>
      </c>
      <c r="N32" s="82" t="s">
        <v>258</v>
      </c>
      <c r="O32" s="82" t="s">
        <v>247</v>
      </c>
    </row>
    <row r="33" spans="1:15">
      <c r="A33" s="82">
        <v>205073</v>
      </c>
      <c r="B33" s="82" t="s">
        <v>339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 t="s">
        <v>254</v>
      </c>
      <c r="L33" s="82" t="s">
        <v>324</v>
      </c>
      <c r="M33" s="82" t="s">
        <v>246</v>
      </c>
      <c r="N33" s="82" t="s">
        <v>258</v>
      </c>
      <c r="O33" s="82" t="s">
        <v>247</v>
      </c>
    </row>
    <row r="34" spans="1:15">
      <c r="A34" s="82">
        <v>205074</v>
      </c>
      <c r="B34" s="82" t="s">
        <v>266</v>
      </c>
      <c r="D34" s="82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 t="s">
        <v>254</v>
      </c>
      <c r="L34" s="82" t="s">
        <v>241</v>
      </c>
      <c r="M34" s="82" t="s">
        <v>242</v>
      </c>
      <c r="N34" s="82" t="s">
        <v>258</v>
      </c>
      <c r="O34" s="82" t="s">
        <v>247</v>
      </c>
    </row>
    <row r="35" spans="1:15">
      <c r="A35" s="82">
        <v>205075</v>
      </c>
      <c r="B35" s="82" t="s">
        <v>340</v>
      </c>
      <c r="D35" s="82">
        <v>0</v>
      </c>
      <c r="E35" s="82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 t="s">
        <v>254</v>
      </c>
      <c r="L35" s="82" t="s">
        <v>324</v>
      </c>
      <c r="M35" s="82" t="s">
        <v>242</v>
      </c>
      <c r="N35" s="82" t="s">
        <v>258</v>
      </c>
      <c r="O35" s="82" t="s">
        <v>247</v>
      </c>
    </row>
    <row r="36" spans="1:15">
      <c r="A36" s="82">
        <v>205076</v>
      </c>
      <c r="B36" s="82" t="s">
        <v>267</v>
      </c>
      <c r="D36" s="82">
        <v>0</v>
      </c>
      <c r="E36" s="82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 t="s">
        <v>254</v>
      </c>
      <c r="L36" s="82" t="s">
        <v>241</v>
      </c>
      <c r="M36" s="82" t="s">
        <v>244</v>
      </c>
      <c r="N36" s="82" t="s">
        <v>258</v>
      </c>
      <c r="O36" s="82" t="s">
        <v>247</v>
      </c>
    </row>
    <row r="37" spans="1:15">
      <c r="A37" s="82">
        <v>205077</v>
      </c>
      <c r="B37" s="82" t="s">
        <v>341</v>
      </c>
      <c r="D37" s="82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 t="s">
        <v>254</v>
      </c>
      <c r="L37" s="82" t="s">
        <v>324</v>
      </c>
      <c r="M37" s="82" t="s">
        <v>244</v>
      </c>
      <c r="N37" s="82" t="s">
        <v>258</v>
      </c>
      <c r="O37" s="82" t="s">
        <v>247</v>
      </c>
    </row>
    <row r="38" spans="1:15">
      <c r="A38" s="82">
        <v>205104</v>
      </c>
      <c r="B38" s="82" t="s">
        <v>269</v>
      </c>
      <c r="D38" s="82">
        <v>0</v>
      </c>
      <c r="E38" s="82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 t="s">
        <v>240</v>
      </c>
      <c r="L38" s="82" t="s">
        <v>241</v>
      </c>
      <c r="M38" s="82" t="s">
        <v>246</v>
      </c>
      <c r="N38" s="82" t="s">
        <v>268</v>
      </c>
      <c r="O38" s="82" t="s">
        <v>247</v>
      </c>
    </row>
    <row r="39" spans="1:15">
      <c r="A39" s="82">
        <v>205105</v>
      </c>
      <c r="B39" s="82" t="s">
        <v>342</v>
      </c>
      <c r="D39" s="82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 t="s">
        <v>240</v>
      </c>
      <c r="L39" s="82" t="s">
        <v>324</v>
      </c>
      <c r="M39" s="82" t="s">
        <v>246</v>
      </c>
      <c r="N39" s="82" t="s">
        <v>268</v>
      </c>
      <c r="O39" s="82" t="s">
        <v>247</v>
      </c>
    </row>
    <row r="40" spans="1:15">
      <c r="A40" s="82">
        <v>205106</v>
      </c>
      <c r="B40" s="82" t="s">
        <v>270</v>
      </c>
      <c r="D40" s="82">
        <v>0</v>
      </c>
      <c r="E40" s="82">
        <v>0</v>
      </c>
      <c r="F40" s="82">
        <v>0</v>
      </c>
      <c r="G40" s="82">
        <v>0</v>
      </c>
      <c r="H40" s="82">
        <v>0</v>
      </c>
      <c r="I40" s="82">
        <v>0</v>
      </c>
      <c r="J40" s="82">
        <v>0</v>
      </c>
      <c r="K40" s="82" t="s">
        <v>240</v>
      </c>
      <c r="L40" s="82" t="s">
        <v>241</v>
      </c>
      <c r="M40" s="82" t="s">
        <v>242</v>
      </c>
      <c r="N40" s="82" t="s">
        <v>268</v>
      </c>
      <c r="O40" s="82" t="s">
        <v>247</v>
      </c>
    </row>
    <row r="41" spans="1:15">
      <c r="A41" s="82">
        <v>205107</v>
      </c>
      <c r="B41" s="82" t="s">
        <v>343</v>
      </c>
      <c r="D41" s="82">
        <v>0</v>
      </c>
      <c r="E41" s="82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 t="s">
        <v>240</v>
      </c>
      <c r="L41" s="82" t="s">
        <v>324</v>
      </c>
      <c r="M41" s="82" t="s">
        <v>242</v>
      </c>
      <c r="N41" s="82" t="s">
        <v>268</v>
      </c>
      <c r="O41" s="82" t="s">
        <v>247</v>
      </c>
    </row>
    <row r="42" spans="1:15">
      <c r="A42" s="82">
        <v>205108</v>
      </c>
      <c r="B42" s="82" t="s">
        <v>271</v>
      </c>
      <c r="D42" s="82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 t="s">
        <v>240</v>
      </c>
      <c r="L42" s="82" t="s">
        <v>241</v>
      </c>
      <c r="M42" s="82" t="s">
        <v>244</v>
      </c>
      <c r="N42" s="82" t="s">
        <v>268</v>
      </c>
      <c r="O42" s="82" t="s">
        <v>247</v>
      </c>
    </row>
    <row r="43" spans="1:15">
      <c r="A43" s="82">
        <v>205109</v>
      </c>
      <c r="B43" s="82" t="s">
        <v>344</v>
      </c>
      <c r="D43" s="82">
        <v>0</v>
      </c>
      <c r="E43" s="82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 t="s">
        <v>240</v>
      </c>
      <c r="L43" s="82" t="s">
        <v>324</v>
      </c>
      <c r="M43" s="82" t="s">
        <v>244</v>
      </c>
      <c r="N43" s="82" t="s">
        <v>268</v>
      </c>
      <c r="O43" s="82" t="s">
        <v>247</v>
      </c>
    </row>
    <row r="44" spans="1:15">
      <c r="A44" s="82">
        <v>205136</v>
      </c>
      <c r="B44" s="82" t="s">
        <v>272</v>
      </c>
      <c r="D44" s="82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 t="s">
        <v>250</v>
      </c>
      <c r="L44" s="82" t="s">
        <v>241</v>
      </c>
      <c r="M44" s="82" t="s">
        <v>246</v>
      </c>
      <c r="N44" s="82" t="s">
        <v>268</v>
      </c>
      <c r="O44" s="82" t="s">
        <v>247</v>
      </c>
    </row>
    <row r="45" spans="1:15">
      <c r="A45" s="82">
        <v>205137</v>
      </c>
      <c r="B45" s="82" t="s">
        <v>345</v>
      </c>
      <c r="D45" s="82">
        <v>0</v>
      </c>
      <c r="E45" s="82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 t="s">
        <v>250</v>
      </c>
      <c r="L45" s="82" t="s">
        <v>324</v>
      </c>
      <c r="M45" s="82" t="s">
        <v>246</v>
      </c>
      <c r="N45" s="82" t="s">
        <v>268</v>
      </c>
      <c r="O45" s="82" t="s">
        <v>247</v>
      </c>
    </row>
    <row r="46" spans="1:15">
      <c r="A46" s="82">
        <v>205138</v>
      </c>
      <c r="B46" s="82" t="s">
        <v>273</v>
      </c>
      <c r="D46" s="82">
        <v>0</v>
      </c>
      <c r="E46" s="82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 t="s">
        <v>250</v>
      </c>
      <c r="L46" s="82" t="s">
        <v>241</v>
      </c>
      <c r="M46" s="82" t="s">
        <v>242</v>
      </c>
      <c r="N46" s="82" t="s">
        <v>268</v>
      </c>
      <c r="O46" s="82" t="s">
        <v>247</v>
      </c>
    </row>
    <row r="47" spans="1:15">
      <c r="A47" s="82">
        <v>205139</v>
      </c>
      <c r="B47" s="82" t="s">
        <v>346</v>
      </c>
      <c r="D47" s="82">
        <v>0</v>
      </c>
      <c r="E47" s="82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 t="s">
        <v>250</v>
      </c>
      <c r="L47" s="82" t="s">
        <v>324</v>
      </c>
      <c r="M47" s="82" t="s">
        <v>242</v>
      </c>
      <c r="N47" s="82" t="s">
        <v>268</v>
      </c>
      <c r="O47" s="82" t="s">
        <v>247</v>
      </c>
    </row>
    <row r="48" spans="1:15">
      <c r="A48" s="82">
        <v>205140</v>
      </c>
      <c r="B48" s="82" t="s">
        <v>274</v>
      </c>
      <c r="D48" s="82">
        <v>0</v>
      </c>
      <c r="E48" s="82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 t="s">
        <v>250</v>
      </c>
      <c r="L48" s="82" t="s">
        <v>241</v>
      </c>
      <c r="M48" s="82" t="s">
        <v>244</v>
      </c>
      <c r="N48" s="82" t="s">
        <v>268</v>
      </c>
      <c r="O48" s="82" t="s">
        <v>247</v>
      </c>
    </row>
    <row r="49" spans="1:15">
      <c r="A49" s="82">
        <v>205141</v>
      </c>
      <c r="B49" s="82" t="s">
        <v>347</v>
      </c>
      <c r="D49" s="82">
        <v>0</v>
      </c>
      <c r="E49" s="82">
        <v>0</v>
      </c>
      <c r="F49" s="82">
        <v>0</v>
      </c>
      <c r="G49" s="82">
        <v>0</v>
      </c>
      <c r="H49" s="82">
        <v>0</v>
      </c>
      <c r="I49" s="82">
        <v>0</v>
      </c>
      <c r="J49" s="82">
        <v>0</v>
      </c>
      <c r="K49" s="82" t="s">
        <v>250</v>
      </c>
      <c r="L49" s="82" t="s">
        <v>324</v>
      </c>
      <c r="M49" s="82" t="s">
        <v>244</v>
      </c>
      <c r="N49" s="82" t="s">
        <v>268</v>
      </c>
      <c r="O49" s="82" t="s">
        <v>247</v>
      </c>
    </row>
    <row r="50" spans="1:15">
      <c r="A50" s="82">
        <v>205168</v>
      </c>
      <c r="B50" s="82" t="s">
        <v>275</v>
      </c>
      <c r="D50" s="82">
        <v>0</v>
      </c>
      <c r="E50" s="82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 t="s">
        <v>254</v>
      </c>
      <c r="L50" s="82" t="s">
        <v>241</v>
      </c>
      <c r="M50" s="82" t="s">
        <v>246</v>
      </c>
      <c r="N50" s="82" t="s">
        <v>268</v>
      </c>
      <c r="O50" s="82" t="s">
        <v>247</v>
      </c>
    </row>
    <row r="51" spans="1:15">
      <c r="A51" s="82">
        <v>205169</v>
      </c>
      <c r="B51" s="82" t="s">
        <v>348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 t="s">
        <v>254</v>
      </c>
      <c r="L51" s="82" t="s">
        <v>324</v>
      </c>
      <c r="M51" s="82" t="s">
        <v>246</v>
      </c>
      <c r="N51" s="82" t="s">
        <v>268</v>
      </c>
      <c r="O51" s="82" t="s">
        <v>247</v>
      </c>
    </row>
    <row r="52" spans="1:15">
      <c r="A52" s="82">
        <v>205170</v>
      </c>
      <c r="B52" s="82" t="s">
        <v>276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 t="s">
        <v>254</v>
      </c>
      <c r="L52" s="82" t="s">
        <v>241</v>
      </c>
      <c r="M52" s="82" t="s">
        <v>242</v>
      </c>
      <c r="N52" s="82" t="s">
        <v>268</v>
      </c>
      <c r="O52" s="82" t="s">
        <v>247</v>
      </c>
    </row>
    <row r="53" spans="1:15">
      <c r="A53" s="82">
        <v>205171</v>
      </c>
      <c r="B53" s="82" t="s">
        <v>349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 t="s">
        <v>254</v>
      </c>
      <c r="L53" s="82" t="s">
        <v>324</v>
      </c>
      <c r="M53" s="82" t="s">
        <v>242</v>
      </c>
      <c r="N53" s="82" t="s">
        <v>268</v>
      </c>
      <c r="O53" s="82" t="s">
        <v>247</v>
      </c>
    </row>
    <row r="54" spans="1:15">
      <c r="A54" s="82">
        <v>205172</v>
      </c>
      <c r="B54" s="82" t="s">
        <v>277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 t="s">
        <v>254</v>
      </c>
      <c r="L54" s="82" t="s">
        <v>241</v>
      </c>
      <c r="M54" s="82" t="s">
        <v>244</v>
      </c>
      <c r="N54" s="82" t="s">
        <v>268</v>
      </c>
      <c r="O54" s="82" t="s">
        <v>247</v>
      </c>
    </row>
    <row r="55" spans="1:15">
      <c r="A55" s="82">
        <v>205173</v>
      </c>
      <c r="B55" s="82" t="s">
        <v>350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 t="s">
        <v>254</v>
      </c>
      <c r="L55" s="82" t="s">
        <v>324</v>
      </c>
      <c r="M55" s="82" t="s">
        <v>244</v>
      </c>
      <c r="N55" s="82" t="s">
        <v>268</v>
      </c>
      <c r="O55" s="82" t="s">
        <v>247</v>
      </c>
    </row>
    <row r="56" spans="1:15">
      <c r="A56" s="82">
        <v>205206</v>
      </c>
      <c r="B56" s="82" t="s">
        <v>280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 t="s">
        <v>240</v>
      </c>
      <c r="L56" s="82" t="s">
        <v>241</v>
      </c>
      <c r="M56" s="82" t="s">
        <v>278</v>
      </c>
      <c r="N56" s="82" t="s">
        <v>279</v>
      </c>
      <c r="O56" s="82" t="s">
        <v>247</v>
      </c>
    </row>
    <row r="57" spans="1:15">
      <c r="A57" s="82">
        <v>205207</v>
      </c>
      <c r="B57" s="82" t="s">
        <v>351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 t="s">
        <v>240</v>
      </c>
      <c r="L57" s="82" t="s">
        <v>324</v>
      </c>
      <c r="M57" s="82" t="s">
        <v>278</v>
      </c>
      <c r="N57" s="82" t="s">
        <v>279</v>
      </c>
      <c r="O57" s="82" t="s">
        <v>247</v>
      </c>
    </row>
    <row r="58" spans="1:15">
      <c r="A58" s="82">
        <v>205238</v>
      </c>
      <c r="B58" s="82" t="s">
        <v>281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 t="s">
        <v>250</v>
      </c>
      <c r="L58" s="82" t="s">
        <v>241</v>
      </c>
      <c r="M58" s="82" t="s">
        <v>278</v>
      </c>
      <c r="N58" s="82" t="s">
        <v>279</v>
      </c>
      <c r="O58" s="82" t="s">
        <v>247</v>
      </c>
    </row>
    <row r="59" spans="1:15">
      <c r="A59" s="82">
        <v>205239</v>
      </c>
      <c r="B59" s="82" t="s">
        <v>352</v>
      </c>
      <c r="D59" s="82">
        <v>0</v>
      </c>
      <c r="E59" s="82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 t="s">
        <v>250</v>
      </c>
      <c r="L59" s="82" t="s">
        <v>324</v>
      </c>
      <c r="M59" s="82" t="s">
        <v>278</v>
      </c>
      <c r="N59" s="82" t="s">
        <v>279</v>
      </c>
      <c r="O59" s="82" t="s">
        <v>247</v>
      </c>
    </row>
    <row r="60" spans="1:15">
      <c r="A60" s="82">
        <v>205270</v>
      </c>
      <c r="B60" s="82" t="s">
        <v>282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 t="s">
        <v>254</v>
      </c>
      <c r="L60" s="82" t="s">
        <v>241</v>
      </c>
      <c r="M60" s="82" t="s">
        <v>278</v>
      </c>
      <c r="N60" s="82" t="s">
        <v>279</v>
      </c>
      <c r="O60" s="82" t="s">
        <v>247</v>
      </c>
    </row>
    <row r="61" spans="1:15">
      <c r="A61" s="82">
        <v>205271</v>
      </c>
      <c r="B61" s="82" t="s">
        <v>353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 t="s">
        <v>254</v>
      </c>
      <c r="L61" s="82" t="s">
        <v>324</v>
      </c>
      <c r="M61" s="82" t="s">
        <v>278</v>
      </c>
      <c r="N61" s="82" t="s">
        <v>279</v>
      </c>
      <c r="O61" s="82" t="s">
        <v>247</v>
      </c>
    </row>
    <row r="62" spans="1:15">
      <c r="A62" s="82">
        <v>205296</v>
      </c>
      <c r="B62" s="82" t="s">
        <v>284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 t="s">
        <v>240</v>
      </c>
      <c r="L62" s="82" t="s">
        <v>241</v>
      </c>
      <c r="M62" s="82" t="s">
        <v>246</v>
      </c>
      <c r="N62" s="82" t="s">
        <v>283</v>
      </c>
      <c r="O62" s="82" t="s">
        <v>247</v>
      </c>
    </row>
    <row r="63" spans="1:15">
      <c r="A63" s="82">
        <v>205297</v>
      </c>
      <c r="B63" s="82" t="s">
        <v>354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 t="s">
        <v>240</v>
      </c>
      <c r="L63" s="82" t="s">
        <v>324</v>
      </c>
      <c r="M63" s="82" t="s">
        <v>246</v>
      </c>
      <c r="N63" s="82" t="s">
        <v>283</v>
      </c>
      <c r="O63" s="82" t="s">
        <v>247</v>
      </c>
    </row>
    <row r="64" spans="1:15">
      <c r="A64" s="82">
        <v>205298</v>
      </c>
      <c r="B64" s="82" t="s">
        <v>285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82" t="s">
        <v>240</v>
      </c>
      <c r="L64" s="82" t="s">
        <v>241</v>
      </c>
      <c r="M64" s="82" t="s">
        <v>242</v>
      </c>
      <c r="N64" s="82" t="s">
        <v>283</v>
      </c>
      <c r="O64" s="82" t="s">
        <v>247</v>
      </c>
    </row>
    <row r="65" spans="1:15">
      <c r="A65" s="82">
        <v>205299</v>
      </c>
      <c r="B65" s="82" t="s">
        <v>355</v>
      </c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 t="s">
        <v>240</v>
      </c>
      <c r="L65" s="82" t="s">
        <v>324</v>
      </c>
      <c r="M65" s="82" t="s">
        <v>242</v>
      </c>
      <c r="N65" s="82" t="s">
        <v>283</v>
      </c>
      <c r="O65" s="82" t="s">
        <v>247</v>
      </c>
    </row>
    <row r="66" spans="1:15">
      <c r="A66" s="82">
        <v>205300</v>
      </c>
      <c r="B66" s="82" t="s">
        <v>286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 t="s">
        <v>240</v>
      </c>
      <c r="L66" s="82" t="s">
        <v>241</v>
      </c>
      <c r="M66" s="82" t="s">
        <v>244</v>
      </c>
      <c r="N66" s="82" t="s">
        <v>283</v>
      </c>
      <c r="O66" s="82" t="s">
        <v>247</v>
      </c>
    </row>
    <row r="67" spans="1:15">
      <c r="A67" s="82">
        <v>205301</v>
      </c>
      <c r="B67" s="82" t="s">
        <v>356</v>
      </c>
      <c r="D67" s="82">
        <v>0</v>
      </c>
      <c r="E67" s="82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 t="s">
        <v>240</v>
      </c>
      <c r="L67" s="82" t="s">
        <v>324</v>
      </c>
      <c r="M67" s="82" t="s">
        <v>244</v>
      </c>
      <c r="N67" s="82" t="s">
        <v>283</v>
      </c>
      <c r="O67" s="82" t="s">
        <v>247</v>
      </c>
    </row>
    <row r="68" spans="1:15">
      <c r="A68" s="82">
        <v>205328</v>
      </c>
      <c r="B68" s="82" t="s">
        <v>287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 t="s">
        <v>250</v>
      </c>
      <c r="L68" s="82" t="s">
        <v>241</v>
      </c>
      <c r="M68" s="82" t="s">
        <v>246</v>
      </c>
      <c r="N68" s="82" t="s">
        <v>283</v>
      </c>
      <c r="O68" s="82" t="s">
        <v>247</v>
      </c>
    </row>
    <row r="69" spans="1:15">
      <c r="A69" s="82">
        <v>205329</v>
      </c>
      <c r="B69" s="82" t="s">
        <v>357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 t="s">
        <v>250</v>
      </c>
      <c r="L69" s="82" t="s">
        <v>324</v>
      </c>
      <c r="M69" s="82" t="s">
        <v>246</v>
      </c>
      <c r="N69" s="82" t="s">
        <v>283</v>
      </c>
      <c r="O69" s="82" t="s">
        <v>247</v>
      </c>
    </row>
    <row r="70" spans="1:15">
      <c r="A70" s="82">
        <v>205330</v>
      </c>
      <c r="B70" s="82" t="s">
        <v>288</v>
      </c>
      <c r="D70" s="82">
        <v>0</v>
      </c>
      <c r="E70" s="82">
        <v>0</v>
      </c>
      <c r="F70" s="82">
        <v>0</v>
      </c>
      <c r="G70" s="82">
        <v>0</v>
      </c>
      <c r="H70" s="82">
        <v>0</v>
      </c>
      <c r="I70" s="82">
        <v>0</v>
      </c>
      <c r="J70" s="82">
        <v>0</v>
      </c>
      <c r="K70" s="82" t="s">
        <v>250</v>
      </c>
      <c r="L70" s="82" t="s">
        <v>241</v>
      </c>
      <c r="M70" s="82" t="s">
        <v>242</v>
      </c>
      <c r="N70" s="82" t="s">
        <v>283</v>
      </c>
      <c r="O70" s="82" t="s">
        <v>247</v>
      </c>
    </row>
    <row r="71" spans="1:15">
      <c r="A71" s="82">
        <v>205331</v>
      </c>
      <c r="B71" s="82" t="s">
        <v>358</v>
      </c>
      <c r="D71" s="82">
        <v>0</v>
      </c>
      <c r="E71" s="82">
        <v>0</v>
      </c>
      <c r="F71" s="82">
        <v>0</v>
      </c>
      <c r="G71" s="82">
        <v>0</v>
      </c>
      <c r="H71" s="82">
        <v>0</v>
      </c>
      <c r="I71" s="82">
        <v>0</v>
      </c>
      <c r="J71" s="82">
        <v>0</v>
      </c>
      <c r="K71" s="82" t="s">
        <v>250</v>
      </c>
      <c r="L71" s="82" t="s">
        <v>324</v>
      </c>
      <c r="M71" s="82" t="s">
        <v>242</v>
      </c>
      <c r="N71" s="82" t="s">
        <v>283</v>
      </c>
      <c r="O71" s="82" t="s">
        <v>247</v>
      </c>
    </row>
    <row r="72" spans="1:15">
      <c r="A72" s="82">
        <v>205332</v>
      </c>
      <c r="B72" s="82" t="s">
        <v>289</v>
      </c>
      <c r="D72" s="82">
        <v>0</v>
      </c>
      <c r="E72" s="82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 t="s">
        <v>250</v>
      </c>
      <c r="L72" s="82" t="s">
        <v>241</v>
      </c>
      <c r="M72" s="82" t="s">
        <v>244</v>
      </c>
      <c r="N72" s="82" t="s">
        <v>283</v>
      </c>
      <c r="O72" s="82" t="s">
        <v>247</v>
      </c>
    </row>
    <row r="73" spans="1:15">
      <c r="A73" s="82">
        <v>205333</v>
      </c>
      <c r="B73" s="82" t="s">
        <v>359</v>
      </c>
      <c r="D73" s="82">
        <v>0</v>
      </c>
      <c r="E73" s="82">
        <v>0</v>
      </c>
      <c r="F73" s="82">
        <v>0</v>
      </c>
      <c r="G73" s="82">
        <v>0</v>
      </c>
      <c r="H73" s="82">
        <v>0</v>
      </c>
      <c r="I73" s="82">
        <v>0</v>
      </c>
      <c r="J73" s="82">
        <v>0</v>
      </c>
      <c r="K73" s="82" t="s">
        <v>250</v>
      </c>
      <c r="L73" s="82" t="s">
        <v>324</v>
      </c>
      <c r="M73" s="82" t="s">
        <v>244</v>
      </c>
      <c r="N73" s="82" t="s">
        <v>283</v>
      </c>
      <c r="O73" s="82" t="s">
        <v>247</v>
      </c>
    </row>
    <row r="74" spans="1:15">
      <c r="A74" s="82">
        <v>205360</v>
      </c>
      <c r="B74" s="82" t="s">
        <v>290</v>
      </c>
      <c r="D74" s="82">
        <v>0</v>
      </c>
      <c r="E74" s="82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 t="s">
        <v>254</v>
      </c>
      <c r="L74" s="82" t="s">
        <v>241</v>
      </c>
      <c r="M74" s="82" t="s">
        <v>246</v>
      </c>
      <c r="N74" s="82" t="s">
        <v>283</v>
      </c>
      <c r="O74" s="82" t="s">
        <v>247</v>
      </c>
    </row>
    <row r="75" spans="1:15">
      <c r="A75" s="82">
        <v>205361</v>
      </c>
      <c r="B75" s="82" t="s">
        <v>360</v>
      </c>
      <c r="D75" s="82">
        <v>0</v>
      </c>
      <c r="E75" s="82">
        <v>0</v>
      </c>
      <c r="F75" s="82">
        <v>0</v>
      </c>
      <c r="G75" s="82">
        <v>0</v>
      </c>
      <c r="H75" s="82">
        <v>0</v>
      </c>
      <c r="I75" s="82">
        <v>0</v>
      </c>
      <c r="J75" s="82">
        <v>0</v>
      </c>
      <c r="K75" s="82" t="s">
        <v>254</v>
      </c>
      <c r="L75" s="82" t="s">
        <v>324</v>
      </c>
      <c r="M75" s="82" t="s">
        <v>246</v>
      </c>
      <c r="N75" s="82" t="s">
        <v>283</v>
      </c>
      <c r="O75" s="82" t="s">
        <v>247</v>
      </c>
    </row>
    <row r="76" spans="1:15">
      <c r="A76" s="82">
        <v>205362</v>
      </c>
      <c r="B76" s="82" t="s">
        <v>291</v>
      </c>
      <c r="D76" s="82">
        <v>0</v>
      </c>
      <c r="E76" s="82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 t="s">
        <v>254</v>
      </c>
      <c r="L76" s="82" t="s">
        <v>241</v>
      </c>
      <c r="M76" s="82" t="s">
        <v>242</v>
      </c>
      <c r="N76" s="82" t="s">
        <v>283</v>
      </c>
      <c r="O76" s="82" t="s">
        <v>247</v>
      </c>
    </row>
    <row r="77" spans="1:15">
      <c r="A77" s="82">
        <v>205363</v>
      </c>
      <c r="B77" s="82" t="s">
        <v>361</v>
      </c>
      <c r="D77" s="82">
        <v>0</v>
      </c>
      <c r="E77" s="82">
        <v>0</v>
      </c>
      <c r="F77" s="82">
        <v>0</v>
      </c>
      <c r="G77" s="82">
        <v>0</v>
      </c>
      <c r="H77" s="82">
        <v>0</v>
      </c>
      <c r="I77" s="82">
        <v>0</v>
      </c>
      <c r="J77" s="82">
        <v>0</v>
      </c>
      <c r="K77" s="82" t="s">
        <v>254</v>
      </c>
      <c r="L77" s="82" t="s">
        <v>324</v>
      </c>
      <c r="M77" s="82" t="s">
        <v>242</v>
      </c>
      <c r="N77" s="82" t="s">
        <v>283</v>
      </c>
      <c r="O77" s="82" t="s">
        <v>247</v>
      </c>
    </row>
    <row r="78" spans="1:15">
      <c r="A78" s="82">
        <v>205364</v>
      </c>
      <c r="B78" s="82" t="s">
        <v>292</v>
      </c>
      <c r="D78" s="82">
        <v>0</v>
      </c>
      <c r="E78" s="82">
        <v>0</v>
      </c>
      <c r="F78" s="82">
        <v>0</v>
      </c>
      <c r="G78" s="82">
        <v>0</v>
      </c>
      <c r="H78" s="82">
        <v>0</v>
      </c>
      <c r="I78" s="82">
        <v>0</v>
      </c>
      <c r="J78" s="82">
        <v>0</v>
      </c>
      <c r="K78" s="82" t="s">
        <v>254</v>
      </c>
      <c r="L78" s="82" t="s">
        <v>241</v>
      </c>
      <c r="M78" s="82" t="s">
        <v>244</v>
      </c>
      <c r="N78" s="82" t="s">
        <v>283</v>
      </c>
      <c r="O78" s="82" t="s">
        <v>247</v>
      </c>
    </row>
    <row r="79" spans="1:15">
      <c r="A79" s="82">
        <v>205365</v>
      </c>
      <c r="B79" s="82" t="s">
        <v>362</v>
      </c>
      <c r="D79" s="82">
        <v>0</v>
      </c>
      <c r="E79" s="82">
        <v>0</v>
      </c>
      <c r="F79" s="82">
        <v>0</v>
      </c>
      <c r="G79" s="82">
        <v>0</v>
      </c>
      <c r="H79" s="82">
        <v>0</v>
      </c>
      <c r="I79" s="82">
        <v>0</v>
      </c>
      <c r="J79" s="82">
        <v>0</v>
      </c>
      <c r="K79" s="82" t="s">
        <v>254</v>
      </c>
      <c r="L79" s="82" t="s">
        <v>324</v>
      </c>
      <c r="M79" s="82" t="s">
        <v>244</v>
      </c>
      <c r="N79" s="82" t="s">
        <v>283</v>
      </c>
      <c r="O79" s="82" t="s">
        <v>247</v>
      </c>
    </row>
    <row r="80" spans="1:15">
      <c r="A80" s="82">
        <v>205398</v>
      </c>
      <c r="B80" s="82" t="s">
        <v>294</v>
      </c>
      <c r="D80" s="82">
        <v>0</v>
      </c>
      <c r="E80" s="82">
        <v>0</v>
      </c>
      <c r="F80" s="82">
        <v>0</v>
      </c>
      <c r="G80" s="82">
        <v>0</v>
      </c>
      <c r="H80" s="82">
        <v>0</v>
      </c>
      <c r="I80" s="82">
        <v>0</v>
      </c>
      <c r="J80" s="82">
        <v>0</v>
      </c>
      <c r="K80" s="82" t="s">
        <v>240</v>
      </c>
      <c r="L80" s="82" t="s">
        <v>241</v>
      </c>
      <c r="M80" s="82" t="s">
        <v>278</v>
      </c>
      <c r="N80" s="82" t="s">
        <v>293</v>
      </c>
      <c r="O80" s="82" t="s">
        <v>247</v>
      </c>
    </row>
    <row r="81" spans="1:15">
      <c r="A81" s="82">
        <v>205399</v>
      </c>
      <c r="B81" s="82" t="s">
        <v>363</v>
      </c>
      <c r="D81" s="82">
        <v>0</v>
      </c>
      <c r="E81" s="82">
        <v>0</v>
      </c>
      <c r="F81" s="82">
        <v>0</v>
      </c>
      <c r="G81" s="82">
        <v>0</v>
      </c>
      <c r="H81" s="82">
        <v>0</v>
      </c>
      <c r="I81" s="82">
        <v>0</v>
      </c>
      <c r="J81" s="82">
        <v>0</v>
      </c>
      <c r="K81" s="82" t="s">
        <v>240</v>
      </c>
      <c r="L81" s="82" t="s">
        <v>324</v>
      </c>
      <c r="M81" s="82" t="s">
        <v>278</v>
      </c>
      <c r="N81" s="82" t="s">
        <v>293</v>
      </c>
      <c r="O81" s="82" t="s">
        <v>247</v>
      </c>
    </row>
    <row r="82" spans="1:15">
      <c r="A82" s="82">
        <v>205430</v>
      </c>
      <c r="B82" s="82" t="s">
        <v>295</v>
      </c>
      <c r="D82" s="82">
        <v>0</v>
      </c>
      <c r="E82" s="82">
        <v>0</v>
      </c>
      <c r="F82" s="82">
        <v>0</v>
      </c>
      <c r="G82" s="82">
        <v>0</v>
      </c>
      <c r="H82" s="82">
        <v>0</v>
      </c>
      <c r="I82" s="82">
        <v>0</v>
      </c>
      <c r="J82" s="82">
        <v>0</v>
      </c>
      <c r="K82" s="82" t="s">
        <v>250</v>
      </c>
      <c r="L82" s="82" t="s">
        <v>241</v>
      </c>
      <c r="M82" s="82" t="s">
        <v>278</v>
      </c>
      <c r="N82" s="82" t="s">
        <v>293</v>
      </c>
      <c r="O82" s="82" t="s">
        <v>247</v>
      </c>
    </row>
    <row r="83" spans="1:15">
      <c r="A83" s="82">
        <v>205431</v>
      </c>
      <c r="B83" s="82" t="s">
        <v>364</v>
      </c>
      <c r="D83" s="82">
        <v>0</v>
      </c>
      <c r="E83" s="82">
        <v>0</v>
      </c>
      <c r="F83" s="82">
        <v>0</v>
      </c>
      <c r="G83" s="82">
        <v>0</v>
      </c>
      <c r="H83" s="82">
        <v>0</v>
      </c>
      <c r="I83" s="82">
        <v>0</v>
      </c>
      <c r="J83" s="82">
        <v>0</v>
      </c>
      <c r="K83" s="82" t="s">
        <v>250</v>
      </c>
      <c r="L83" s="82" t="s">
        <v>324</v>
      </c>
      <c r="M83" s="82" t="s">
        <v>278</v>
      </c>
      <c r="N83" s="82" t="s">
        <v>293</v>
      </c>
      <c r="O83" s="82" t="s">
        <v>247</v>
      </c>
    </row>
    <row r="84" spans="1:15">
      <c r="A84" s="82">
        <v>205462</v>
      </c>
      <c r="B84" s="82" t="s">
        <v>296</v>
      </c>
      <c r="D84" s="82">
        <v>0</v>
      </c>
      <c r="E84" s="82">
        <v>0</v>
      </c>
      <c r="F84" s="82">
        <v>0</v>
      </c>
      <c r="G84" s="82">
        <v>0</v>
      </c>
      <c r="H84" s="82">
        <v>0</v>
      </c>
      <c r="I84" s="82">
        <v>0</v>
      </c>
      <c r="J84" s="82">
        <v>0</v>
      </c>
      <c r="K84" s="82" t="s">
        <v>254</v>
      </c>
      <c r="L84" s="82" t="s">
        <v>241</v>
      </c>
      <c r="M84" s="82" t="s">
        <v>278</v>
      </c>
      <c r="N84" s="82" t="s">
        <v>293</v>
      </c>
      <c r="O84" s="82" t="s">
        <v>247</v>
      </c>
    </row>
    <row r="85" spans="1:15">
      <c r="A85" s="82">
        <v>205463</v>
      </c>
      <c r="B85" s="82" t="s">
        <v>365</v>
      </c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0</v>
      </c>
      <c r="K85" s="82" t="s">
        <v>254</v>
      </c>
      <c r="L85" s="82" t="s">
        <v>324</v>
      </c>
      <c r="M85" s="82" t="s">
        <v>278</v>
      </c>
      <c r="N85" s="82" t="s">
        <v>293</v>
      </c>
      <c r="O85" s="82" t="s">
        <v>247</v>
      </c>
    </row>
  </sheetData>
  <autoFilter ref="A1:O8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
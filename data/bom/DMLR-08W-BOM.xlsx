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5360" windowHeight="7770"/>
  </bookViews>
  <sheets>
    <sheet name="Stock Item" sheetId="23" r:id="rId1"/>
    <sheet name="DMLR08-12W-DATA" sheetId="25" r:id="rId2"/>
    <sheet name="DMLR08-12W-SKU" sheetId="26" r:id="rId3"/>
    <sheet name="Stock Item (Read Me)" sheetId="10" r:id="rId4"/>
  </sheets>
  <definedNames>
    <definedName name="_xlnm._FilterDatabase" localSheetId="2" hidden="1">'DMLR08-12W-SKU'!$A$1:$O$133</definedName>
  </definedNames>
  <calcPr calcId="144525"/>
</workbook>
</file>

<file path=xl/calcChain.xml><?xml version="1.0" encoding="utf-8"?>
<calcChain xmlns="http://schemas.openxmlformats.org/spreadsheetml/2006/main">
  <c r="K9" i="23" l="1"/>
  <c r="Q23" i="23" l="1"/>
  <c r="P23" i="23"/>
  <c r="Q21" i="23"/>
  <c r="P21" i="23"/>
  <c r="L16" i="23" l="1"/>
  <c r="L15" i="23"/>
  <c r="L13" i="23"/>
  <c r="L12" i="23"/>
  <c r="L11" i="23"/>
  <c r="L9" i="23"/>
  <c r="L4" i="23"/>
  <c r="L3" i="23"/>
  <c r="L2" i="23"/>
  <c r="P10" i="23"/>
  <c r="K10" i="23" s="1"/>
  <c r="L10" i="23" s="1"/>
  <c r="P8" i="23"/>
  <c r="K8" i="23"/>
  <c r="L8" i="23" s="1"/>
  <c r="P7" i="23"/>
  <c r="K7" i="23" s="1"/>
  <c r="L7" i="23" s="1"/>
  <c r="P6" i="23"/>
  <c r="K6" i="23"/>
  <c r="L6" i="23" s="1"/>
  <c r="P5" i="23"/>
  <c r="K5" i="23"/>
  <c r="L5" i="23" s="1"/>
  <c r="P4" i="23"/>
  <c r="P3" i="23"/>
  <c r="K3" i="23"/>
  <c r="P2" i="23"/>
  <c r="L17" i="23" l="1"/>
  <c r="L23" i="23" l="1"/>
  <c r="L19" i="23"/>
  <c r="L20" i="23"/>
  <c r="L24" i="23"/>
  <c r="L21" i="23"/>
  <c r="L22" i="23"/>
  <c r="U133" i="26" l="1"/>
  <c r="T133" i="26"/>
  <c r="S133" i="26"/>
  <c r="R133" i="26"/>
  <c r="Q133" i="26"/>
  <c r="C133" i="26"/>
  <c r="U132" i="26"/>
  <c r="T132" i="26"/>
  <c r="S132" i="26"/>
  <c r="R132" i="26"/>
  <c r="Q132" i="26"/>
  <c r="C132" i="26"/>
  <c r="U131" i="26"/>
  <c r="T131" i="26"/>
  <c r="S131" i="26"/>
  <c r="R131" i="26"/>
  <c r="Q131" i="26"/>
  <c r="C131" i="26"/>
  <c r="U130" i="26"/>
  <c r="T130" i="26"/>
  <c r="S130" i="26"/>
  <c r="R130" i="26"/>
  <c r="Q130" i="26"/>
  <c r="C130" i="26"/>
  <c r="U129" i="26"/>
  <c r="T129" i="26"/>
  <c r="S129" i="26"/>
  <c r="R129" i="26"/>
  <c r="Q129" i="26"/>
  <c r="C129" i="26"/>
  <c r="U128" i="26"/>
  <c r="T128" i="26"/>
  <c r="S128" i="26"/>
  <c r="R128" i="26"/>
  <c r="Q128" i="26"/>
  <c r="C128" i="26"/>
  <c r="U127" i="26"/>
  <c r="T127" i="26"/>
  <c r="S127" i="26"/>
  <c r="R127" i="26"/>
  <c r="Q127" i="26"/>
  <c r="C127" i="26"/>
  <c r="U126" i="26"/>
  <c r="T126" i="26"/>
  <c r="S126" i="26"/>
  <c r="R126" i="26"/>
  <c r="Q126" i="26"/>
  <c r="C126" i="26"/>
  <c r="U125" i="26"/>
  <c r="T125" i="26"/>
  <c r="S125" i="26"/>
  <c r="R125" i="26"/>
  <c r="Q125" i="26"/>
  <c r="C125" i="26"/>
  <c r="U124" i="26"/>
  <c r="T124" i="26"/>
  <c r="S124" i="26"/>
  <c r="R124" i="26"/>
  <c r="Q124" i="26"/>
  <c r="C124" i="26"/>
  <c r="U123" i="26"/>
  <c r="T123" i="26"/>
  <c r="S123" i="26"/>
  <c r="R123" i="26"/>
  <c r="Q123" i="26"/>
  <c r="C123" i="26"/>
  <c r="U122" i="26"/>
  <c r="T122" i="26"/>
  <c r="S122" i="26"/>
  <c r="R122" i="26"/>
  <c r="Q122" i="26"/>
  <c r="C122" i="26"/>
  <c r="U121" i="26"/>
  <c r="T121" i="26"/>
  <c r="S121" i="26"/>
  <c r="R121" i="26"/>
  <c r="Q121" i="26"/>
  <c r="C121" i="26"/>
  <c r="U120" i="26"/>
  <c r="T120" i="26"/>
  <c r="S120" i="26"/>
  <c r="R120" i="26"/>
  <c r="Q120" i="26"/>
  <c r="C120" i="26"/>
  <c r="U119" i="26"/>
  <c r="T119" i="26"/>
  <c r="S119" i="26"/>
  <c r="R119" i="26"/>
  <c r="Q119" i="26"/>
  <c r="C119" i="26"/>
  <c r="U118" i="26"/>
  <c r="T118" i="26"/>
  <c r="S118" i="26"/>
  <c r="R118" i="26"/>
  <c r="Q118" i="26"/>
  <c r="C118" i="26"/>
  <c r="U117" i="26"/>
  <c r="T117" i="26"/>
  <c r="S117" i="26"/>
  <c r="R117" i="26"/>
  <c r="Q117" i="26"/>
  <c r="C117" i="26"/>
  <c r="U116" i="26"/>
  <c r="T116" i="26"/>
  <c r="S116" i="26"/>
  <c r="R116" i="26"/>
  <c r="Q116" i="26"/>
  <c r="C116" i="26"/>
  <c r="U115" i="26"/>
  <c r="T115" i="26"/>
  <c r="S115" i="26"/>
  <c r="R115" i="26"/>
  <c r="Q115" i="26"/>
  <c r="C115" i="26"/>
  <c r="U114" i="26"/>
  <c r="T114" i="26"/>
  <c r="S114" i="26"/>
  <c r="R114" i="26"/>
  <c r="Q114" i="26"/>
  <c r="C114" i="26"/>
  <c r="U113" i="26"/>
  <c r="T113" i="26"/>
  <c r="S113" i="26"/>
  <c r="R113" i="26"/>
  <c r="Q113" i="26"/>
  <c r="C113" i="26"/>
  <c r="U112" i="26"/>
  <c r="T112" i="26"/>
  <c r="S112" i="26"/>
  <c r="R112" i="26"/>
  <c r="Q112" i="26"/>
  <c r="C112" i="26"/>
  <c r="U111" i="26"/>
  <c r="T111" i="26"/>
  <c r="S111" i="26"/>
  <c r="R111" i="26"/>
  <c r="Q111" i="26"/>
  <c r="C111" i="26"/>
  <c r="U110" i="26"/>
  <c r="T110" i="26"/>
  <c r="S110" i="26"/>
  <c r="R110" i="26"/>
  <c r="Q110" i="26"/>
  <c r="C110" i="26"/>
  <c r="U109" i="26"/>
  <c r="T109" i="26"/>
  <c r="S109" i="26"/>
  <c r="R109" i="26"/>
  <c r="Q109" i="26"/>
  <c r="C109" i="26"/>
  <c r="U108" i="26"/>
  <c r="T108" i="26"/>
  <c r="S108" i="26"/>
  <c r="R108" i="26"/>
  <c r="Q108" i="26"/>
  <c r="C108" i="26"/>
  <c r="U107" i="26"/>
  <c r="T107" i="26"/>
  <c r="S107" i="26"/>
  <c r="R107" i="26"/>
  <c r="Q107" i="26"/>
  <c r="C107" i="26"/>
  <c r="U106" i="26"/>
  <c r="T106" i="26"/>
  <c r="S106" i="26"/>
  <c r="R106" i="26"/>
  <c r="Q106" i="26"/>
  <c r="C106" i="26"/>
  <c r="U105" i="26"/>
  <c r="T105" i="26"/>
  <c r="S105" i="26"/>
  <c r="R105" i="26"/>
  <c r="Q105" i="26"/>
  <c r="C105" i="26"/>
  <c r="U104" i="26"/>
  <c r="T104" i="26"/>
  <c r="S104" i="26"/>
  <c r="R104" i="26"/>
  <c r="Q104" i="26"/>
  <c r="C104" i="26"/>
  <c r="U103" i="26"/>
  <c r="T103" i="26"/>
  <c r="S103" i="26"/>
  <c r="R103" i="26"/>
  <c r="Q103" i="26"/>
  <c r="C103" i="26"/>
  <c r="U102" i="26"/>
  <c r="T102" i="26"/>
  <c r="S102" i="26"/>
  <c r="R102" i="26"/>
  <c r="Q102" i="26"/>
  <c r="C102" i="26"/>
  <c r="U101" i="26"/>
  <c r="T101" i="26"/>
  <c r="S101" i="26"/>
  <c r="R101" i="26"/>
  <c r="Q101" i="26"/>
  <c r="C101" i="26"/>
  <c r="U100" i="26"/>
  <c r="T100" i="26"/>
  <c r="S100" i="26"/>
  <c r="R100" i="26"/>
  <c r="Q100" i="26"/>
  <c r="C100" i="26"/>
  <c r="U99" i="26"/>
  <c r="T99" i="26"/>
  <c r="S99" i="26"/>
  <c r="R99" i="26"/>
  <c r="Q99" i="26"/>
  <c r="C99" i="26"/>
  <c r="U98" i="26"/>
  <c r="T98" i="26"/>
  <c r="S98" i="26"/>
  <c r="R98" i="26"/>
  <c r="Q98" i="26"/>
  <c r="C98" i="26"/>
  <c r="U97" i="26"/>
  <c r="T97" i="26"/>
  <c r="S97" i="26"/>
  <c r="R97" i="26"/>
  <c r="Q97" i="26"/>
  <c r="C97" i="26"/>
  <c r="U96" i="26"/>
  <c r="T96" i="26"/>
  <c r="S96" i="26"/>
  <c r="R96" i="26"/>
  <c r="Q96" i="26"/>
  <c r="C96" i="26"/>
  <c r="U95" i="26"/>
  <c r="T95" i="26"/>
  <c r="S95" i="26"/>
  <c r="R95" i="26"/>
  <c r="Q95" i="26"/>
  <c r="C95" i="26"/>
  <c r="U94" i="26"/>
  <c r="T94" i="26"/>
  <c r="S94" i="26"/>
  <c r="R94" i="26"/>
  <c r="Q94" i="26"/>
  <c r="C94" i="26"/>
  <c r="U93" i="26"/>
  <c r="T93" i="26"/>
  <c r="S93" i="26"/>
  <c r="R93" i="26"/>
  <c r="Q93" i="26"/>
  <c r="C93" i="26"/>
  <c r="U92" i="26"/>
  <c r="T92" i="26"/>
  <c r="S92" i="26"/>
  <c r="R92" i="26"/>
  <c r="Q92" i="26"/>
  <c r="C92" i="26"/>
  <c r="U91" i="26"/>
  <c r="T91" i="26"/>
  <c r="S91" i="26"/>
  <c r="R91" i="26"/>
  <c r="Q91" i="26"/>
  <c r="C91" i="26"/>
  <c r="U90" i="26"/>
  <c r="T90" i="26"/>
  <c r="S90" i="26"/>
  <c r="R90" i="26"/>
  <c r="Q90" i="26"/>
  <c r="C90" i="26"/>
  <c r="U89" i="26"/>
  <c r="T89" i="26"/>
  <c r="S89" i="26"/>
  <c r="R89" i="26"/>
  <c r="Q89" i="26"/>
  <c r="C89" i="26"/>
  <c r="U88" i="26"/>
  <c r="T88" i="26"/>
  <c r="S88" i="26"/>
  <c r="R88" i="26"/>
  <c r="Q88" i="26"/>
  <c r="C88" i="26"/>
  <c r="U87" i="26"/>
  <c r="T87" i="26"/>
  <c r="S87" i="26"/>
  <c r="R87" i="26"/>
  <c r="Q87" i="26"/>
  <c r="C87" i="26"/>
  <c r="U86" i="26"/>
  <c r="T86" i="26"/>
  <c r="S86" i="26"/>
  <c r="R86" i="26"/>
  <c r="Q86" i="26"/>
  <c r="C86" i="26"/>
  <c r="U85" i="26"/>
  <c r="T85" i="26"/>
  <c r="S85" i="26"/>
  <c r="R85" i="26"/>
  <c r="Q85" i="26"/>
  <c r="C85" i="26"/>
  <c r="U84" i="26"/>
  <c r="T84" i="26"/>
  <c r="S84" i="26"/>
  <c r="R84" i="26"/>
  <c r="Q84" i="26"/>
  <c r="C84" i="26"/>
  <c r="U83" i="26"/>
  <c r="T83" i="26"/>
  <c r="S83" i="26"/>
  <c r="R83" i="26"/>
  <c r="Q83" i="26"/>
  <c r="C83" i="26"/>
  <c r="U82" i="26"/>
  <c r="T82" i="26"/>
  <c r="S82" i="26"/>
  <c r="R82" i="26"/>
  <c r="Q82" i="26"/>
  <c r="C82" i="26"/>
  <c r="U81" i="26"/>
  <c r="T81" i="26"/>
  <c r="S81" i="26"/>
  <c r="R81" i="26"/>
  <c r="Q81" i="26"/>
  <c r="C81" i="26"/>
  <c r="U80" i="26"/>
  <c r="T80" i="26"/>
  <c r="S80" i="26"/>
  <c r="R80" i="26"/>
  <c r="Q80" i="26"/>
  <c r="C80" i="26"/>
  <c r="U79" i="26"/>
  <c r="T79" i="26"/>
  <c r="S79" i="26"/>
  <c r="R79" i="26"/>
  <c r="Q79" i="26"/>
  <c r="C79" i="26"/>
  <c r="U78" i="26"/>
  <c r="T78" i="26"/>
  <c r="S78" i="26"/>
  <c r="R78" i="26"/>
  <c r="Q78" i="26"/>
  <c r="C78" i="26"/>
  <c r="U77" i="26"/>
  <c r="T77" i="26"/>
  <c r="S77" i="26"/>
  <c r="R77" i="26"/>
  <c r="Q77" i="26"/>
  <c r="C77" i="26"/>
  <c r="U76" i="26"/>
  <c r="T76" i="26"/>
  <c r="S76" i="26"/>
  <c r="R76" i="26"/>
  <c r="Q76" i="26"/>
  <c r="C76" i="26"/>
  <c r="U75" i="26"/>
  <c r="T75" i="26"/>
  <c r="S75" i="26"/>
  <c r="R75" i="26"/>
  <c r="Q75" i="26"/>
  <c r="C75" i="26"/>
  <c r="U74" i="26"/>
  <c r="T74" i="26"/>
  <c r="S74" i="26"/>
  <c r="R74" i="26"/>
  <c r="Q74" i="26"/>
  <c r="C74" i="26"/>
  <c r="U73" i="26"/>
  <c r="T73" i="26"/>
  <c r="S73" i="26"/>
  <c r="R73" i="26"/>
  <c r="Q73" i="26"/>
  <c r="C73" i="26"/>
  <c r="U72" i="26"/>
  <c r="T72" i="26"/>
  <c r="S72" i="26"/>
  <c r="R72" i="26"/>
  <c r="Q72" i="26"/>
  <c r="C72" i="26"/>
  <c r="U71" i="26"/>
  <c r="T71" i="26"/>
  <c r="S71" i="26"/>
  <c r="R71" i="26"/>
  <c r="Q71" i="26"/>
  <c r="C71" i="26"/>
  <c r="U70" i="26"/>
  <c r="T70" i="26"/>
  <c r="S70" i="26"/>
  <c r="R70" i="26"/>
  <c r="Q70" i="26"/>
  <c r="C70" i="26"/>
  <c r="U69" i="26"/>
  <c r="T69" i="26"/>
  <c r="S69" i="26"/>
  <c r="R69" i="26"/>
  <c r="Q69" i="26"/>
  <c r="C69" i="26"/>
  <c r="U68" i="26"/>
  <c r="T68" i="26"/>
  <c r="S68" i="26"/>
  <c r="R68" i="26"/>
  <c r="Q68" i="26"/>
  <c r="C68" i="26"/>
  <c r="U67" i="26"/>
  <c r="T67" i="26"/>
  <c r="S67" i="26"/>
  <c r="R67" i="26"/>
  <c r="Q67" i="26"/>
  <c r="C67" i="26"/>
  <c r="U66" i="26"/>
  <c r="T66" i="26"/>
  <c r="S66" i="26"/>
  <c r="R66" i="26"/>
  <c r="Q66" i="26"/>
  <c r="C66" i="26"/>
  <c r="U65" i="26"/>
  <c r="T65" i="26"/>
  <c r="S65" i="26"/>
  <c r="R65" i="26"/>
  <c r="Q65" i="26"/>
  <c r="C65" i="26"/>
  <c r="U64" i="26"/>
  <c r="T64" i="26"/>
  <c r="S64" i="26"/>
  <c r="R64" i="26"/>
  <c r="Q64" i="26"/>
  <c r="C64" i="26"/>
  <c r="U63" i="26"/>
  <c r="T63" i="26"/>
  <c r="S63" i="26"/>
  <c r="R63" i="26"/>
  <c r="Q63" i="26"/>
  <c r="C63" i="26"/>
  <c r="U62" i="26"/>
  <c r="T62" i="26"/>
  <c r="S62" i="26"/>
  <c r="R62" i="26"/>
  <c r="Q62" i="26"/>
  <c r="C62" i="26"/>
  <c r="U61" i="26"/>
  <c r="T61" i="26"/>
  <c r="S61" i="26"/>
  <c r="R61" i="26"/>
  <c r="Q61" i="26"/>
  <c r="C61" i="26"/>
  <c r="U60" i="26"/>
  <c r="T60" i="26"/>
  <c r="S60" i="26"/>
  <c r="R60" i="26"/>
  <c r="Q60" i="26"/>
  <c r="C60" i="26"/>
  <c r="U59" i="26"/>
  <c r="T59" i="26"/>
  <c r="S59" i="26"/>
  <c r="R59" i="26"/>
  <c r="Q59" i="26"/>
  <c r="C59" i="26"/>
  <c r="U58" i="26"/>
  <c r="T58" i="26"/>
  <c r="S58" i="26"/>
  <c r="R58" i="26"/>
  <c r="Q58" i="26"/>
  <c r="C58" i="26"/>
  <c r="U57" i="26"/>
  <c r="T57" i="26"/>
  <c r="S57" i="26"/>
  <c r="R57" i="26"/>
  <c r="Q57" i="26"/>
  <c r="C57" i="26"/>
  <c r="U56" i="26"/>
  <c r="T56" i="26"/>
  <c r="S56" i="26"/>
  <c r="R56" i="26"/>
  <c r="Q56" i="26"/>
  <c r="C56" i="26"/>
  <c r="U55" i="26"/>
  <c r="T55" i="26"/>
  <c r="S55" i="26"/>
  <c r="R55" i="26"/>
  <c r="Q55" i="26"/>
  <c r="C55" i="26"/>
  <c r="U54" i="26"/>
  <c r="T54" i="26"/>
  <c r="S54" i="26"/>
  <c r="R54" i="26"/>
  <c r="Q54" i="26"/>
  <c r="C54" i="26"/>
  <c r="U53" i="26"/>
  <c r="T53" i="26"/>
  <c r="S53" i="26"/>
  <c r="R53" i="26"/>
  <c r="Q53" i="26"/>
  <c r="C53" i="26"/>
  <c r="U52" i="26"/>
  <c r="T52" i="26"/>
  <c r="S52" i="26"/>
  <c r="R52" i="26"/>
  <c r="Q52" i="26"/>
  <c r="C52" i="26"/>
  <c r="U51" i="26"/>
  <c r="T51" i="26"/>
  <c r="S51" i="26"/>
  <c r="R51" i="26"/>
  <c r="Q51" i="26"/>
  <c r="C51" i="26"/>
  <c r="U50" i="26"/>
  <c r="T50" i="26"/>
  <c r="S50" i="26"/>
  <c r="R50" i="26"/>
  <c r="Q50" i="26"/>
  <c r="C50" i="26"/>
  <c r="U49" i="26"/>
  <c r="T49" i="26"/>
  <c r="S49" i="26"/>
  <c r="R49" i="26"/>
  <c r="Q49" i="26"/>
  <c r="C49" i="26"/>
  <c r="U48" i="26"/>
  <c r="T48" i="26"/>
  <c r="S48" i="26"/>
  <c r="R48" i="26"/>
  <c r="Q48" i="26"/>
  <c r="C48" i="26"/>
  <c r="U47" i="26"/>
  <c r="T47" i="26"/>
  <c r="S47" i="26"/>
  <c r="R47" i="26"/>
  <c r="Q47" i="26"/>
  <c r="C47" i="26"/>
  <c r="U46" i="26"/>
  <c r="T46" i="26"/>
  <c r="S46" i="26"/>
  <c r="R46" i="26"/>
  <c r="Q46" i="26"/>
  <c r="C46" i="26"/>
  <c r="U45" i="26"/>
  <c r="T45" i="26"/>
  <c r="S45" i="26"/>
  <c r="R45" i="26"/>
  <c r="Q45" i="26"/>
  <c r="C45" i="26"/>
  <c r="U44" i="26"/>
  <c r="T44" i="26"/>
  <c r="S44" i="26"/>
  <c r="R44" i="26"/>
  <c r="Q44" i="26"/>
  <c r="C44" i="26"/>
  <c r="U43" i="26"/>
  <c r="T43" i="26"/>
  <c r="S43" i="26"/>
  <c r="R43" i="26"/>
  <c r="Q43" i="26"/>
  <c r="C43" i="26"/>
  <c r="U42" i="26"/>
  <c r="T42" i="26"/>
  <c r="S42" i="26"/>
  <c r="R42" i="26"/>
  <c r="Q42" i="26"/>
  <c r="C42" i="26"/>
  <c r="U41" i="26"/>
  <c r="T41" i="26"/>
  <c r="S41" i="26"/>
  <c r="R41" i="26"/>
  <c r="Q41" i="26"/>
  <c r="C41" i="26"/>
  <c r="U40" i="26"/>
  <c r="T40" i="26"/>
  <c r="S40" i="26"/>
  <c r="R40" i="26"/>
  <c r="Q40" i="26"/>
  <c r="C40" i="26"/>
  <c r="U39" i="26"/>
  <c r="T39" i="26"/>
  <c r="S39" i="26"/>
  <c r="R39" i="26"/>
  <c r="Q39" i="26"/>
  <c r="C39" i="26"/>
  <c r="U38" i="26"/>
  <c r="T38" i="26"/>
  <c r="S38" i="26"/>
  <c r="R38" i="26"/>
  <c r="Q38" i="26"/>
  <c r="C38" i="26"/>
  <c r="U37" i="26"/>
  <c r="T37" i="26"/>
  <c r="S37" i="26"/>
  <c r="R37" i="26"/>
  <c r="Q37" i="26"/>
  <c r="C37" i="26"/>
  <c r="U36" i="26"/>
  <c r="T36" i="26"/>
  <c r="S36" i="26"/>
  <c r="R36" i="26"/>
  <c r="Q36" i="26"/>
  <c r="C36" i="26"/>
  <c r="U35" i="26"/>
  <c r="T35" i="26"/>
  <c r="S35" i="26"/>
  <c r="R35" i="26"/>
  <c r="Q35" i="26"/>
  <c r="C35" i="26"/>
  <c r="U34" i="26"/>
  <c r="T34" i="26"/>
  <c r="S34" i="26"/>
  <c r="R34" i="26"/>
  <c r="Q34" i="26"/>
  <c r="C34" i="26"/>
  <c r="U33" i="26"/>
  <c r="T33" i="26"/>
  <c r="S33" i="26"/>
  <c r="R33" i="26"/>
  <c r="Q33" i="26"/>
  <c r="C33" i="26"/>
  <c r="U32" i="26"/>
  <c r="T32" i="26"/>
  <c r="S32" i="26"/>
  <c r="R32" i="26"/>
  <c r="Q32" i="26"/>
  <c r="C32" i="26"/>
  <c r="U31" i="26"/>
  <c r="T31" i="26"/>
  <c r="S31" i="26"/>
  <c r="R31" i="26"/>
  <c r="Q31" i="26"/>
  <c r="C31" i="26"/>
  <c r="U30" i="26"/>
  <c r="T30" i="26"/>
  <c r="S30" i="26"/>
  <c r="R30" i="26"/>
  <c r="Q30" i="26"/>
  <c r="C30" i="26"/>
  <c r="U29" i="26"/>
  <c r="T29" i="26"/>
  <c r="S29" i="26"/>
  <c r="R29" i="26"/>
  <c r="Q29" i="26"/>
  <c r="C29" i="26"/>
  <c r="U28" i="26"/>
  <c r="T28" i="26"/>
  <c r="S28" i="26"/>
  <c r="R28" i="26"/>
  <c r="Q28" i="26"/>
  <c r="C28" i="26"/>
  <c r="U27" i="26"/>
  <c r="T27" i="26"/>
  <c r="S27" i="26"/>
  <c r="R27" i="26"/>
  <c r="Q27" i="26"/>
  <c r="C27" i="26"/>
  <c r="U26" i="26"/>
  <c r="T26" i="26"/>
  <c r="S26" i="26"/>
  <c r="R26" i="26"/>
  <c r="Q26" i="26"/>
  <c r="C26" i="26"/>
  <c r="U25" i="26"/>
  <c r="T25" i="26"/>
  <c r="S25" i="26"/>
  <c r="R25" i="26"/>
  <c r="Q25" i="26"/>
  <c r="C25" i="26"/>
  <c r="U24" i="26"/>
  <c r="T24" i="26"/>
  <c r="S24" i="26"/>
  <c r="R24" i="26"/>
  <c r="Q24" i="26"/>
  <c r="C24" i="26"/>
  <c r="U23" i="26"/>
  <c r="T23" i="26"/>
  <c r="S23" i="26"/>
  <c r="R23" i="26"/>
  <c r="Q23" i="26"/>
  <c r="C23" i="26"/>
  <c r="U22" i="26"/>
  <c r="T22" i="26"/>
  <c r="S22" i="26"/>
  <c r="R22" i="26"/>
  <c r="Q22" i="26"/>
  <c r="C22" i="26"/>
  <c r="U21" i="26"/>
  <c r="T21" i="26"/>
  <c r="S21" i="26"/>
  <c r="R21" i="26"/>
  <c r="Q21" i="26"/>
  <c r="C21" i="26"/>
  <c r="U20" i="26"/>
  <c r="T20" i="26"/>
  <c r="S20" i="26"/>
  <c r="R20" i="26"/>
  <c r="Q20" i="26"/>
  <c r="C20" i="26"/>
  <c r="U19" i="26"/>
  <c r="T19" i="26"/>
  <c r="S19" i="26"/>
  <c r="R19" i="26"/>
  <c r="Q19" i="26"/>
  <c r="C19" i="26"/>
  <c r="U18" i="26"/>
  <c r="T18" i="26"/>
  <c r="S18" i="26"/>
  <c r="R18" i="26"/>
  <c r="Q18" i="26"/>
  <c r="C18" i="26"/>
  <c r="U17" i="26"/>
  <c r="T17" i="26"/>
  <c r="S17" i="26"/>
  <c r="R17" i="26"/>
  <c r="Q17" i="26"/>
  <c r="C17" i="26"/>
  <c r="U16" i="26"/>
  <c r="T16" i="26"/>
  <c r="S16" i="26"/>
  <c r="R16" i="26"/>
  <c r="Q16" i="26"/>
  <c r="C16" i="26"/>
  <c r="U15" i="26"/>
  <c r="T15" i="26"/>
  <c r="S15" i="26"/>
  <c r="R15" i="26"/>
  <c r="Q15" i="26"/>
  <c r="C15" i="26"/>
  <c r="U14" i="26"/>
  <c r="T14" i="26"/>
  <c r="S14" i="26"/>
  <c r="R14" i="26"/>
  <c r="Q14" i="26"/>
  <c r="C14" i="26"/>
  <c r="U13" i="26"/>
  <c r="T13" i="26"/>
  <c r="S13" i="26"/>
  <c r="R13" i="26"/>
  <c r="Q13" i="26"/>
  <c r="C13" i="26"/>
  <c r="U12" i="26"/>
  <c r="T12" i="26"/>
  <c r="S12" i="26"/>
  <c r="R12" i="26"/>
  <c r="Q12" i="26"/>
  <c r="C12" i="26"/>
  <c r="U11" i="26"/>
  <c r="T11" i="26"/>
  <c r="S11" i="26"/>
  <c r="R11" i="26"/>
  <c r="Q11" i="26"/>
  <c r="C11" i="26"/>
  <c r="U10" i="26"/>
  <c r="T10" i="26"/>
  <c r="S10" i="26"/>
  <c r="R10" i="26"/>
  <c r="Q10" i="26"/>
  <c r="C10" i="26"/>
  <c r="U9" i="26"/>
  <c r="T9" i="26"/>
  <c r="S9" i="26"/>
  <c r="R9" i="26"/>
  <c r="Q9" i="26"/>
  <c r="C9" i="26"/>
  <c r="U8" i="26"/>
  <c r="T8" i="26"/>
  <c r="S8" i="26"/>
  <c r="R8" i="26"/>
  <c r="Q8" i="26"/>
  <c r="C8" i="26"/>
  <c r="U7" i="26"/>
  <c r="T7" i="26"/>
  <c r="S7" i="26"/>
  <c r="R7" i="26"/>
  <c r="Q7" i="26"/>
  <c r="C7" i="26"/>
  <c r="U6" i="26"/>
  <c r="T6" i="26"/>
  <c r="S6" i="26"/>
  <c r="R6" i="26"/>
  <c r="Q6" i="26"/>
  <c r="C6" i="26"/>
  <c r="U5" i="26"/>
  <c r="T5" i="26"/>
  <c r="S5" i="26"/>
  <c r="R5" i="26"/>
  <c r="Q5" i="26"/>
  <c r="C5" i="26"/>
  <c r="U4" i="26"/>
  <c r="T4" i="26"/>
  <c r="S4" i="26"/>
  <c r="R4" i="26"/>
  <c r="Q4" i="26"/>
  <c r="C4" i="26"/>
  <c r="U3" i="26"/>
  <c r="T3" i="26"/>
  <c r="S3" i="26"/>
  <c r="R3" i="26"/>
  <c r="Q3" i="26"/>
  <c r="C3" i="26"/>
  <c r="U2" i="26"/>
  <c r="T2" i="26"/>
  <c r="S2" i="26"/>
  <c r="R2" i="26"/>
  <c r="Q2" i="26"/>
  <c r="C2" i="26"/>
  <c r="O26" i="25"/>
  <c r="O25" i="25"/>
  <c r="O24" i="25"/>
  <c r="O23" i="25"/>
  <c r="O22" i="25"/>
  <c r="AC21" i="25"/>
  <c r="Y21" i="25"/>
  <c r="X21" i="25"/>
  <c r="O21" i="25"/>
  <c r="AC20" i="25"/>
  <c r="Y20" i="25"/>
  <c r="X20" i="25"/>
  <c r="AC19" i="25"/>
  <c r="Y19" i="25"/>
  <c r="X19" i="25"/>
  <c r="O19" i="25"/>
  <c r="AC18" i="25"/>
  <c r="Y18" i="25"/>
  <c r="X18" i="25"/>
  <c r="O18" i="25"/>
  <c r="AC17" i="25"/>
  <c r="Y17" i="25"/>
  <c r="X17" i="25"/>
  <c r="O17" i="25"/>
  <c r="O16" i="25"/>
  <c r="O15" i="25"/>
  <c r="O14" i="25"/>
  <c r="O12" i="25"/>
  <c r="O11" i="25"/>
  <c r="O10" i="25"/>
  <c r="O9" i="25"/>
  <c r="O8" i="25"/>
  <c r="O6" i="25"/>
  <c r="O5" i="25"/>
  <c r="O4" i="25"/>
  <c r="AA3" i="25"/>
  <c r="Y3" i="25"/>
  <c r="Y5" i="25" s="1"/>
  <c r="X3" i="25"/>
  <c r="X5" i="25" s="1"/>
  <c r="W3" i="25"/>
  <c r="W5" i="25" s="1"/>
  <c r="V12" i="25" s="1"/>
  <c r="F6" i="23" s="1"/>
  <c r="V3" i="25"/>
  <c r="V5" i="25" s="1"/>
  <c r="U3" i="25"/>
  <c r="U5" i="25" s="1"/>
  <c r="V9" i="25" s="1"/>
  <c r="O3" i="25"/>
  <c r="O2" i="25"/>
  <c r="A2" i="23"/>
  <c r="V10" i="25" l="1"/>
  <c r="F5" i="23" s="1"/>
  <c r="V13" i="25"/>
  <c r="F14" i="23" s="1"/>
  <c r="V11" i="25"/>
  <c r="F7" i="23" s="1"/>
  <c r="F2" i="23"/>
  <c r="F4" i="23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<sst xmlns="http://schemas.openxmlformats.org/spreadsheetml/2006/main" count="1320" uniqueCount="473">
  <si>
    <t>Name</t>
  </si>
  <si>
    <t>Group Name</t>
  </si>
  <si>
    <t>Units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</si>
  <si>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</si>
  <si>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</si>
  <si>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</si>
  <si>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</si>
  <si>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</si>
  <si>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</si>
  <si>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MODEL NAME</t>
  </si>
  <si>
    <t>Down Light Series</t>
  </si>
  <si>
    <t>Nos.</t>
  </si>
  <si>
    <t>DMLT08W60T</t>
  </si>
  <si>
    <t>Mechanical Store</t>
  </si>
  <si>
    <t>Component</t>
  </si>
  <si>
    <t>Rotating Bracket-O-70 I-55.5 H-34mm DMLR08/12W-Ring</t>
  </si>
  <si>
    <t>Electronics store</t>
  </si>
  <si>
    <t>Conn. 2Pin Ass. Wire Black Male (Small)</t>
  </si>
  <si>
    <t>Sleeve M4mm Fiber Glass White</t>
  </si>
  <si>
    <t>Torsion Spring - L-49 W-18mm Coil D-1mm D-8 Black</t>
  </si>
  <si>
    <t>Wire Clip M-3 MS</t>
  </si>
  <si>
    <t>Screw M3X6mm Pan Washer Combi + Head-SS</t>
  </si>
  <si>
    <t>Rivet 1/8" x 1/4" MS (Big)</t>
  </si>
  <si>
    <t>PBX - COB 8-15W</t>
  </si>
  <si>
    <t>SBX - COB 8-18W (12Nos)</t>
  </si>
  <si>
    <t>CODE</t>
  </si>
  <si>
    <t>TRIM</t>
  </si>
  <si>
    <t>COST</t>
  </si>
  <si>
    <t>Heatsink</t>
  </si>
  <si>
    <t>DRIVER</t>
  </si>
  <si>
    <t xml:space="preserve">CODE </t>
  </si>
  <si>
    <t>TEMPERATURE</t>
  </si>
  <si>
    <t>BEAM ANGLE</t>
  </si>
  <si>
    <t>R</t>
  </si>
  <si>
    <t>Trim-O-85.5 I-65 H-24.5mm White DMLR08/12W (DLOR6)</t>
  </si>
  <si>
    <t>08M</t>
  </si>
  <si>
    <t>HS 50x34.5mm (SR-DR-NR-12W)</t>
  </si>
  <si>
    <t>08-</t>
  </si>
  <si>
    <t>PS 8W 200MA 36V LPF (PCB MT43-8-12W-V2 LPF)</t>
  </si>
  <si>
    <t>27-</t>
  </si>
  <si>
    <t>COB 12&amp;15W 2700K 12LED 36V 350mA 13.5x13.5mm CRI-95</t>
  </si>
  <si>
    <t>M</t>
  </si>
  <si>
    <t>Lens-O-49.8 H-13.5 L-13.5mm 36°-PC (CR36G-50012) 8-12W</t>
  </si>
  <si>
    <t>Reflector</t>
  </si>
  <si>
    <t>Trim</t>
  </si>
  <si>
    <t>Temperature</t>
  </si>
  <si>
    <t>B</t>
  </si>
  <si>
    <t>Trim-O-85.5 I-65 H-24.5mm Black DMLR08/12W (DLOR6)</t>
  </si>
  <si>
    <t>12M</t>
  </si>
  <si>
    <t>08-T</t>
  </si>
  <si>
    <t>PS 8W 200MA 36V Triac Dimming</t>
  </si>
  <si>
    <t>30-</t>
  </si>
  <si>
    <t>COB 12&amp;15W 3000K 12LED 36V 350mA 13.5x13.5mm CRI-90</t>
  </si>
  <si>
    <t>W</t>
  </si>
  <si>
    <t>Lens-O-49.8 H-13.5 L-15.5mm 60°-PC (CR60G-5012) 8-12W</t>
  </si>
  <si>
    <t>-</t>
  </si>
  <si>
    <t>CC</t>
  </si>
  <si>
    <t>T</t>
  </si>
  <si>
    <t>08W</t>
  </si>
  <si>
    <t>08-I</t>
  </si>
  <si>
    <t>Dali Driver SC-10W PE19DA4240  (AI-Dimming)-25-40V</t>
  </si>
  <si>
    <t>40-</t>
  </si>
  <si>
    <t>COB 12&amp;15W 4000K 12LED 36V 350mA 13.5x13.5mm CRI-90</t>
  </si>
  <si>
    <t>I</t>
  </si>
  <si>
    <t>12W</t>
  </si>
  <si>
    <t>08-BT</t>
  </si>
  <si>
    <t>PS CCT 8W 170MA 36V BT-SC (PCB LT 7-20W-CCT-V 1.1 REV-1)</t>
  </si>
  <si>
    <t>50-</t>
  </si>
  <si>
    <t>COB 12&amp;15W 5000K 12LED 36V 350mA 13.5x13.5mm CRI-90</t>
  </si>
  <si>
    <t>TRIM Ring</t>
  </si>
  <si>
    <t>08-ID</t>
  </si>
  <si>
    <t>Dali Driver DC-10W PE694R4230(AI-Dimming)-25-40V</t>
  </si>
  <si>
    <t>60-</t>
  </si>
  <si>
    <t>COB 12&amp;15W 6000K 12LED 36V 350mA 13.5x13.5mm CRI-90</t>
  </si>
  <si>
    <t>BT</t>
  </si>
  <si>
    <t>Inner Ring-O-54 I-44.8 H-60mm White DMLR08/12W</t>
  </si>
  <si>
    <t>08-BTD</t>
  </si>
  <si>
    <t>PS CCT 8W 170MA 36V BT-DC (PCB LT 7-20W-CCT-V 1.1 REV-1)</t>
  </si>
  <si>
    <t>ID</t>
  </si>
  <si>
    <t>Inner Ring-O-54 I-44.8 H-60mm Black DMLR08/12W</t>
  </si>
  <si>
    <t>27-T</t>
  </si>
  <si>
    <t>BTD</t>
  </si>
  <si>
    <t>12-</t>
  </si>
  <si>
    <t>30-T</t>
  </si>
  <si>
    <t>COB 12&amp;15W 3000K 12LED 36V 350mA 13.5x13.5mm L-11mm</t>
  </si>
  <si>
    <t>12-T</t>
  </si>
  <si>
    <t>40-T</t>
  </si>
  <si>
    <t>COB 12&amp;15W 4000K 12LED 36V 350mA 13.5x13.5mm L-11mm</t>
  </si>
  <si>
    <t>12-I</t>
  </si>
  <si>
    <t>50-T</t>
  </si>
  <si>
    <t>COB 12&amp;15W 5000K 12LED 36V 350mA 13.5x13.5mm L-11mm</t>
  </si>
  <si>
    <t>12-BT</t>
  </si>
  <si>
    <t>60-T</t>
  </si>
  <si>
    <t>COB 12&amp;15W 6000K 12LED 36V 350mA 13.5x13.5mm L-11mm</t>
  </si>
  <si>
    <t>Beam Angle</t>
  </si>
  <si>
    <t>12-ID</t>
  </si>
  <si>
    <t>Driver</t>
  </si>
  <si>
    <t>12-BTD</t>
  </si>
  <si>
    <t>27-I</t>
  </si>
  <si>
    <t>30-I</t>
  </si>
  <si>
    <t>40-I</t>
  </si>
  <si>
    <t>Part Number</t>
  </si>
  <si>
    <t>Qty</t>
  </si>
  <si>
    <t>Unit Price</t>
  </si>
  <si>
    <t>Cost</t>
  </si>
  <si>
    <t>USD</t>
  </si>
  <si>
    <t>INS&amp;FRED</t>
  </si>
  <si>
    <t>BCD</t>
  </si>
  <si>
    <t>Total Cost</t>
  </si>
  <si>
    <t>50-I</t>
  </si>
  <si>
    <t xml:space="preserve">FITTING DMLRO8 -12W ALL SET </t>
  </si>
  <si>
    <t>60-I</t>
  </si>
  <si>
    <t>25-ID</t>
  </si>
  <si>
    <t>COB 12&amp;15W 2700-5000K 12LED 36V 350mA 13.5x13.5mm CRI-90</t>
  </si>
  <si>
    <t>COB 12&amp;15W 2700K 12LED 36V 350mA 13.5x13.5mm L-11mm</t>
  </si>
  <si>
    <t>COB 12&amp;15W 2700-5000K 12LED 36V 350mA 13.5x13.5mm L-11mm</t>
  </si>
  <si>
    <t>27-BT</t>
  </si>
  <si>
    <t>HS-50X34mm DMLR08W</t>
  </si>
  <si>
    <t>30-BT</t>
  </si>
  <si>
    <t>40-BT</t>
  </si>
  <si>
    <t>50-BT</t>
  </si>
  <si>
    <t>60-BT</t>
  </si>
  <si>
    <t>25-BTD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</si>
  <si>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</si>
  <si>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</si>
  <si>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</si>
  <si>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</si>
  <si>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</si>
  <si>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</si>
  <si>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</si>
  <si>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</si>
  <si>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</si>
  <si>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</si>
  <si>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Watt</t>
  </si>
  <si>
    <t>Color Temp</t>
  </si>
  <si>
    <t>Driving System</t>
  </si>
  <si>
    <t>DMLR08M60-</t>
  </si>
  <si>
    <t>08 Watt</t>
  </si>
  <si>
    <t>Round White Trim</t>
  </si>
  <si>
    <t>Medium - 36°</t>
  </si>
  <si>
    <t>6000K</t>
  </si>
  <si>
    <t>Constant Current</t>
  </si>
  <si>
    <t>DMLR08W60-</t>
  </si>
  <si>
    <t>Wide - 50°</t>
  </si>
  <si>
    <t>DMLR08M50-</t>
  </si>
  <si>
    <t>5000k</t>
  </si>
  <si>
    <t>DMLR08W50-</t>
  </si>
  <si>
    <t>DMLR08M40-</t>
  </si>
  <si>
    <t>4000k</t>
  </si>
  <si>
    <t>DMLR08W40-</t>
  </si>
  <si>
    <t>DMLR08M30-</t>
  </si>
  <si>
    <t>3000k</t>
  </si>
  <si>
    <t>DMLR08W30-</t>
  </si>
  <si>
    <t>DMLR08M27-</t>
  </si>
  <si>
    <t>2700k</t>
  </si>
  <si>
    <t>DMLR08W27-</t>
  </si>
  <si>
    <t>DMLB08M60-</t>
  </si>
  <si>
    <t>Round Black Trim</t>
  </si>
  <si>
    <t>DMLB08W60-</t>
  </si>
  <si>
    <t>DMLB08M50-</t>
  </si>
  <si>
    <t>DMLB08W50-</t>
  </si>
  <si>
    <t>DMLB08M40-</t>
  </si>
  <si>
    <t>DMLB08W40-</t>
  </si>
  <si>
    <t>DMLB08M30-</t>
  </si>
  <si>
    <t>DMLB08W30-</t>
  </si>
  <si>
    <t>DMLB08M27-</t>
  </si>
  <si>
    <t>DMLB08W27-</t>
  </si>
  <si>
    <t>DMLT08M60-</t>
  </si>
  <si>
    <t>Round Two Color Trim</t>
  </si>
  <si>
    <t>DMLT08W60-</t>
  </si>
  <si>
    <t>DMLT08M50-</t>
  </si>
  <si>
    <t>DMLT08W50-</t>
  </si>
  <si>
    <t>DMLT08M40-</t>
  </si>
  <si>
    <t>DMLT08W40-</t>
  </si>
  <si>
    <t>DMLT08M30-</t>
  </si>
  <si>
    <t>DMLT08W30-</t>
  </si>
  <si>
    <t>DMLT08M27-</t>
  </si>
  <si>
    <t>DMLT08W27-</t>
  </si>
  <si>
    <t>DMLR08M60T</t>
  </si>
  <si>
    <t>TRIAC Dimming</t>
  </si>
  <si>
    <t>DMLR08W60T</t>
  </si>
  <si>
    <t>DMLR08M50T</t>
  </si>
  <si>
    <t>DMLR08W50T</t>
  </si>
  <si>
    <t>DMLR08M40T</t>
  </si>
  <si>
    <t>DMLR08W40T</t>
  </si>
  <si>
    <t>DMLR08M30T</t>
  </si>
  <si>
    <t>DMLR08W30T</t>
  </si>
  <si>
    <t>DMLR08M27T</t>
  </si>
  <si>
    <t>DMLR08W27T</t>
  </si>
  <si>
    <t>DMLB08M60T</t>
  </si>
  <si>
    <t>DMLB08W60T</t>
  </si>
  <si>
    <t>DMLB08M50T</t>
  </si>
  <si>
    <t>DMLB08W50T</t>
  </si>
  <si>
    <t>DMLB08M40T</t>
  </si>
  <si>
    <t>DMLB08W40T</t>
  </si>
  <si>
    <t>DMLB08M30T</t>
  </si>
  <si>
    <t>DMLB08W30T</t>
  </si>
  <si>
    <t>DMLB08M27T</t>
  </si>
  <si>
    <t>DMLB08W27T</t>
  </si>
  <si>
    <t>DMLT08M60T</t>
  </si>
  <si>
    <t>DMLT08M50T</t>
  </si>
  <si>
    <t>DMLT08W50T</t>
  </si>
  <si>
    <t>DMLT08M40T</t>
  </si>
  <si>
    <t>DMLT08W40T</t>
  </si>
  <si>
    <t>DMLT08M30T</t>
  </si>
  <si>
    <t>DMLT08W30T</t>
  </si>
  <si>
    <t>DMLT08M27T</t>
  </si>
  <si>
    <t>DMLT08W27T</t>
  </si>
  <si>
    <t>DMLR08M60I</t>
  </si>
  <si>
    <t>DALI Dimming</t>
  </si>
  <si>
    <t>DMLR08W60I</t>
  </si>
  <si>
    <t>DMLR08M50I</t>
  </si>
  <si>
    <t>DMLR08W50I</t>
  </si>
  <si>
    <t>DMLR08M40I</t>
  </si>
  <si>
    <t>DMLR08W40I</t>
  </si>
  <si>
    <t>DMLR08M30I</t>
  </si>
  <si>
    <t>DMLR08W30I</t>
  </si>
  <si>
    <t>DMLR08M27I</t>
  </si>
  <si>
    <t>DMLR08W27I</t>
  </si>
  <si>
    <t>DMLB08M60I</t>
  </si>
  <si>
    <t>DMLB08W60I</t>
  </si>
  <si>
    <t>DMLB08M50I</t>
  </si>
  <si>
    <t>DMLB08W50I</t>
  </si>
  <si>
    <t>DMLB08M40I</t>
  </si>
  <si>
    <t>DMLB08W40I</t>
  </si>
  <si>
    <t>DMLB08M30I</t>
  </si>
  <si>
    <t>DMLB08W30I</t>
  </si>
  <si>
    <t>DMLB08M27I</t>
  </si>
  <si>
    <t>DMLB08W27I</t>
  </si>
  <si>
    <t>DMLT08M60I</t>
  </si>
  <si>
    <t>DMLT08W60I</t>
  </si>
  <si>
    <t>DMLT08M50I</t>
  </si>
  <si>
    <t>DMLT08W50I</t>
  </si>
  <si>
    <t>DMLT08M40I</t>
  </si>
  <si>
    <t>DMLT08W40I</t>
  </si>
  <si>
    <t>DMLT08M30I</t>
  </si>
  <si>
    <t>DMLT08W30I</t>
  </si>
  <si>
    <t>DMLT08M27I</t>
  </si>
  <si>
    <t>DMLT08W27I</t>
  </si>
  <si>
    <t>DMLR08M25ID</t>
  </si>
  <si>
    <t>2700K - 5000K Dali + Dual Color (Driving System)</t>
  </si>
  <si>
    <t>Dali + Dual Color (2700K - 5000K)</t>
  </si>
  <si>
    <t>DMLR08W25ID</t>
  </si>
  <si>
    <t>DMLB08M25ID</t>
  </si>
  <si>
    <t>DMLB08W25ID</t>
  </si>
  <si>
    <t>DMLT08M25ID</t>
  </si>
  <si>
    <t>DMLT08W25ID</t>
  </si>
  <si>
    <t>DMLR08M60BT</t>
  </si>
  <si>
    <t>Bluetooth Dimming</t>
  </si>
  <si>
    <t>DMLR08W60BT</t>
  </si>
  <si>
    <t>DMLR08M50BT</t>
  </si>
  <si>
    <t>DMLR08W50BT</t>
  </si>
  <si>
    <t>DMLR08M40BT</t>
  </si>
  <si>
    <t>DMLR08W40BT</t>
  </si>
  <si>
    <t>DMLR08M30BT</t>
  </si>
  <si>
    <t>DMLR08W30BT</t>
  </si>
  <si>
    <t>DMLR08M27BT</t>
  </si>
  <si>
    <t>DMLR08W27BT</t>
  </si>
  <si>
    <t>DMLB08M60BT</t>
  </si>
  <si>
    <t>DMLB08W60BT</t>
  </si>
  <si>
    <t>DMLB08M50BT</t>
  </si>
  <si>
    <t>DMLB08W50BT</t>
  </si>
  <si>
    <t>DMLB08M40BT</t>
  </si>
  <si>
    <t>DMLB08W40BT</t>
  </si>
  <si>
    <t>DMLB08M30BT</t>
  </si>
  <si>
    <t>DMLB08W30BT</t>
  </si>
  <si>
    <t>DMLB08M27BT</t>
  </si>
  <si>
    <t>DMLB08W27BT</t>
  </si>
  <si>
    <t>DMLT08M60BT</t>
  </si>
  <si>
    <t>DMLT08W60BT</t>
  </si>
  <si>
    <t>DMLT08M50BT</t>
  </si>
  <si>
    <t>DMLT08W50BT</t>
  </si>
  <si>
    <t>DMLT08M40BT</t>
  </si>
  <si>
    <t>DMLT08W40BT</t>
  </si>
  <si>
    <t>DMLT08M30BT</t>
  </si>
  <si>
    <t>DMLT08W30BT</t>
  </si>
  <si>
    <t>DMLT08M27BT</t>
  </si>
  <si>
    <t>DMLT08W27BT</t>
  </si>
  <si>
    <t>DMLR08M25BTD</t>
  </si>
  <si>
    <t>2700K - 5000K Bluetooth  + Dual Color (Driving System)</t>
  </si>
  <si>
    <t>Bluetooth Dimming + Dual Color (2700K - 5000K)</t>
  </si>
  <si>
    <t>DMLR08W25BTD</t>
  </si>
  <si>
    <t>DMLB08M25BTD</t>
  </si>
  <si>
    <t>DMLB08W25BTD</t>
  </si>
  <si>
    <t>DMLT08M25BTD</t>
  </si>
  <si>
    <t>DMLT08W25BTD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</si>
  <si>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</si>
  <si>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</si>
  <si>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</si>
  <si>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</si>
  <si>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</si>
  <si>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</si>
  <si>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</si>
  <si>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Stock Item worksheet: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</si>
  <si>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</si>
  <si>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</si>
  <si>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</si>
  <si>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</si>
  <si>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</si>
  <si>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</si>
  <si>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</si>
  <si>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</si>
  <si>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</si>
  <si>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</si>
  <si>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</si>
  <si>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</si>
  <si>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</si>
  <si>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</si>
  <si>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</si>
  <si>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</si>
  <si>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</si>
  <si>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</si>
  <si>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</si>
  <si>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</si>
  <si>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</si>
  <si>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</si>
  <si>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</si>
  <si>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</si>
  <si>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</si>
  <si>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</si>
  <si>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</si>
  <si>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</si>
  <si>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</si>
  <si>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</si>
  <si>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</si>
  <si>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</si>
  <si>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</si>
  <si>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</si>
  <si>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</si>
  <si>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</si>
  <si>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</si>
  <si>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</si>
  <si>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</si>
  <si>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</si>
  <si>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</si>
  <si>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</si>
  <si>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</si>
  <si>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</si>
  <si>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</si>
  <si>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</si>
  <si>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</si>
  <si>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</si>
  <si>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</si>
  <si>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</si>
  <si>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</si>
  <si>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BOM Component - Rate (%)</t>
  </si>
  <si>
    <t>BOM Component - Location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</si>
  <si>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</si>
  <si>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</si>
  <si>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</si>
  <si>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</si>
  <si>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</si>
  <si>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</si>
  <si>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</si>
  <si>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</si>
  <si>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</si>
  <si>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</si>
  <si>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</si>
  <si>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</si>
  <si>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</si>
  <si>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</si>
  <si>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</si>
  <si>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</si>
  <si>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</si>
  <si>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</si>
  <si>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</si>
  <si>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</si>
  <si>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</si>
  <si>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</si>
  <si>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</si>
  <si>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</si>
  <si>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</si>
  <si>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</si>
  <si>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</si>
  <si>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</si>
  <si>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</si>
  <si>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</si>
  <si>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</si>
  <si>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</si>
  <si>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</si>
  <si>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</si>
  <si>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</si>
  <si>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</si>
  <si>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</si>
  <si>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</si>
  <si>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</si>
  <si>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</si>
  <si>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</si>
  <si>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</si>
  <si>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</si>
  <si>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</si>
  <si>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</si>
  <si>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</si>
  <si>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</si>
  <si>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</si>
  <si>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</si>
  <si>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</si>
  <si>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</si>
  <si>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</si>
  <si>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</si>
  <si>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</si>
  <si>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</si>
  <si>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</si>
  <si>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</si>
  <si>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</si>
  <si>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</si>
  <si>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</si>
  <si>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</si>
  <si>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</si>
  <si>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</si>
  <si>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</si>
  <si>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</si>
  <si>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</si>
  <si>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</si>
  <si>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</si>
  <si>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</si>
  <si>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</si>
  <si>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</si>
  <si>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</si>
  <si>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</si>
  <si>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</si>
  <si>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</si>
  <si>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</si>
  <si>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</si>
  <si>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</si>
  <si>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</si>
  <si>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</si>
  <si>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</si>
  <si>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</si>
  <si>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</si>
  <si>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</si>
  <si>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</si>
  <si>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</si>
  <si>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</si>
  <si>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</si>
  <si>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</si>
  <si>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</si>
  <si>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</si>
  <si>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</si>
  <si>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</si>
  <si>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</si>
  <si>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</si>
  <si>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</si>
  <si>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</si>
  <si>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</si>
  <si>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</si>
  <si>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</si>
  <si>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</si>
  <si>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</si>
  <si>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</si>
  <si>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</si>
  <si>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</si>
  <si>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</si>
  <si>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</si>
  <si>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</si>
  <si>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</si>
  <si>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</si>
  <si>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</si>
  <si>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</si>
  <si>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</si>
  <si>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</si>
  <si>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</si>
  <si>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</si>
  <si>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</si>
  <si>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DMLR08M30</t>
  </si>
  <si>
    <t>PS Rate Mention with Total Amt</t>
  </si>
  <si>
    <t>Rate</t>
  </si>
  <si>
    <t>DMLR08W-CC</t>
  </si>
  <si>
    <t>DMLR08W Track Dimming</t>
  </si>
  <si>
    <t>DMLR08W Dali Single Color</t>
  </si>
  <si>
    <t>DMLR08W BT Single Color</t>
  </si>
  <si>
    <t>DMLR08W  Dali Dual Color</t>
  </si>
  <si>
    <t>DMLR08W  BT Dual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</si>
</sst>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00"/>
    <numFmt numFmtId="165" formatCode="_-[$Rs-420]* #,##0.00_-;_-[$Rs-420]* #,##0.00\-;_-[$Rs-420]* &quot;-&quot;??_-;_-@_-"/>
    <numFmt numFmtId="166" formatCode="&quot;$&quot;#,##0.000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172B4D"/>
      <name val="Arial"/>
      <family val="2"/>
    </font>
    <font>
      <sz val="10"/>
      <color rgb="FF000000"/>
      <name val="Afacad-Regular"/>
      <charset val="134"/>
    </font>
    <font>
      <sz val="9"/>
      <name val="Tahoma"/>
      <family val="2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EAEAEA"/>
        <bgColor rgb="FFEAEAEA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4" fillId="0" borderId="0"/>
    <xf numFmtId="0" fontId="15" fillId="0" borderId="0"/>
    <xf numFmtId="0" fontId="15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4">
    <xf numFmtId="0" fontId="0" fillId="0" borderId="0" xfId="0"/>
    <xf numFmtId="0" fontId="3" fillId="0" borderId="0" xfId="0" applyFont="1"/>
    <xf numFmtId="0" fontId="4" fillId="2" borderId="0" xfId="0" applyFont="1" applyFill="1"/>
    <xf numFmtId="0" fontId="5" fillId="3" borderId="1" xfId="0" applyFont="1" applyFill="1" applyBorder="1" applyAlignment="1">
      <alignment horizontal="center" wrapText="1"/>
    </xf>
    <xf numFmtId="0" fontId="6" fillId="2" borderId="0" xfId="0" applyFont="1" applyFill="1"/>
    <xf numFmtId="0" fontId="0" fillId="2" borderId="0" xfId="0" applyFill="1"/>
    <xf numFmtId="0" fontId="5" fillId="4" borderId="1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wrapText="1"/>
    </xf>
    <xf numFmtId="0" fontId="7" fillId="2" borderId="4" xfId="0" applyFont="1" applyFill="1" applyBorder="1"/>
    <xf numFmtId="0" fontId="3" fillId="2" borderId="5" xfId="0" applyFont="1" applyFill="1" applyBorder="1"/>
    <xf numFmtId="0" fontId="5" fillId="0" borderId="6" xfId="0" applyFont="1" applyBorder="1" applyAlignment="1">
      <alignment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/>
    <xf numFmtId="0" fontId="8" fillId="2" borderId="7" xfId="0" applyFont="1" applyFill="1" applyBorder="1" applyAlignment="1">
      <alignment horizontal="left" indent="2"/>
    </xf>
    <xf numFmtId="0" fontId="3" fillId="2" borderId="0" xfId="0" applyFont="1" applyFill="1" applyAlignment="1">
      <alignment horizontal="left" indent="2"/>
    </xf>
    <xf numFmtId="0" fontId="3" fillId="0" borderId="1" xfId="0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indent="2"/>
    </xf>
    <xf numFmtId="0" fontId="3" fillId="2" borderId="7" xfId="0" applyFont="1" applyFill="1" applyBorder="1" applyAlignment="1">
      <alignment horizontal="left" indent="2"/>
    </xf>
    <xf numFmtId="0" fontId="9" fillId="2" borderId="7" xfId="0" applyFont="1" applyFill="1" applyBorder="1" applyAlignment="1">
      <alignment horizontal="left" indent="2"/>
    </xf>
    <xf numFmtId="0" fontId="9" fillId="2" borderId="0" xfId="0" applyFont="1" applyFill="1" applyAlignment="1">
      <alignment horizontal="left" indent="2"/>
    </xf>
    <xf numFmtId="0" fontId="9" fillId="2" borderId="7" xfId="0" applyFont="1" applyFill="1" applyBorder="1" applyAlignment="1">
      <alignment horizontal="left" indent="3"/>
    </xf>
    <xf numFmtId="0" fontId="10" fillId="2" borderId="7" xfId="0" applyFont="1" applyFill="1" applyBorder="1" applyAlignment="1">
      <alignment horizontal="left" indent="3"/>
    </xf>
    <xf numFmtId="0" fontId="11" fillId="2" borderId="0" xfId="0" applyFont="1" applyFill="1" applyAlignment="1">
      <alignment horizontal="left" indent="3"/>
    </xf>
    <xf numFmtId="0" fontId="12" fillId="0" borderId="3" xfId="0" applyFont="1" applyBorder="1" applyAlignment="1">
      <alignment wrapText="1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8" fillId="2" borderId="0" xfId="0" applyFont="1" applyFill="1"/>
    <xf numFmtId="0" fontId="5" fillId="2" borderId="0" xfId="0" applyFont="1" applyFill="1"/>
    <xf numFmtId="0" fontId="5" fillId="4" borderId="2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indent="1"/>
    </xf>
    <xf numFmtId="0" fontId="11" fillId="2" borderId="0" xfId="0" applyFont="1" applyFill="1" applyAlignment="1">
      <alignment horizontal="left" indent="1"/>
    </xf>
    <xf numFmtId="0" fontId="3" fillId="0" borderId="3" xfId="0" applyFont="1" applyBorder="1" applyAlignment="1">
      <alignment wrapText="1"/>
    </xf>
    <xf numFmtId="0" fontId="7" fillId="2" borderId="5" xfId="0" applyFont="1" applyFill="1" applyBorder="1"/>
    <xf numFmtId="0" fontId="13" fillId="2" borderId="0" xfId="4" applyFill="1" applyBorder="1" applyAlignment="1"/>
    <xf numFmtId="0" fontId="13" fillId="2" borderId="0" xfId="4" applyFill="1" applyBorder="1"/>
    <xf numFmtId="0" fontId="7" fillId="2" borderId="10" xfId="0" applyFont="1" applyFill="1" applyBorder="1"/>
    <xf numFmtId="0" fontId="3" fillId="2" borderId="11" xfId="0" applyFont="1" applyFill="1" applyBorder="1" applyAlignment="1">
      <alignment horizontal="left" indent="2"/>
    </xf>
    <xf numFmtId="0" fontId="9" fillId="2" borderId="11" xfId="0" applyFont="1" applyFill="1" applyBorder="1" applyAlignment="1">
      <alignment horizontal="left" indent="2"/>
    </xf>
    <xf numFmtId="0" fontId="3" fillId="2" borderId="11" xfId="0" applyFont="1" applyFill="1" applyBorder="1"/>
    <xf numFmtId="0" fontId="3" fillId="2" borderId="12" xfId="0" applyFont="1" applyFill="1" applyBorder="1"/>
    <xf numFmtId="0" fontId="4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14" fillId="6" borderId="1" xfId="1" applyFill="1" applyBorder="1"/>
    <xf numFmtId="0" fontId="14" fillId="0" borderId="0" xfId="1"/>
    <xf numFmtId="0" fontId="14" fillId="7" borderId="1" xfId="1" applyFill="1" applyBorder="1"/>
    <xf numFmtId="0" fontId="14" fillId="8" borderId="1" xfId="1" applyFill="1" applyBorder="1"/>
    <xf numFmtId="0" fontId="14" fillId="7" borderId="6" xfId="1" applyFill="1" applyBorder="1"/>
    <xf numFmtId="0" fontId="14" fillId="8" borderId="6" xfId="1" applyFill="1" applyBorder="1"/>
    <xf numFmtId="0" fontId="0" fillId="0" borderId="13" xfId="0" applyBorder="1" applyAlignment="1">
      <alignment horizontal="center" vertical="center"/>
    </xf>
    <xf numFmtId="0" fontId="0" fillId="9" borderId="14" xfId="0" applyFill="1" applyBorder="1"/>
    <xf numFmtId="0" fontId="0" fillId="0" borderId="14" xfId="0" applyBorder="1"/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49" fontId="0" fillId="0" borderId="20" xfId="0" applyNumberFormat="1" applyBorder="1"/>
    <xf numFmtId="0" fontId="15" fillId="0" borderId="1" xfId="0" applyFont="1" applyBorder="1"/>
    <xf numFmtId="0" fontId="0" fillId="0" borderId="0" xfId="0" applyAlignment="1">
      <alignment wrapText="1"/>
    </xf>
    <xf numFmtId="0" fontId="15" fillId="9" borderId="16" xfId="0" applyFont="1" applyFill="1" applyBorder="1" applyAlignment="1">
      <alignment horizontal="center" vertical="center"/>
    </xf>
    <xf numFmtId="0" fontId="0" fillId="9" borderId="21" xfId="0" applyFill="1" applyBorder="1"/>
    <xf numFmtId="0" fontId="15" fillId="0" borderId="0" xfId="0" applyFont="1"/>
    <xf numFmtId="0" fontId="0" fillId="0" borderId="20" xfId="0" applyBorder="1"/>
    <xf numFmtId="0" fontId="15" fillId="0" borderId="20" xfId="0" applyFont="1" applyBorder="1" applyAlignment="1">
      <alignment horizontal="left"/>
    </xf>
    <xf numFmtId="0" fontId="0" fillId="0" borderId="1" xfId="0" applyFont="1" applyBorder="1"/>
    <xf numFmtId="0" fontId="0" fillId="9" borderId="22" xfId="0" applyFill="1" applyBorder="1"/>
    <xf numFmtId="0" fontId="0" fillId="0" borderId="20" xfId="0" applyBorder="1" applyAlignment="1">
      <alignment horizontal="left"/>
    </xf>
    <xf numFmtId="0" fontId="15" fillId="0" borderId="23" xfId="0" applyFont="1" applyBorder="1" applyAlignment="1">
      <alignment horizontal="left"/>
    </xf>
    <xf numFmtId="0" fontId="0" fillId="9" borderId="24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/>
    <xf numFmtId="0" fontId="0" fillId="10" borderId="27" xfId="0" applyFill="1" applyBorder="1"/>
    <xf numFmtId="0" fontId="0" fillId="10" borderId="28" xfId="0" applyFill="1" applyBorder="1"/>
    <xf numFmtId="0" fontId="0" fillId="0" borderId="21" xfId="0" applyBorder="1"/>
    <xf numFmtId="0" fontId="0" fillId="0" borderId="6" xfId="0" applyBorder="1"/>
    <xf numFmtId="0" fontId="0" fillId="11" borderId="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Fill="1" applyBorder="1"/>
    <xf numFmtId="0" fontId="0" fillId="0" borderId="27" xfId="0" applyBorder="1"/>
    <xf numFmtId="0" fontId="0" fillId="12" borderId="32" xfId="0" applyFill="1" applyBorder="1"/>
    <xf numFmtId="0" fontId="15" fillId="0" borderId="33" xfId="0" applyFont="1" applyBorder="1"/>
    <xf numFmtId="0" fontId="15" fillId="12" borderId="34" xfId="0" applyFont="1" applyFill="1" applyBorder="1"/>
    <xf numFmtId="0" fontId="0" fillId="0" borderId="0" xfId="0" applyBorder="1"/>
    <xf numFmtId="0" fontId="15" fillId="0" borderId="0" xfId="0" applyFont="1" applyBorder="1"/>
    <xf numFmtId="0" fontId="0" fillId="0" borderId="33" xfId="0" applyBorder="1"/>
    <xf numFmtId="0" fontId="0" fillId="12" borderId="34" xfId="0" applyFill="1" applyBorder="1"/>
    <xf numFmtId="0" fontId="0" fillId="0" borderId="35" xfId="0" applyFill="1" applyBorder="1"/>
    <xf numFmtId="0" fontId="0" fillId="12" borderId="36" xfId="0" applyFill="1" applyBorder="1"/>
    <xf numFmtId="0" fontId="16" fillId="13" borderId="1" xfId="0" applyFont="1" applyFill="1" applyBorder="1" applyAlignment="1">
      <alignment horizontal="center" vertical="center"/>
    </xf>
    <xf numFmtId="0" fontId="1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28" xfId="0" applyFill="1" applyBorder="1"/>
    <xf numFmtId="0" fontId="0" fillId="10" borderId="32" xfId="0" applyFill="1" applyBorder="1"/>
    <xf numFmtId="0" fontId="0" fillId="10" borderId="34" xfId="0" applyFill="1" applyBorder="1"/>
    <xf numFmtId="0" fontId="0" fillId="0" borderId="34" xfId="0" applyBorder="1"/>
    <xf numFmtId="0" fontId="0" fillId="6" borderId="2" xfId="0" applyFill="1" applyBorder="1"/>
    <xf numFmtId="0" fontId="0" fillId="0" borderId="2" xfId="0" applyFill="1" applyBorder="1"/>
    <xf numFmtId="0" fontId="0" fillId="0" borderId="31" xfId="0" applyBorder="1"/>
    <xf numFmtId="0" fontId="0" fillId="0" borderId="36" xfId="0" applyBorder="1"/>
    <xf numFmtId="16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9" fontId="1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5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0" fillId="8" borderId="1" xfId="0" applyFill="1" applyBorder="1"/>
    <xf numFmtId="0" fontId="0" fillId="7" borderId="1" xfId="0" applyFill="1" applyBorder="1"/>
    <xf numFmtId="0" fontId="15" fillId="7" borderId="1" xfId="0" applyFont="1" applyFill="1" applyBorder="1"/>
    <xf numFmtId="0" fontId="15" fillId="10" borderId="1" xfId="0" applyFont="1" applyFill="1" applyBorder="1"/>
    <xf numFmtId="0" fontId="0" fillId="6" borderId="1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16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17" fillId="0" borderId="1" xfId="0" applyNumberFormat="1" applyFont="1" applyFill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0" fontId="22" fillId="0" borderId="0" xfId="0" applyFont="1"/>
    <xf numFmtId="165" fontId="23" fillId="15" borderId="38" xfId="0" applyNumberFormat="1" applyFont="1" applyFill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9" fontId="17" fillId="0" borderId="0" xfId="0" applyNumberFormat="1" applyFont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0" fontId="2" fillId="0" borderId="0" xfId="0" applyFont="1"/>
    <xf numFmtId="165" fontId="17" fillId="17" borderId="1" xfId="0" applyNumberFormat="1" applyFont="1" applyFill="1" applyBorder="1" applyAlignment="1">
      <alignment horizontal="center" vertical="center"/>
    </xf>
    <xf numFmtId="165" fontId="22" fillId="0" borderId="39" xfId="0" applyNumberFormat="1" applyFont="1" applyFill="1" applyBorder="1" applyAlignment="1">
      <alignment vertical="center"/>
    </xf>
    <xf numFmtId="165" fontId="16" fillId="0" borderId="1" xfId="0" applyNumberFormat="1" applyFont="1" applyFill="1" applyBorder="1" applyAlignment="1">
      <alignment horizontal="left" vertical="center"/>
    </xf>
    <xf numFmtId="165" fontId="6" fillId="0" borderId="1" xfId="0" applyNumberFormat="1" applyFont="1" applyFill="1" applyBorder="1" applyAlignment="1">
      <alignment vertical="center"/>
    </xf>
    <xf numFmtId="0" fontId="6" fillId="16" borderId="2" xfId="0" applyFont="1" applyFill="1" applyBorder="1" applyAlignment="1">
      <alignment horizontal="right" vertical="center"/>
    </xf>
    <xf numFmtId="0" fontId="6" fillId="16" borderId="20" xfId="0" applyFont="1" applyFill="1" applyBorder="1" applyAlignment="1">
      <alignment horizontal="right" vertical="center"/>
    </xf>
    <xf numFmtId="0" fontId="6" fillId="14" borderId="2" xfId="0" applyFont="1" applyFill="1" applyBorder="1" applyAlignment="1">
      <alignment horizontal="right" vertical="center"/>
    </xf>
    <xf numFmtId="0" fontId="6" fillId="14" borderId="20" xfId="0" applyFont="1" applyFill="1" applyBorder="1" applyAlignment="1">
      <alignment horizontal="right" vertical="center"/>
    </xf>
    <xf numFmtId="0" fontId="15" fillId="0" borderId="2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/>
    <xf numFmtId="0" fontId="0" fillId="0" borderId="2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37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20" xfId="0" applyBorder="1" applyAlignment="1">
      <alignment horizontal="left"/>
    </xf>
    <xf numFmtId="0" fontId="9" fillId="2" borderId="0" xfId="0" applyFont="1" applyFill="1" applyAlignment="1">
      <alignment horizontal="left" wrapText="1"/>
    </xf>
    <xf numFmtId="0" fontId="9" fillId="2" borderId="7" xfId="0" applyFont="1" applyFill="1" applyBorder="1" applyAlignment="1">
      <alignment horizontal="left" wrapText="1" indent="2"/>
    </xf>
    <xf numFmtId="0" fontId="9" fillId="2" borderId="0" xfId="0" applyFont="1" applyFill="1" applyAlignment="1">
      <alignment horizontal="left" wrapText="1" indent="2"/>
    </xf>
    <xf numFmtId="0" fontId="9" fillId="2" borderId="11" xfId="0" applyFont="1" applyFill="1" applyBorder="1" applyAlignment="1">
      <alignment horizontal="left" wrapText="1" indent="2"/>
    </xf>
    <xf numFmtId="0" fontId="1" fillId="0" borderId="1" xfId="0" applyFont="1" applyBorder="1"/>
  </cellXfs>
  <cellStyles count="6">
    <cellStyle name="Hyperlink 2" xfId="4"/>
    <cellStyle name="Hyperlink 3" xfId="5"/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abSelected="1" topLeftCell="F1" zoomScale="90" zoomScaleNormal="90" workbookViewId="0">
      <selection activeCell="L24" sqref="L24"/>
    </sheetView>
  </sheetViews>
  <sheetFormatPr defaultColWidth="9" defaultRowHeight="15"/>
  <cols>
    <col min="1" max="1" width="9.7109375" customWidth="1"/>
    <col min="2" max="2" width="18" customWidth="1"/>
    <col min="3" max="3" width="9.28515625" customWidth="1"/>
    <col min="4" max="4" width="15.5703125" customWidth="1"/>
    <col min="5" max="5" width="20.42578125" customWidth="1"/>
    <col min="6" max="6" width="52.85546875" customWidth="1"/>
    <col min="7" max="7" width="14.7109375" customWidth="1"/>
    <col min="8" max="8" width="27.7109375" hidden="1" customWidth="1"/>
    <col min="9" max="9" width="31.85546875" hidden="1" customWidth="1"/>
    <col min="10" max="10" width="18" customWidth="1"/>
    <col min="11" max="12" width="11.85546875" customWidth="1"/>
    <col min="14" max="14" width="10.140625" customWidth="1"/>
    <col min="16" max="16" width="11" customWidth="1"/>
  </cols>
  <sheetData>
    <row r="1" spans="1:16" s="117" customFormat="1">
      <c r="A1" s="118" t="s">
        <v>0</v>
      </c>
      <c r="B1" s="118" t="s">
        <v>1</v>
      </c>
      <c r="C1" s="118" t="s">
        <v>2</v>
      </c>
      <c r="D1" s="118" t="s">
        <v>3</v>
      </c>
      <c r="E1" s="118" t="s">
        <v>4</v>
      </c>
      <c r="F1" s="118" t="s">
        <v>5</v>
      </c>
      <c r="G1" s="118" t="s">
        <v>6</v>
      </c>
      <c r="H1" s="118" t="s">
        <v>7</v>
      </c>
      <c r="I1" s="118" t="s">
        <v>8</v>
      </c>
      <c r="J1" s="118" t="s">
        <v>9</v>
      </c>
      <c r="K1" s="127" t="s">
        <v>103</v>
      </c>
      <c r="L1" s="127" t="s">
        <v>104</v>
      </c>
      <c r="M1" s="128" t="s">
        <v>105</v>
      </c>
      <c r="N1" s="129" t="s">
        <v>106</v>
      </c>
      <c r="O1" s="129" t="s">
        <v>107</v>
      </c>
      <c r="P1" s="128" t="s">
        <v>108</v>
      </c>
    </row>
    <row r="2" spans="1:16" ht="15" customHeight="1">
      <c r="A2" s="119" t="str">
        <f>CONCATENATE(D2)</f>
        <v>DMLR08M30</v>
      </c>
      <c r="B2" s="61" t="s">
        <v>10</v>
      </c>
      <c r="C2" s="61" t="s">
        <v>11</v>
      </c>
      <c r="D2" s="120" t="s">
        <v>464</v>
      </c>
      <c r="E2" s="61">
        <v>1</v>
      </c>
      <c r="F2" s="121" t="str">
        <f>VLOOKUP('DMLR08-12W-DATA'!V9,'DMLR08-12W-DATA'!A2:B4,2,0)</f>
        <v>Trim-O-85.5 I-65 H-24.5mm White DMLR08/12W (DLOR6)</v>
      </c>
      <c r="G2" s="100">
        <v>1</v>
      </c>
      <c r="H2" s="61" t="s">
        <v>13</v>
      </c>
      <c r="I2" s="61" t="s">
        <v>14</v>
      </c>
      <c r="J2" s="61"/>
      <c r="K2" s="130">
        <v>7</v>
      </c>
      <c r="L2" s="130">
        <f t="shared" ref="L2:L13" si="0">G2*K2</f>
        <v>7</v>
      </c>
      <c r="M2" s="131">
        <v>0</v>
      </c>
      <c r="N2" s="116">
        <v>0.5</v>
      </c>
      <c r="O2" s="116"/>
      <c r="P2" s="115">
        <f>M2+(M2*(N2+O2))</f>
        <v>0</v>
      </c>
    </row>
    <row r="3" spans="1:16">
      <c r="A3" s="61"/>
      <c r="B3" s="61"/>
      <c r="C3" s="61"/>
      <c r="D3" s="61"/>
      <c r="E3" s="61"/>
      <c r="F3" s="163" t="s">
        <v>15</v>
      </c>
      <c r="G3" s="100">
        <v>1</v>
      </c>
      <c r="H3" s="61" t="s">
        <v>13</v>
      </c>
      <c r="I3" s="61" t="s">
        <v>14</v>
      </c>
      <c r="J3" s="61"/>
      <c r="K3" s="138">
        <f t="shared" ref="K3:K12" si="1">P3*87</f>
        <v>0</v>
      </c>
      <c r="L3" s="138">
        <f t="shared" si="0"/>
        <v>0</v>
      </c>
      <c r="M3" s="131">
        <v>0</v>
      </c>
      <c r="N3" s="116">
        <v>0.5</v>
      </c>
      <c r="O3" s="116"/>
      <c r="P3" s="115">
        <f t="shared" ref="P3:P10" si="2">M3+(M3*(N3+O3))</f>
        <v>0</v>
      </c>
    </row>
    <row r="4" spans="1:16">
      <c r="A4" s="61"/>
      <c r="B4" s="61"/>
      <c r="C4" s="61"/>
      <c r="D4" s="61"/>
      <c r="E4" s="61"/>
      <c r="F4" s="121" t="str">
        <f>VLOOKUP('DMLR08-12W-DATA'!$V$9,'DMLR08-12W-DATA'!$A$7:$B$9,2,0)</f>
        <v>Inner Ring-O-54 I-44.8 H-60mm White DMLR08/12W</v>
      </c>
      <c r="G4" s="100">
        <v>1</v>
      </c>
      <c r="H4" s="61" t="s">
        <v>13</v>
      </c>
      <c r="I4" s="61" t="s">
        <v>14</v>
      </c>
      <c r="J4" s="61"/>
      <c r="K4" s="130">
        <v>7</v>
      </c>
      <c r="L4" s="130">
        <f t="shared" si="0"/>
        <v>7</v>
      </c>
      <c r="M4" s="131">
        <v>0</v>
      </c>
      <c r="N4" s="116">
        <v>0.5</v>
      </c>
      <c r="O4" s="116"/>
      <c r="P4" s="115">
        <f t="shared" si="2"/>
        <v>0</v>
      </c>
    </row>
    <row r="5" spans="1:16">
      <c r="A5" s="61"/>
      <c r="B5" s="61"/>
      <c r="C5" s="61"/>
      <c r="D5" s="61"/>
      <c r="E5" s="61"/>
      <c r="F5" s="122" t="str">
        <f>VLOOKUP('DMLR08-12W-DATA'!V10,'DMLR08-12W-DATA'!E2:F5,2,0)</f>
        <v>HS 50x34.5mm (SR-DR-NR-12W)</v>
      </c>
      <c r="G5" s="100">
        <v>1</v>
      </c>
      <c r="H5" s="61" t="s">
        <v>13</v>
      </c>
      <c r="I5" s="61" t="s">
        <v>14</v>
      </c>
      <c r="J5" s="61"/>
      <c r="K5" s="130">
        <f t="shared" si="1"/>
        <v>60.291000000000004</v>
      </c>
      <c r="L5" s="130">
        <f t="shared" si="0"/>
        <v>60.291000000000004</v>
      </c>
      <c r="M5" s="131">
        <v>0.46200000000000002</v>
      </c>
      <c r="N5" s="116">
        <v>0.5</v>
      </c>
      <c r="O5" s="116"/>
      <c r="P5" s="115">
        <f t="shared" si="2"/>
        <v>0.69300000000000006</v>
      </c>
    </row>
    <row r="6" spans="1:16">
      <c r="A6" s="61"/>
      <c r="B6" s="61"/>
      <c r="C6" s="61"/>
      <c r="D6" s="61"/>
      <c r="E6" s="61"/>
      <c r="F6" s="121" t="str">
        <f>VLOOKUP('DMLR08-12W-DATA'!V12,'DMLR08-12W-DATA'!Q2:R3,2,0)</f>
        <v>Lens-O-49.8 H-13.5 L-13.5mm 36°-PC (CR36G-50012) 8-12W</v>
      </c>
      <c r="G6" s="100">
        <v>1</v>
      </c>
      <c r="H6" s="61" t="s">
        <v>13</v>
      </c>
      <c r="I6" s="61" t="s">
        <v>14</v>
      </c>
      <c r="J6" s="61"/>
      <c r="K6" s="130">
        <f t="shared" si="1"/>
        <v>36.540000000000006</v>
      </c>
      <c r="L6" s="130">
        <f t="shared" si="0"/>
        <v>36.540000000000006</v>
      </c>
      <c r="M6" s="131">
        <v>0.28000000000000003</v>
      </c>
      <c r="N6" s="116">
        <v>0.5</v>
      </c>
      <c r="O6" s="116"/>
      <c r="P6" s="115">
        <f t="shared" si="2"/>
        <v>0.42000000000000004</v>
      </c>
    </row>
    <row r="7" spans="1:16">
      <c r="A7" s="61"/>
      <c r="B7" s="61"/>
      <c r="C7" s="61"/>
      <c r="D7" s="61"/>
      <c r="E7" s="61"/>
      <c r="F7" s="121" t="str">
        <f>VLOOKUP('DMLR08-12W-DATA'!V11,'DMLR08-12W-DATA'!M2:N26,2,0)</f>
        <v>COB 12&amp;15W 3000K 12LED 36V 350mA 13.5x13.5mm CRI-90</v>
      </c>
      <c r="G7" s="100">
        <v>1</v>
      </c>
      <c r="H7" s="61" t="s">
        <v>16</v>
      </c>
      <c r="I7" s="61" t="s">
        <v>14</v>
      </c>
      <c r="J7" s="61"/>
      <c r="K7" s="130">
        <f t="shared" si="1"/>
        <v>41.76</v>
      </c>
      <c r="L7" s="130">
        <f t="shared" si="0"/>
        <v>41.76</v>
      </c>
      <c r="M7" s="131">
        <v>0.32</v>
      </c>
      <c r="N7" s="116">
        <v>0.5</v>
      </c>
      <c r="O7" s="116"/>
      <c r="P7" s="115">
        <f t="shared" si="2"/>
        <v>0.48</v>
      </c>
    </row>
    <row r="8" spans="1:16">
      <c r="A8" s="61"/>
      <c r="B8" s="61"/>
      <c r="C8" s="61"/>
      <c r="D8" s="61"/>
      <c r="E8" s="61"/>
      <c r="F8" s="64" t="s">
        <v>17</v>
      </c>
      <c r="G8" s="100">
        <v>1</v>
      </c>
      <c r="H8" s="61" t="s">
        <v>13</v>
      </c>
      <c r="I8" s="61" t="s">
        <v>14</v>
      </c>
      <c r="J8" s="61"/>
      <c r="K8" s="130">
        <f t="shared" si="1"/>
        <v>3.915</v>
      </c>
      <c r="L8" s="130">
        <f t="shared" si="0"/>
        <v>3.915</v>
      </c>
      <c r="M8" s="131">
        <v>0.03</v>
      </c>
      <c r="N8" s="116">
        <v>0.5</v>
      </c>
      <c r="O8" s="116"/>
      <c r="P8" s="115">
        <f t="shared" si="2"/>
        <v>4.4999999999999998E-2</v>
      </c>
    </row>
    <row r="9" spans="1:16">
      <c r="A9" s="61"/>
      <c r="B9" s="61"/>
      <c r="C9" s="61"/>
      <c r="D9" s="61"/>
      <c r="E9" s="61"/>
      <c r="F9" s="64" t="s">
        <v>18</v>
      </c>
      <c r="G9" s="100">
        <v>0.12</v>
      </c>
      <c r="H9" s="61" t="s">
        <v>13</v>
      </c>
      <c r="I9" s="61" t="s">
        <v>14</v>
      </c>
      <c r="J9" s="61"/>
      <c r="K9" s="139">
        <f>5.7/1000*120</f>
        <v>0.68400000000000005</v>
      </c>
      <c r="L9" s="130">
        <f t="shared" si="0"/>
        <v>8.208E-2</v>
      </c>
    </row>
    <row r="10" spans="1:16">
      <c r="A10" s="61"/>
      <c r="B10" s="61"/>
      <c r="C10" s="61"/>
      <c r="D10" s="61"/>
      <c r="E10" s="61"/>
      <c r="F10" s="61" t="s">
        <v>19</v>
      </c>
      <c r="G10" s="100">
        <v>2</v>
      </c>
      <c r="H10" s="61" t="s">
        <v>13</v>
      </c>
      <c r="I10" s="61" t="s">
        <v>14</v>
      </c>
      <c r="J10" s="61"/>
      <c r="K10" s="130">
        <f t="shared" si="1"/>
        <v>1.044</v>
      </c>
      <c r="L10" s="130">
        <f t="shared" si="0"/>
        <v>2.0880000000000001</v>
      </c>
      <c r="M10" s="131">
        <v>8.0000000000000002E-3</v>
      </c>
      <c r="N10" s="116">
        <v>0.5</v>
      </c>
      <c r="O10" s="116"/>
      <c r="P10" s="115">
        <f t="shared" si="2"/>
        <v>1.2E-2</v>
      </c>
    </row>
    <row r="11" spans="1:16">
      <c r="A11" s="61"/>
      <c r="B11" s="61"/>
      <c r="C11" s="61"/>
      <c r="D11" s="61"/>
      <c r="E11" s="61"/>
      <c r="F11" s="64" t="s">
        <v>20</v>
      </c>
      <c r="G11" s="100">
        <v>1</v>
      </c>
      <c r="H11" s="61" t="s">
        <v>13</v>
      </c>
      <c r="I11" s="61" t="s">
        <v>14</v>
      </c>
      <c r="J11" s="61"/>
      <c r="K11" s="130">
        <v>0.6</v>
      </c>
      <c r="L11" s="130">
        <f t="shared" si="0"/>
        <v>0.6</v>
      </c>
    </row>
    <row r="12" spans="1:16">
      <c r="A12" s="61"/>
      <c r="B12" s="61"/>
      <c r="C12" s="61"/>
      <c r="D12" s="61"/>
      <c r="E12" s="61"/>
      <c r="F12" s="64" t="s">
        <v>21</v>
      </c>
      <c r="G12" s="100">
        <v>1</v>
      </c>
      <c r="H12" s="61" t="s">
        <v>13</v>
      </c>
      <c r="I12" s="61" t="s">
        <v>14</v>
      </c>
      <c r="J12" s="61"/>
      <c r="K12" s="130">
        <v>0.77</v>
      </c>
      <c r="L12" s="130">
        <f t="shared" si="0"/>
        <v>0.77</v>
      </c>
    </row>
    <row r="13" spans="1:16">
      <c r="A13" s="61"/>
      <c r="B13" s="61"/>
      <c r="C13" s="61"/>
      <c r="D13" s="61"/>
      <c r="E13" s="61"/>
      <c r="F13" s="64" t="s">
        <v>22</v>
      </c>
      <c r="G13" s="100">
        <v>6</v>
      </c>
      <c r="H13" s="61" t="s">
        <v>13</v>
      </c>
      <c r="I13" s="61" t="s">
        <v>14</v>
      </c>
      <c r="J13" s="61"/>
      <c r="K13" s="130">
        <v>0.26</v>
      </c>
      <c r="L13" s="130">
        <f t="shared" si="0"/>
        <v>1.56</v>
      </c>
    </row>
    <row r="14" spans="1:16">
      <c r="A14" s="61"/>
      <c r="B14" s="61"/>
      <c r="C14" s="61"/>
      <c r="D14" s="61"/>
      <c r="E14" s="61"/>
      <c r="F14" s="121" t="str">
        <f>VLOOKUP('DMLR08-12W-DATA'!V13,'DMLR08-12W-DATA'!I2:J14,2,0)</f>
        <v>PS 8W 200MA 36V LPF (PCB MT43-8-12W-V2 LPF)</v>
      </c>
      <c r="G14" s="100">
        <v>1</v>
      </c>
      <c r="H14" s="61" t="s">
        <v>13</v>
      </c>
      <c r="I14" s="61" t="s">
        <v>14</v>
      </c>
      <c r="J14" s="61"/>
      <c r="K14" s="130"/>
      <c r="L14" s="130"/>
      <c r="M14" s="132" t="s">
        <v>465</v>
      </c>
    </row>
    <row r="15" spans="1:16">
      <c r="A15" s="61"/>
      <c r="B15" s="61"/>
      <c r="C15" s="61"/>
      <c r="D15" s="61"/>
      <c r="E15" s="61"/>
      <c r="F15" s="123" t="s">
        <v>23</v>
      </c>
      <c r="G15" s="124">
        <v>1</v>
      </c>
      <c r="H15" s="61" t="s">
        <v>13</v>
      </c>
      <c r="I15" s="61" t="s">
        <v>14</v>
      </c>
      <c r="J15" s="61"/>
      <c r="K15" s="130">
        <v>8.5</v>
      </c>
      <c r="L15" s="130">
        <f>G15*K15</f>
        <v>8.5</v>
      </c>
    </row>
    <row r="16" spans="1:16">
      <c r="A16" s="61"/>
      <c r="B16" s="61"/>
      <c r="C16" s="61"/>
      <c r="D16" s="61"/>
      <c r="E16" s="61"/>
      <c r="F16" s="125" t="s">
        <v>24</v>
      </c>
      <c r="G16" s="126">
        <v>0.08</v>
      </c>
      <c r="H16" s="61" t="s">
        <v>13</v>
      </c>
      <c r="I16" s="61" t="s">
        <v>14</v>
      </c>
      <c r="J16" s="61"/>
      <c r="K16" s="130">
        <v>27</v>
      </c>
      <c r="L16" s="130">
        <f>G16*K16</f>
        <v>2.16</v>
      </c>
    </row>
    <row r="17" spans="6:17" ht="22.5" customHeight="1" thickBot="1">
      <c r="K17" s="117"/>
      <c r="L17" s="133">
        <f>SUM(L2:L16)</f>
        <v>172.26607999999999</v>
      </c>
    </row>
    <row r="18" spans="6:17" ht="15.75" thickTop="1"/>
    <row r="19" spans="6:17" ht="20.25" customHeight="1">
      <c r="F19" s="137"/>
      <c r="J19" s="142" t="s">
        <v>467</v>
      </c>
      <c r="K19" s="143"/>
      <c r="L19" s="140">
        <f>L17+98+42</f>
        <v>312.26607999999999</v>
      </c>
    </row>
    <row r="20" spans="6:17" ht="20.25" customHeight="1">
      <c r="J20" s="144" t="s">
        <v>468</v>
      </c>
      <c r="K20" s="145"/>
      <c r="L20" s="140">
        <f>L17+275+275</f>
        <v>722.26607999999999</v>
      </c>
      <c r="M20" s="134"/>
      <c r="N20" s="135"/>
      <c r="P20" s="136"/>
      <c r="Q20" s="137" t="s">
        <v>466</v>
      </c>
    </row>
    <row r="21" spans="6:17" ht="20.25" customHeight="1">
      <c r="J21" s="144" t="s">
        <v>469</v>
      </c>
      <c r="K21" s="145"/>
      <c r="L21" s="141">
        <f>((L17)+(P21*87))</f>
        <v>829.98608000000002</v>
      </c>
      <c r="M21" s="134">
        <v>5.04</v>
      </c>
      <c r="N21" s="135">
        <v>0.5</v>
      </c>
      <c r="O21" s="135"/>
      <c r="P21" s="136">
        <f>M21+(M21*(N21+O21))</f>
        <v>7.5600000000000005</v>
      </c>
      <c r="Q21">
        <f>P21*87</f>
        <v>657.72</v>
      </c>
    </row>
    <row r="22" spans="6:17" ht="20.25" customHeight="1">
      <c r="J22" s="144" t="s">
        <v>470</v>
      </c>
      <c r="K22" s="145"/>
      <c r="L22" s="140">
        <f>L17+330</f>
        <v>502.26607999999999</v>
      </c>
    </row>
    <row r="23" spans="6:17" ht="20.25" customHeight="1">
      <c r="J23" s="144" t="s">
        <v>471</v>
      </c>
      <c r="K23" s="145"/>
      <c r="L23" s="141">
        <f>((L17)+(P23*87))</f>
        <v>886.75357999999983</v>
      </c>
      <c r="M23" s="134">
        <v>5.4749999999999996</v>
      </c>
      <c r="N23" s="135">
        <v>0.5</v>
      </c>
      <c r="O23" s="135"/>
      <c r="P23" s="136">
        <f>M23+(M23*(N23+O23))</f>
        <v>8.2124999999999986</v>
      </c>
      <c r="Q23">
        <f>P23*87</f>
        <v>714.48749999999984</v>
      </c>
    </row>
    <row r="24" spans="6:17" ht="20.25" customHeight="1">
      <c r="J24" s="144" t="s">
        <v>472</v>
      </c>
      <c r="K24" s="145"/>
      <c r="L24" s="140">
        <f>L17+330</f>
        <v>502.26607999999999</v>
      </c>
    </row>
  </sheetData>
  <mergeCells count="6">
    <mergeCell ref="J24:K24"/>
    <mergeCell ref="J19:K19"/>
    <mergeCell ref="J20:K20"/>
    <mergeCell ref="J21:K21"/>
    <mergeCell ref="J22:K22"/>
    <mergeCell ref="J23:K23"/>
  </mergeCells>
  <pageMargins left="0.69930555555555995" right="0.69930555555555995" top="0.75" bottom="0.75" header="0.3" footer="0.3"/>
  <pageSetup orientation="portrait"/>
  <ignoredErrors>
    <ignoredError sqref="K9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'DMLR08-12W-SKU'!$C$2:$C$133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C26"/>
  <sheetViews>
    <sheetView topLeftCell="H1" workbookViewId="0">
      <selection activeCell="K6" sqref="K6"/>
    </sheetView>
  </sheetViews>
  <sheetFormatPr defaultColWidth="9" defaultRowHeight="15"/>
  <cols>
    <col min="2" max="2" width="51.5703125" customWidth="1"/>
    <col min="3" max="3" width="12.42578125" customWidth="1"/>
    <col min="4" max="4" width="9.140625" style="54"/>
    <col min="6" max="6" width="55.7109375" customWidth="1"/>
    <col min="8" max="8" width="9.140625" style="54"/>
    <col min="10" max="10" width="55.7109375" customWidth="1"/>
    <col min="12" max="12" width="9.140625" style="54"/>
    <col min="14" max="14" width="59.5703125" customWidth="1"/>
    <col min="15" max="15" width="17.140625" customWidth="1"/>
    <col min="16" max="16" width="9.140625" style="54"/>
    <col min="18" max="18" width="67.5703125" customWidth="1"/>
    <col min="19" max="19" width="12.42578125" style="55" customWidth="1"/>
    <col min="20" max="20" width="12.85546875" customWidth="1"/>
    <col min="21" max="21" width="12.5703125" customWidth="1"/>
    <col min="22" max="22" width="12" customWidth="1"/>
    <col min="23" max="23" width="21.42578125" customWidth="1"/>
    <col min="24" max="24" width="19.85546875" customWidth="1"/>
    <col min="25" max="25" width="13.28515625" customWidth="1"/>
    <col min="27" max="27" width="12.7109375" customWidth="1"/>
  </cols>
  <sheetData>
    <row r="1" spans="1:29" s="53" customFormat="1">
      <c r="A1" s="56" t="s">
        <v>25</v>
      </c>
      <c r="B1" s="57" t="s">
        <v>26</v>
      </c>
      <c r="C1" s="58" t="s">
        <v>27</v>
      </c>
      <c r="D1" s="59"/>
      <c r="E1" s="60" t="s">
        <v>25</v>
      </c>
      <c r="F1" s="57" t="s">
        <v>28</v>
      </c>
      <c r="G1" s="58" t="s">
        <v>27</v>
      </c>
      <c r="H1" s="59"/>
      <c r="I1" s="60" t="s">
        <v>25</v>
      </c>
      <c r="J1" s="57" t="s">
        <v>29</v>
      </c>
      <c r="K1" s="58" t="s">
        <v>27</v>
      </c>
      <c r="L1" s="59"/>
      <c r="M1" s="60" t="s">
        <v>30</v>
      </c>
      <c r="N1" s="57" t="s">
        <v>31</v>
      </c>
      <c r="O1" s="58" t="s">
        <v>27</v>
      </c>
      <c r="P1" s="59"/>
      <c r="Q1" s="75" t="s">
        <v>25</v>
      </c>
      <c r="R1" s="75" t="s">
        <v>32</v>
      </c>
      <c r="S1" s="76" t="s">
        <v>27</v>
      </c>
      <c r="T1" s="77"/>
      <c r="U1" s="77"/>
      <c r="V1" s="77"/>
      <c r="W1" s="77"/>
      <c r="X1" s="77"/>
      <c r="Y1" s="77"/>
      <c r="Z1" s="77"/>
    </row>
    <row r="2" spans="1:29">
      <c r="A2" s="61" t="s">
        <v>33</v>
      </c>
      <c r="B2" s="61" t="s">
        <v>34</v>
      </c>
      <c r="C2" s="62"/>
      <c r="E2" s="63" t="s">
        <v>35</v>
      </c>
      <c r="F2" s="61" t="s">
        <v>36</v>
      </c>
      <c r="G2" s="62"/>
      <c r="I2" s="69" t="s">
        <v>37</v>
      </c>
      <c r="J2" s="61" t="s">
        <v>38</v>
      </c>
      <c r="K2" s="62">
        <v>42</v>
      </c>
      <c r="M2" s="70" t="s">
        <v>39</v>
      </c>
      <c r="N2" s="69" t="s">
        <v>40</v>
      </c>
      <c r="O2" s="62">
        <f>X19</f>
        <v>41.28</v>
      </c>
      <c r="Q2" s="69" t="s">
        <v>41</v>
      </c>
      <c r="R2" s="69" t="s">
        <v>42</v>
      </c>
      <c r="S2" s="78"/>
      <c r="T2" s="79"/>
      <c r="U2" s="80" t="s">
        <v>43</v>
      </c>
      <c r="V2" s="80" t="s">
        <v>44</v>
      </c>
      <c r="W2" s="80" t="s">
        <v>45</v>
      </c>
      <c r="X2" s="80"/>
      <c r="Y2" s="103"/>
      <c r="Z2" s="104"/>
    </row>
    <row r="3" spans="1:29">
      <c r="A3" s="61" t="s">
        <v>46</v>
      </c>
      <c r="B3" s="64" t="s">
        <v>47</v>
      </c>
      <c r="C3" s="62"/>
      <c r="E3" s="63" t="s">
        <v>48</v>
      </c>
      <c r="F3" s="61" t="s">
        <v>36</v>
      </c>
      <c r="G3" s="62"/>
      <c r="I3" s="69" t="s">
        <v>49</v>
      </c>
      <c r="J3" s="71" t="s">
        <v>50</v>
      </c>
      <c r="K3" s="62">
        <v>275</v>
      </c>
      <c r="M3" s="70" t="s">
        <v>51</v>
      </c>
      <c r="N3" s="61" t="s">
        <v>52</v>
      </c>
      <c r="O3" s="62">
        <f>X19</f>
        <v>41.28</v>
      </c>
      <c r="Q3" s="69" t="s">
        <v>53</v>
      </c>
      <c r="R3" s="69" t="s">
        <v>54</v>
      </c>
      <c r="S3" s="78"/>
      <c r="T3" s="81"/>
      <c r="U3" s="82" t="str">
        <f>LEFT('Stock Item'!D2,4)</f>
        <v>DMLR</v>
      </c>
      <c r="V3" s="82" t="str">
        <f>LEFT('Stock Item'!D2,6)</f>
        <v>DMLR08</v>
      </c>
      <c r="W3" s="82" t="str">
        <f>LEFT('Stock Item'!D2,7)</f>
        <v>DMLR08M</v>
      </c>
      <c r="X3" s="82" t="str">
        <f>LEFT('Stock Item'!D2,9)</f>
        <v>DMLR08M30</v>
      </c>
      <c r="Y3" s="62" t="str">
        <f>LEFT('Stock Item'!D2,13)</f>
        <v>DMLR08M30</v>
      </c>
      <c r="Z3" s="105" t="s">
        <v>55</v>
      </c>
      <c r="AA3" t="str">
        <f>MID('Stock Item'!D2,1,9)</f>
        <v>DMLR08M30</v>
      </c>
      <c r="AB3" t="s">
        <v>56</v>
      </c>
    </row>
    <row r="4" spans="1:29">
      <c r="A4" s="61" t="s">
        <v>57</v>
      </c>
      <c r="B4" s="61" t="s">
        <v>34</v>
      </c>
      <c r="C4" s="62"/>
      <c r="E4" s="63" t="s">
        <v>58</v>
      </c>
      <c r="F4" s="61" t="s">
        <v>36</v>
      </c>
      <c r="G4" s="62"/>
      <c r="I4" s="69" t="s">
        <v>59</v>
      </c>
      <c r="J4" s="71" t="s">
        <v>60</v>
      </c>
      <c r="K4" s="62">
        <v>621</v>
      </c>
      <c r="M4" s="70" t="s">
        <v>61</v>
      </c>
      <c r="N4" s="61" t="s">
        <v>62</v>
      </c>
      <c r="O4">
        <f>'DMLR08-12W-DATA'!X19</f>
        <v>41.28</v>
      </c>
      <c r="S4" s="81"/>
      <c r="T4" s="81"/>
      <c r="U4" s="61"/>
      <c r="V4" s="61"/>
      <c r="W4" s="61"/>
      <c r="X4" s="61"/>
      <c r="Y4" s="62"/>
      <c r="Z4" s="106"/>
      <c r="AB4" t="s">
        <v>63</v>
      </c>
    </row>
    <row r="5" spans="1:29">
      <c r="C5" s="65"/>
      <c r="E5" s="63" t="s">
        <v>64</v>
      </c>
      <c r="F5" s="61" t="s">
        <v>36</v>
      </c>
      <c r="G5" s="62"/>
      <c r="I5" s="69" t="s">
        <v>65</v>
      </c>
      <c r="J5" s="71" t="s">
        <v>66</v>
      </c>
      <c r="K5" s="62">
        <v>270</v>
      </c>
      <c r="M5" s="70" t="s">
        <v>67</v>
      </c>
      <c r="N5" s="61" t="s">
        <v>68</v>
      </c>
      <c r="O5" s="62">
        <f>X19</f>
        <v>41.28</v>
      </c>
      <c r="S5" s="81"/>
      <c r="T5" s="81"/>
      <c r="U5" s="83" t="str">
        <f>MID(U3,4,1)</f>
        <v>R</v>
      </c>
      <c r="V5" s="83" t="str">
        <f>MID(V3,5,2)</f>
        <v>08</v>
      </c>
      <c r="W5" s="61" t="str">
        <f>MID(W3,7,1)</f>
        <v>M</v>
      </c>
      <c r="X5" s="61" t="str">
        <f>MID(X3,8,2)</f>
        <v>30</v>
      </c>
      <c r="Y5" s="107" t="str">
        <f>MID(Y3,10,4)</f>
        <v/>
      </c>
      <c r="Z5" s="106"/>
      <c r="AB5" t="s">
        <v>57</v>
      </c>
    </row>
    <row r="6" spans="1:29">
      <c r="A6" s="56" t="s">
        <v>25</v>
      </c>
      <c r="B6" s="66" t="s">
        <v>69</v>
      </c>
      <c r="C6" s="58" t="s">
        <v>27</v>
      </c>
      <c r="H6" s="67"/>
      <c r="I6" s="61" t="s">
        <v>70</v>
      </c>
      <c r="J6" s="71" t="s">
        <v>71</v>
      </c>
      <c r="K6" s="61">
        <v>706</v>
      </c>
      <c r="L6" s="72"/>
      <c r="M6" s="70" t="s">
        <v>72</v>
      </c>
      <c r="N6" s="61" t="s">
        <v>73</v>
      </c>
      <c r="O6" s="62">
        <f>X19</f>
        <v>41.28</v>
      </c>
      <c r="S6" s="81"/>
      <c r="T6" s="81"/>
      <c r="U6" s="61"/>
      <c r="V6" s="61"/>
      <c r="W6" s="61"/>
      <c r="X6" s="61"/>
      <c r="Y6" s="108"/>
      <c r="Z6" s="106"/>
      <c r="AB6" t="s">
        <v>74</v>
      </c>
    </row>
    <row r="7" spans="1:29">
      <c r="A7" s="68" t="s">
        <v>33</v>
      </c>
      <c r="B7" s="64" t="s">
        <v>75</v>
      </c>
      <c r="H7" s="67"/>
      <c r="I7" s="61" t="s">
        <v>76</v>
      </c>
      <c r="J7" s="71" t="s">
        <v>77</v>
      </c>
      <c r="K7" s="61">
        <v>340</v>
      </c>
      <c r="L7" s="72"/>
      <c r="M7" s="73"/>
      <c r="N7" s="61"/>
      <c r="O7" s="62"/>
      <c r="S7" s="81"/>
      <c r="T7" s="84"/>
      <c r="U7" s="85"/>
      <c r="V7" s="85"/>
      <c r="W7" s="86"/>
      <c r="X7" s="85"/>
      <c r="Y7" s="109"/>
      <c r="Z7" s="110"/>
      <c r="AB7" t="s">
        <v>78</v>
      </c>
    </row>
    <row r="8" spans="1:29">
      <c r="A8" s="68" t="s">
        <v>46</v>
      </c>
      <c r="B8" s="64" t="s">
        <v>79</v>
      </c>
      <c r="M8" s="70" t="s">
        <v>80</v>
      </c>
      <c r="N8" s="69" t="s">
        <v>40</v>
      </c>
      <c r="O8" s="62">
        <f>X19</f>
        <v>41.28</v>
      </c>
      <c r="AB8" t="s">
        <v>81</v>
      </c>
    </row>
    <row r="9" spans="1:29">
      <c r="A9" s="68" t="s">
        <v>57</v>
      </c>
      <c r="B9" s="64" t="s">
        <v>79</v>
      </c>
      <c r="I9" s="69" t="s">
        <v>82</v>
      </c>
      <c r="J9" s="61" t="s">
        <v>38</v>
      </c>
      <c r="K9" s="62">
        <v>98</v>
      </c>
      <c r="M9" s="70" t="s">
        <v>83</v>
      </c>
      <c r="N9" s="69" t="s">
        <v>84</v>
      </c>
      <c r="O9">
        <f>X19</f>
        <v>41.28</v>
      </c>
      <c r="U9" s="87" t="s">
        <v>44</v>
      </c>
      <c r="V9" s="88" t="str">
        <f>CONCATENATE(U5)</f>
        <v>R</v>
      </c>
    </row>
    <row r="10" spans="1:29">
      <c r="I10" s="69" t="s">
        <v>85</v>
      </c>
      <c r="J10" s="71" t="s">
        <v>50</v>
      </c>
      <c r="K10" s="62">
        <v>275</v>
      </c>
      <c r="M10" s="70" t="s">
        <v>86</v>
      </c>
      <c r="N10" s="69" t="s">
        <v>87</v>
      </c>
      <c r="O10" s="62">
        <f>Y19</f>
        <v>41.28</v>
      </c>
      <c r="U10" s="89" t="s">
        <v>28</v>
      </c>
      <c r="V10" s="90" t="str">
        <f>CONCATENATE(V5,W5)</f>
        <v>08M</v>
      </c>
      <c r="W10" s="91"/>
      <c r="X10" s="92"/>
    </row>
    <row r="11" spans="1:29">
      <c r="I11" s="69" t="s">
        <v>88</v>
      </c>
      <c r="J11" s="71" t="s">
        <v>60</v>
      </c>
      <c r="K11" s="62">
        <v>621</v>
      </c>
      <c r="M11" s="70" t="s">
        <v>89</v>
      </c>
      <c r="N11" s="69" t="s">
        <v>90</v>
      </c>
      <c r="O11" s="62">
        <f>Y19</f>
        <v>41.28</v>
      </c>
      <c r="U11" s="93" t="s">
        <v>45</v>
      </c>
      <c r="V11" s="90" t="str">
        <f>CONCATENATE(X5,Z3,Y5)</f>
        <v>30-</v>
      </c>
      <c r="W11" s="91"/>
      <c r="X11" s="91"/>
    </row>
    <row r="12" spans="1:29">
      <c r="I12" s="69" t="s">
        <v>91</v>
      </c>
      <c r="J12" s="71" t="s">
        <v>66</v>
      </c>
      <c r="K12" s="62">
        <v>270</v>
      </c>
      <c r="M12" s="70" t="s">
        <v>92</v>
      </c>
      <c r="N12" s="69" t="s">
        <v>93</v>
      </c>
      <c r="O12" s="62">
        <f>Y19</f>
        <v>41.28</v>
      </c>
      <c r="U12" s="89" t="s">
        <v>94</v>
      </c>
      <c r="V12" s="94" t="str">
        <f>CONCATENATE(W5)</f>
        <v>M</v>
      </c>
      <c r="W12" s="91"/>
      <c r="X12" s="91"/>
    </row>
    <row r="13" spans="1:29">
      <c r="I13" s="61" t="s">
        <v>95</v>
      </c>
      <c r="J13" s="71" t="s">
        <v>71</v>
      </c>
      <c r="K13" s="61">
        <v>706</v>
      </c>
      <c r="M13" s="70"/>
      <c r="N13" s="61"/>
      <c r="O13" s="62"/>
      <c r="U13" s="95" t="s">
        <v>96</v>
      </c>
      <c r="V13" s="96" t="str">
        <f>CONCATENATE(V5,Z3,Y5)</f>
        <v>08-</v>
      </c>
    </row>
    <row r="14" spans="1:29">
      <c r="I14" s="61" t="s">
        <v>97</v>
      </c>
      <c r="J14" s="71" t="s">
        <v>77</v>
      </c>
      <c r="K14" s="61">
        <v>340</v>
      </c>
      <c r="M14" s="70" t="s">
        <v>98</v>
      </c>
      <c r="N14" s="69" t="s">
        <v>40</v>
      </c>
      <c r="O14" s="62">
        <f>Y19</f>
        <v>41.28</v>
      </c>
    </row>
    <row r="15" spans="1:29">
      <c r="M15" s="70" t="s">
        <v>99</v>
      </c>
      <c r="N15" s="71" t="s">
        <v>52</v>
      </c>
      <c r="O15" s="62">
        <f>X19</f>
        <v>41.28</v>
      </c>
    </row>
    <row r="16" spans="1:29">
      <c r="M16" s="70" t="s">
        <v>100</v>
      </c>
      <c r="N16" s="71" t="s">
        <v>62</v>
      </c>
      <c r="O16" s="62">
        <f>X19</f>
        <v>41.28</v>
      </c>
      <c r="T16" s="146" t="s">
        <v>101</v>
      </c>
      <c r="U16" s="147"/>
      <c r="V16" s="148"/>
      <c r="W16" s="97" t="s">
        <v>102</v>
      </c>
      <c r="X16" s="98" t="s">
        <v>103</v>
      </c>
      <c r="Y16" s="98" t="s">
        <v>104</v>
      </c>
      <c r="Z16" s="111" t="s">
        <v>105</v>
      </c>
      <c r="AA16" s="112" t="s">
        <v>106</v>
      </c>
      <c r="AB16" s="113" t="s">
        <v>107</v>
      </c>
      <c r="AC16" s="111" t="s">
        <v>108</v>
      </c>
    </row>
    <row r="17" spans="12:29">
      <c r="M17" s="70" t="s">
        <v>109</v>
      </c>
      <c r="N17" s="71" t="s">
        <v>68</v>
      </c>
      <c r="O17" s="62">
        <f>X19</f>
        <v>41.28</v>
      </c>
      <c r="T17" s="149" t="s">
        <v>110</v>
      </c>
      <c r="U17" s="149"/>
      <c r="V17" s="149"/>
      <c r="W17" s="100">
        <v>1</v>
      </c>
      <c r="X17" s="101">
        <f>86*AC17</f>
        <v>0</v>
      </c>
      <c r="Y17" s="114">
        <f>W17*X17</f>
        <v>0</v>
      </c>
      <c r="Z17" s="115">
        <v>0</v>
      </c>
      <c r="AA17" s="116">
        <v>0.5</v>
      </c>
      <c r="AB17" s="116"/>
      <c r="AC17" s="115">
        <f>Z17+(Z17*(AA17+AB17))</f>
        <v>0</v>
      </c>
    </row>
    <row r="18" spans="12:29">
      <c r="M18" s="70" t="s">
        <v>111</v>
      </c>
      <c r="N18" s="61" t="s">
        <v>73</v>
      </c>
      <c r="O18" s="62">
        <f>X19</f>
        <v>41.28</v>
      </c>
      <c r="S18" s="81"/>
      <c r="T18" s="99" t="s">
        <v>17</v>
      </c>
      <c r="U18" s="99"/>
      <c r="V18" s="99"/>
      <c r="W18" s="102">
        <v>1</v>
      </c>
      <c r="X18" s="101">
        <f t="shared" ref="X18" si="0">86*AC18</f>
        <v>3.4830000000000001</v>
      </c>
      <c r="Y18" s="114">
        <f>W18*X18</f>
        <v>3.4830000000000001</v>
      </c>
      <c r="Z18" s="115">
        <v>2.7E-2</v>
      </c>
      <c r="AA18" s="116">
        <v>0.5</v>
      </c>
      <c r="AB18" s="116"/>
      <c r="AC18" s="115">
        <f t="shared" ref="AC18" si="1">Z18+(Z18*(AA18+AB18))</f>
        <v>4.0500000000000001E-2</v>
      </c>
    </row>
    <row r="19" spans="12:29" ht="31.5" customHeight="1">
      <c r="M19" s="70" t="s">
        <v>112</v>
      </c>
      <c r="N19" s="71" t="s">
        <v>113</v>
      </c>
      <c r="O19" s="62">
        <f>X20</f>
        <v>193.5</v>
      </c>
      <c r="S19" s="81"/>
      <c r="T19" s="150" t="s">
        <v>114</v>
      </c>
      <c r="U19" s="151"/>
      <c r="V19" s="152"/>
      <c r="W19" s="102">
        <v>1</v>
      </c>
      <c r="X19" s="101">
        <f t="shared" ref="X19:X20" si="2">86*AC19</f>
        <v>41.28</v>
      </c>
      <c r="Y19" s="114">
        <f t="shared" ref="Y19:Y20" si="3">W19*X19</f>
        <v>41.28</v>
      </c>
      <c r="Z19" s="115">
        <v>0.32</v>
      </c>
      <c r="AA19" s="116">
        <v>0.5</v>
      </c>
      <c r="AB19" s="116"/>
      <c r="AC19" s="115">
        <f t="shared" ref="AC19:AC20" si="4">Z19+(Z19*(AA19+AB19))</f>
        <v>0.48</v>
      </c>
    </row>
    <row r="20" spans="12:29" ht="32.25" customHeight="1">
      <c r="M20" s="70"/>
      <c r="N20" s="61"/>
      <c r="O20" s="62"/>
      <c r="S20" s="81"/>
      <c r="T20" s="153" t="s">
        <v>115</v>
      </c>
      <c r="U20" s="154"/>
      <c r="V20" s="155"/>
      <c r="W20" s="102">
        <v>1</v>
      </c>
      <c r="X20" s="101">
        <f t="shared" si="2"/>
        <v>193.5</v>
      </c>
      <c r="Y20" s="114">
        <f t="shared" si="3"/>
        <v>193.5</v>
      </c>
      <c r="Z20" s="115">
        <v>1.5</v>
      </c>
      <c r="AA20" s="116">
        <v>0.5</v>
      </c>
      <c r="AB20" s="116"/>
      <c r="AC20" s="115">
        <f t="shared" si="4"/>
        <v>2.25</v>
      </c>
    </row>
    <row r="21" spans="12:29">
      <c r="M21" s="70" t="s">
        <v>116</v>
      </c>
      <c r="N21" s="69" t="s">
        <v>40</v>
      </c>
      <c r="O21" s="62">
        <f>X19</f>
        <v>41.28</v>
      </c>
      <c r="S21" s="81"/>
      <c r="T21" s="156" t="s">
        <v>117</v>
      </c>
      <c r="U21" s="157"/>
      <c r="V21" s="158"/>
      <c r="W21" s="100">
        <v>1</v>
      </c>
      <c r="X21" s="101">
        <f t="shared" ref="X21" si="5">86*AC21</f>
        <v>0</v>
      </c>
      <c r="Y21" s="114">
        <f t="shared" ref="Y21" si="6">W21*X21</f>
        <v>0</v>
      </c>
      <c r="Z21" s="115">
        <v>0</v>
      </c>
      <c r="AA21" s="116">
        <v>1.5</v>
      </c>
      <c r="AB21" s="116"/>
      <c r="AC21" s="115">
        <f t="shared" ref="AC21" si="7">Z21+(Z21*(AA21+AB21))</f>
        <v>0</v>
      </c>
    </row>
    <row r="22" spans="12:29">
      <c r="M22" s="70" t="s">
        <v>118</v>
      </c>
      <c r="N22" s="71" t="s">
        <v>52</v>
      </c>
      <c r="O22" s="62">
        <f>X19</f>
        <v>41.28</v>
      </c>
    </row>
    <row r="23" spans="12:29">
      <c r="M23" s="70" t="s">
        <v>119</v>
      </c>
      <c r="N23" s="71" t="s">
        <v>62</v>
      </c>
      <c r="O23" s="62">
        <f>X19</f>
        <v>41.28</v>
      </c>
    </row>
    <row r="24" spans="12:29">
      <c r="M24" s="70" t="s">
        <v>120</v>
      </c>
      <c r="N24" s="71" t="s">
        <v>68</v>
      </c>
      <c r="O24" s="61">
        <f>X19</f>
        <v>41.28</v>
      </c>
      <c r="P24" s="72"/>
    </row>
    <row r="25" spans="12:29">
      <c r="M25" s="74" t="s">
        <v>121</v>
      </c>
      <c r="N25" s="61" t="s">
        <v>73</v>
      </c>
      <c r="O25" s="61">
        <f>X19</f>
        <v>41.28</v>
      </c>
      <c r="P25" s="72"/>
    </row>
    <row r="26" spans="12:29">
      <c r="L26" s="67"/>
      <c r="M26" s="61" t="s">
        <v>122</v>
      </c>
      <c r="N26" s="71" t="s">
        <v>113</v>
      </c>
      <c r="O26" s="61">
        <f>X20</f>
        <v>193.5</v>
      </c>
      <c r="P26" s="72"/>
    </row>
  </sheetData>
  <mergeCells count="5">
    <mergeCell ref="T16:V16"/>
    <mergeCell ref="T17:V17"/>
    <mergeCell ref="T19:V19"/>
    <mergeCell ref="T20:V20"/>
    <mergeCell ref="T21:V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133"/>
  <sheetViews>
    <sheetView zoomScale="77" zoomScaleNormal="77" workbookViewId="0">
      <selection activeCell="E134" sqref="E134"/>
    </sheetView>
  </sheetViews>
  <sheetFormatPr defaultColWidth="9.140625" defaultRowHeight="15"/>
  <cols>
    <col min="1" max="1" width="7" style="48" customWidth="1"/>
    <col min="2" max="2" width="16.140625" style="48" customWidth="1"/>
    <col min="3" max="3" width="16.140625" style="49" customWidth="1"/>
    <col min="4" max="4" width="9.7109375" style="48" customWidth="1"/>
    <col min="5" max="5" width="11" style="48" customWidth="1"/>
    <col min="6" max="6" width="11.85546875" style="48" customWidth="1"/>
    <col min="7" max="7" width="7.42578125" style="48" customWidth="1"/>
    <col min="8" max="8" width="6.42578125" style="48" customWidth="1"/>
    <col min="9" max="9" width="6.85546875" style="48" customWidth="1"/>
    <col min="10" max="10" width="9.140625" style="48"/>
    <col min="11" max="11" width="7.7109375" style="48" customWidth="1"/>
    <col min="12" max="12" width="20.7109375" style="48" customWidth="1"/>
    <col min="13" max="13" width="12.7109375" style="48" customWidth="1"/>
    <col min="14" max="14" width="49.85546875" style="48" customWidth="1"/>
    <col min="15" max="15" width="44.140625" style="48" customWidth="1"/>
    <col min="16" max="16" width="9.140625" style="48"/>
    <col min="17" max="21" width="9.140625" style="50"/>
    <col min="22" max="16384" width="9.140625" style="48"/>
  </cols>
  <sheetData>
    <row r="1" spans="1:21" s="47" customFormat="1">
      <c r="A1" s="47" t="s">
        <v>123</v>
      </c>
      <c r="B1" s="47" t="s">
        <v>124</v>
      </c>
      <c r="C1" s="47" t="s">
        <v>125</v>
      </c>
      <c r="D1" s="47" t="s">
        <v>126</v>
      </c>
      <c r="E1" s="47" t="s">
        <v>127</v>
      </c>
      <c r="F1" s="47" t="s">
        <v>128</v>
      </c>
      <c r="G1" s="47" t="s">
        <v>129</v>
      </c>
      <c r="H1" s="47" t="s">
        <v>130</v>
      </c>
      <c r="I1" s="47" t="s">
        <v>131</v>
      </c>
      <c r="J1" s="47" t="s">
        <v>132</v>
      </c>
      <c r="K1" s="47" t="s">
        <v>133</v>
      </c>
      <c r="L1" s="47" t="s">
        <v>44</v>
      </c>
      <c r="M1" s="47" t="s">
        <v>94</v>
      </c>
      <c r="N1" s="47" t="s">
        <v>134</v>
      </c>
      <c r="O1" s="47" t="s">
        <v>135</v>
      </c>
    </row>
    <row r="2" spans="1:21">
      <c r="A2" s="48">
        <v>144972</v>
      </c>
      <c r="B2" s="48" t="s">
        <v>136</v>
      </c>
      <c r="C2" s="51" t="str">
        <f t="shared" ref="C2:C31" si="0">_xlfn.CONCAT(Q2,R2,S2,T2,U2)</f>
        <v>DMLR08M60</v>
      </c>
      <c r="D2" s="48">
        <v>0</v>
      </c>
      <c r="E2" s="48">
        <v>0</v>
      </c>
      <c r="F2" s="48">
        <v>1147</v>
      </c>
      <c r="G2" s="48">
        <v>0</v>
      </c>
      <c r="H2" s="48">
        <v>0</v>
      </c>
      <c r="I2" s="48">
        <v>0</v>
      </c>
      <c r="J2" s="48">
        <v>0</v>
      </c>
      <c r="K2" s="48" t="s">
        <v>137</v>
      </c>
      <c r="L2" s="48" t="s">
        <v>138</v>
      </c>
      <c r="M2" s="48" t="s">
        <v>139</v>
      </c>
      <c r="N2" s="48" t="s">
        <v>140</v>
      </c>
      <c r="O2" s="48" t="s">
        <v>141</v>
      </c>
      <c r="Q2" s="52" t="str">
        <f t="shared" ref="Q2:Q31" si="1">MID(B2,1,3)</f>
        <v>DML</v>
      </c>
      <c r="R2" s="52" t="str">
        <f t="shared" ref="R2:R31" si="2">MID(B2,4,1)</f>
        <v>R</v>
      </c>
      <c r="S2" s="52" t="str">
        <f t="shared" ref="S2:S31" si="3">MID(B2,5,2)</f>
        <v>08</v>
      </c>
      <c r="T2" s="52" t="str">
        <f t="shared" ref="T2:T31" si="4">MID(B2,7,1)</f>
        <v>M</v>
      </c>
      <c r="U2" s="52" t="str">
        <f t="shared" ref="U2:U3" si="5">MID(B2,8,2)</f>
        <v>60</v>
      </c>
    </row>
    <row r="3" spans="1:21">
      <c r="A3" s="48">
        <v>144973</v>
      </c>
      <c r="B3" s="48" t="s">
        <v>142</v>
      </c>
      <c r="C3" s="51" t="str">
        <f t="shared" si="0"/>
        <v>DMLR08W60</v>
      </c>
      <c r="D3" s="48">
        <v>0</v>
      </c>
      <c r="E3" s="48">
        <v>0</v>
      </c>
      <c r="F3" s="48">
        <v>1147</v>
      </c>
      <c r="G3" s="48">
        <v>0</v>
      </c>
      <c r="H3" s="48">
        <v>0</v>
      </c>
      <c r="I3" s="48">
        <v>0</v>
      </c>
      <c r="J3" s="48">
        <v>0</v>
      </c>
      <c r="K3" s="48" t="s">
        <v>137</v>
      </c>
      <c r="L3" s="48" t="s">
        <v>138</v>
      </c>
      <c r="M3" s="48" t="s">
        <v>143</v>
      </c>
      <c r="N3" s="48" t="s">
        <v>140</v>
      </c>
      <c r="O3" s="48" t="s">
        <v>141</v>
      </c>
      <c r="Q3" s="52" t="str">
        <f t="shared" si="1"/>
        <v>DML</v>
      </c>
      <c r="R3" s="52" t="str">
        <f t="shared" si="2"/>
        <v>R</v>
      </c>
      <c r="S3" s="52" t="str">
        <f t="shared" si="3"/>
        <v>08</v>
      </c>
      <c r="T3" s="52" t="str">
        <f t="shared" si="4"/>
        <v>W</v>
      </c>
      <c r="U3" s="52" t="str">
        <f t="shared" si="5"/>
        <v>60</v>
      </c>
    </row>
    <row r="4" spans="1:21">
      <c r="A4" s="48">
        <v>144974</v>
      </c>
      <c r="B4" s="48" t="s">
        <v>144</v>
      </c>
      <c r="C4" s="51" t="str">
        <f t="shared" si="0"/>
        <v>DMLR08M50</v>
      </c>
      <c r="D4" s="48">
        <v>0</v>
      </c>
      <c r="E4" s="48">
        <v>0</v>
      </c>
      <c r="F4" s="48">
        <v>1147</v>
      </c>
      <c r="G4" s="48">
        <v>0</v>
      </c>
      <c r="H4" s="48">
        <v>0</v>
      </c>
      <c r="I4" s="48">
        <v>0</v>
      </c>
      <c r="J4" s="48">
        <v>0</v>
      </c>
      <c r="K4" s="48" t="s">
        <v>137</v>
      </c>
      <c r="L4" s="48" t="s">
        <v>138</v>
      </c>
      <c r="M4" s="48" t="s">
        <v>139</v>
      </c>
      <c r="N4" s="48" t="s">
        <v>145</v>
      </c>
      <c r="O4" s="48" t="s">
        <v>141</v>
      </c>
      <c r="Q4" s="52" t="str">
        <f t="shared" si="1"/>
        <v>DML</v>
      </c>
      <c r="R4" s="52" t="str">
        <f t="shared" si="2"/>
        <v>R</v>
      </c>
      <c r="S4" s="52" t="str">
        <f t="shared" si="3"/>
        <v>08</v>
      </c>
      <c r="T4" s="52" t="str">
        <f t="shared" si="4"/>
        <v>M</v>
      </c>
      <c r="U4" s="52" t="str">
        <f t="shared" ref="U4:U31" si="6">MID(B4,8,2)</f>
        <v>50</v>
      </c>
    </row>
    <row r="5" spans="1:21">
      <c r="A5" s="48">
        <v>144975</v>
      </c>
      <c r="B5" s="48" t="s">
        <v>146</v>
      </c>
      <c r="C5" s="51" t="str">
        <f t="shared" si="0"/>
        <v>DMLR08W50</v>
      </c>
      <c r="D5" s="48">
        <v>0</v>
      </c>
      <c r="E5" s="48">
        <v>0</v>
      </c>
      <c r="F5" s="48">
        <v>1147</v>
      </c>
      <c r="G5" s="48">
        <v>0</v>
      </c>
      <c r="H5" s="48">
        <v>0</v>
      </c>
      <c r="I5" s="48">
        <v>0</v>
      </c>
      <c r="J5" s="48">
        <v>0</v>
      </c>
      <c r="K5" s="48" t="s">
        <v>137</v>
      </c>
      <c r="L5" s="48" t="s">
        <v>138</v>
      </c>
      <c r="M5" s="48" t="s">
        <v>143</v>
      </c>
      <c r="N5" s="48" t="s">
        <v>145</v>
      </c>
      <c r="O5" s="48" t="s">
        <v>141</v>
      </c>
      <c r="Q5" s="52" t="str">
        <f t="shared" si="1"/>
        <v>DML</v>
      </c>
      <c r="R5" s="52" t="str">
        <f t="shared" si="2"/>
        <v>R</v>
      </c>
      <c r="S5" s="52" t="str">
        <f t="shared" si="3"/>
        <v>08</v>
      </c>
      <c r="T5" s="52" t="str">
        <f t="shared" si="4"/>
        <v>W</v>
      </c>
      <c r="U5" s="52" t="str">
        <f t="shared" si="6"/>
        <v>50</v>
      </c>
    </row>
    <row r="6" spans="1:21">
      <c r="A6" s="48">
        <v>144976</v>
      </c>
      <c r="B6" s="48" t="s">
        <v>147</v>
      </c>
      <c r="C6" s="51" t="str">
        <f t="shared" si="0"/>
        <v>DMLR08M40</v>
      </c>
      <c r="D6" s="48">
        <v>0</v>
      </c>
      <c r="E6" s="48">
        <v>0</v>
      </c>
      <c r="F6" s="48">
        <v>1147</v>
      </c>
      <c r="G6" s="48">
        <v>0</v>
      </c>
      <c r="H6" s="48">
        <v>0</v>
      </c>
      <c r="I6" s="48">
        <v>0</v>
      </c>
      <c r="J6" s="48">
        <v>0</v>
      </c>
      <c r="K6" s="48" t="s">
        <v>137</v>
      </c>
      <c r="L6" s="48" t="s">
        <v>138</v>
      </c>
      <c r="M6" s="48" t="s">
        <v>139</v>
      </c>
      <c r="N6" s="48" t="s">
        <v>148</v>
      </c>
      <c r="O6" s="48" t="s">
        <v>141</v>
      </c>
      <c r="Q6" s="52" t="str">
        <f t="shared" si="1"/>
        <v>DML</v>
      </c>
      <c r="R6" s="52" t="str">
        <f t="shared" si="2"/>
        <v>R</v>
      </c>
      <c r="S6" s="52" t="str">
        <f t="shared" si="3"/>
        <v>08</v>
      </c>
      <c r="T6" s="52" t="str">
        <f t="shared" si="4"/>
        <v>M</v>
      </c>
      <c r="U6" s="52" t="str">
        <f t="shared" si="6"/>
        <v>40</v>
      </c>
    </row>
    <row r="7" spans="1:21">
      <c r="A7" s="48">
        <v>144977</v>
      </c>
      <c r="B7" s="48" t="s">
        <v>149</v>
      </c>
      <c r="C7" s="51" t="str">
        <f t="shared" si="0"/>
        <v>DMLR08W40</v>
      </c>
      <c r="D7" s="48">
        <v>0</v>
      </c>
      <c r="E7" s="48">
        <v>0</v>
      </c>
      <c r="F7" s="48">
        <v>1147</v>
      </c>
      <c r="G7" s="48">
        <v>0</v>
      </c>
      <c r="H7" s="48">
        <v>0</v>
      </c>
      <c r="I7" s="48">
        <v>0</v>
      </c>
      <c r="J7" s="48">
        <v>0</v>
      </c>
      <c r="K7" s="48" t="s">
        <v>137</v>
      </c>
      <c r="L7" s="48" t="s">
        <v>138</v>
      </c>
      <c r="M7" s="48" t="s">
        <v>143</v>
      </c>
      <c r="N7" s="48" t="s">
        <v>148</v>
      </c>
      <c r="O7" s="48" t="s">
        <v>141</v>
      </c>
      <c r="Q7" s="52" t="str">
        <f t="shared" si="1"/>
        <v>DML</v>
      </c>
      <c r="R7" s="52" t="str">
        <f t="shared" si="2"/>
        <v>R</v>
      </c>
      <c r="S7" s="52" t="str">
        <f t="shared" si="3"/>
        <v>08</v>
      </c>
      <c r="T7" s="52" t="str">
        <f t="shared" si="4"/>
        <v>W</v>
      </c>
      <c r="U7" s="52" t="str">
        <f t="shared" si="6"/>
        <v>40</v>
      </c>
    </row>
    <row r="8" spans="1:21">
      <c r="A8" s="48">
        <v>144978</v>
      </c>
      <c r="B8" s="48" t="s">
        <v>150</v>
      </c>
      <c r="C8" s="51" t="str">
        <f t="shared" si="0"/>
        <v>DMLR08M30</v>
      </c>
      <c r="D8" s="48">
        <v>0</v>
      </c>
      <c r="E8" s="48">
        <v>0</v>
      </c>
      <c r="F8" s="48">
        <v>1147</v>
      </c>
      <c r="G8" s="48">
        <v>0</v>
      </c>
      <c r="H8" s="48">
        <v>0</v>
      </c>
      <c r="I8" s="48">
        <v>0</v>
      </c>
      <c r="J8" s="48">
        <v>0</v>
      </c>
      <c r="K8" s="48" t="s">
        <v>137</v>
      </c>
      <c r="L8" s="48" t="s">
        <v>138</v>
      </c>
      <c r="M8" s="48" t="s">
        <v>139</v>
      </c>
      <c r="N8" s="48" t="s">
        <v>151</v>
      </c>
      <c r="O8" s="48" t="s">
        <v>141</v>
      </c>
      <c r="Q8" s="52" t="str">
        <f t="shared" si="1"/>
        <v>DML</v>
      </c>
      <c r="R8" s="52" t="str">
        <f t="shared" si="2"/>
        <v>R</v>
      </c>
      <c r="S8" s="52" t="str">
        <f t="shared" si="3"/>
        <v>08</v>
      </c>
      <c r="T8" s="52" t="str">
        <f t="shared" si="4"/>
        <v>M</v>
      </c>
      <c r="U8" s="52" t="str">
        <f t="shared" si="6"/>
        <v>30</v>
      </c>
    </row>
    <row r="9" spans="1:21">
      <c r="A9" s="48">
        <v>144979</v>
      </c>
      <c r="B9" s="48" t="s">
        <v>152</v>
      </c>
      <c r="C9" s="51" t="str">
        <f t="shared" si="0"/>
        <v>DMLR08W30</v>
      </c>
      <c r="D9" s="48">
        <v>0</v>
      </c>
      <c r="E9" s="48">
        <v>0</v>
      </c>
      <c r="F9" s="48">
        <v>1147</v>
      </c>
      <c r="G9" s="48">
        <v>0</v>
      </c>
      <c r="H9" s="48">
        <v>0</v>
      </c>
      <c r="I9" s="48">
        <v>0</v>
      </c>
      <c r="J9" s="48">
        <v>0</v>
      </c>
      <c r="K9" s="48" t="s">
        <v>137</v>
      </c>
      <c r="L9" s="48" t="s">
        <v>138</v>
      </c>
      <c r="M9" s="48" t="s">
        <v>143</v>
      </c>
      <c r="N9" s="48" t="s">
        <v>151</v>
      </c>
      <c r="O9" s="48" t="s">
        <v>141</v>
      </c>
      <c r="Q9" s="52" t="str">
        <f t="shared" si="1"/>
        <v>DML</v>
      </c>
      <c r="R9" s="52" t="str">
        <f t="shared" si="2"/>
        <v>R</v>
      </c>
      <c r="S9" s="52" t="str">
        <f t="shared" si="3"/>
        <v>08</v>
      </c>
      <c r="T9" s="52" t="str">
        <f t="shared" si="4"/>
        <v>W</v>
      </c>
      <c r="U9" s="52" t="str">
        <f t="shared" si="6"/>
        <v>30</v>
      </c>
    </row>
    <row r="10" spans="1:21">
      <c r="A10" s="48">
        <v>144980</v>
      </c>
      <c r="B10" s="48" t="s">
        <v>153</v>
      </c>
      <c r="C10" s="51" t="str">
        <f t="shared" si="0"/>
        <v>DMLR08M27</v>
      </c>
      <c r="D10" s="48">
        <v>0</v>
      </c>
      <c r="E10" s="48">
        <v>0</v>
      </c>
      <c r="F10" s="48">
        <v>1147</v>
      </c>
      <c r="G10" s="48">
        <v>0</v>
      </c>
      <c r="H10" s="48">
        <v>0</v>
      </c>
      <c r="I10" s="48">
        <v>0</v>
      </c>
      <c r="J10" s="48">
        <v>0</v>
      </c>
      <c r="K10" s="48" t="s">
        <v>137</v>
      </c>
      <c r="L10" s="48" t="s">
        <v>138</v>
      </c>
      <c r="M10" s="48" t="s">
        <v>139</v>
      </c>
      <c r="N10" s="48" t="s">
        <v>154</v>
      </c>
      <c r="O10" s="48" t="s">
        <v>141</v>
      </c>
      <c r="Q10" s="52" t="str">
        <f t="shared" si="1"/>
        <v>DML</v>
      </c>
      <c r="R10" s="52" t="str">
        <f t="shared" si="2"/>
        <v>R</v>
      </c>
      <c r="S10" s="52" t="str">
        <f t="shared" si="3"/>
        <v>08</v>
      </c>
      <c r="T10" s="52" t="str">
        <f t="shared" si="4"/>
        <v>M</v>
      </c>
      <c r="U10" s="52" t="str">
        <f t="shared" si="6"/>
        <v>27</v>
      </c>
    </row>
    <row r="11" spans="1:21">
      <c r="A11" s="48">
        <v>144981</v>
      </c>
      <c r="B11" s="48" t="s">
        <v>155</v>
      </c>
      <c r="C11" s="51" t="str">
        <f t="shared" si="0"/>
        <v>DMLR08W27</v>
      </c>
      <c r="D11" s="48">
        <v>0</v>
      </c>
      <c r="E11" s="48">
        <v>0</v>
      </c>
      <c r="F11" s="48">
        <v>1147</v>
      </c>
      <c r="G11" s="48">
        <v>0</v>
      </c>
      <c r="H11" s="48">
        <v>0</v>
      </c>
      <c r="I11" s="48">
        <v>0</v>
      </c>
      <c r="J11" s="48">
        <v>0</v>
      </c>
      <c r="K11" s="48" t="s">
        <v>137</v>
      </c>
      <c r="L11" s="48" t="s">
        <v>138</v>
      </c>
      <c r="M11" s="48" t="s">
        <v>143</v>
      </c>
      <c r="N11" s="48" t="s">
        <v>154</v>
      </c>
      <c r="O11" s="48" t="s">
        <v>141</v>
      </c>
      <c r="Q11" s="52" t="str">
        <f t="shared" si="1"/>
        <v>DML</v>
      </c>
      <c r="R11" s="52" t="str">
        <f t="shared" si="2"/>
        <v>R</v>
      </c>
      <c r="S11" s="52" t="str">
        <f t="shared" si="3"/>
        <v>08</v>
      </c>
      <c r="T11" s="52" t="str">
        <f t="shared" si="4"/>
        <v>W</v>
      </c>
      <c r="U11" s="52" t="str">
        <f t="shared" si="6"/>
        <v>27</v>
      </c>
    </row>
    <row r="12" spans="1:21">
      <c r="A12" s="48">
        <v>144988</v>
      </c>
      <c r="B12" s="48" t="s">
        <v>156</v>
      </c>
      <c r="C12" s="51" t="str">
        <f t="shared" si="0"/>
        <v>DMLB08M60</v>
      </c>
      <c r="D12" s="48">
        <v>0</v>
      </c>
      <c r="E12" s="48">
        <v>0</v>
      </c>
      <c r="F12" s="48">
        <v>1203</v>
      </c>
      <c r="G12" s="48">
        <v>0</v>
      </c>
      <c r="H12" s="48">
        <v>0</v>
      </c>
      <c r="I12" s="48">
        <v>0</v>
      </c>
      <c r="J12" s="48">
        <v>0</v>
      </c>
      <c r="K12" s="48" t="s">
        <v>137</v>
      </c>
      <c r="L12" s="48" t="s">
        <v>157</v>
      </c>
      <c r="M12" s="48" t="s">
        <v>139</v>
      </c>
      <c r="N12" s="48" t="s">
        <v>140</v>
      </c>
      <c r="O12" s="48" t="s">
        <v>141</v>
      </c>
      <c r="Q12" s="52" t="str">
        <f t="shared" si="1"/>
        <v>DML</v>
      </c>
      <c r="R12" s="52" t="str">
        <f t="shared" si="2"/>
        <v>B</v>
      </c>
      <c r="S12" s="52" t="str">
        <f t="shared" si="3"/>
        <v>08</v>
      </c>
      <c r="T12" s="52" t="str">
        <f t="shared" si="4"/>
        <v>M</v>
      </c>
      <c r="U12" s="52" t="str">
        <f t="shared" si="6"/>
        <v>60</v>
      </c>
    </row>
    <row r="13" spans="1:21">
      <c r="A13" s="48">
        <v>144989</v>
      </c>
      <c r="B13" s="48" t="s">
        <v>158</v>
      </c>
      <c r="C13" s="51" t="str">
        <f t="shared" si="0"/>
        <v>DMLB08W60</v>
      </c>
      <c r="D13" s="48">
        <v>0</v>
      </c>
      <c r="E13" s="48">
        <v>0</v>
      </c>
      <c r="F13" s="48">
        <v>1203</v>
      </c>
      <c r="G13" s="48">
        <v>0</v>
      </c>
      <c r="H13" s="48">
        <v>0</v>
      </c>
      <c r="I13" s="48">
        <v>0</v>
      </c>
      <c r="J13" s="48">
        <v>0</v>
      </c>
      <c r="K13" s="48" t="s">
        <v>137</v>
      </c>
      <c r="L13" s="48" t="s">
        <v>157</v>
      </c>
      <c r="M13" s="48" t="s">
        <v>143</v>
      </c>
      <c r="N13" s="48" t="s">
        <v>140</v>
      </c>
      <c r="O13" s="48" t="s">
        <v>141</v>
      </c>
      <c r="Q13" s="52" t="str">
        <f t="shared" si="1"/>
        <v>DML</v>
      </c>
      <c r="R13" s="52" t="str">
        <f t="shared" si="2"/>
        <v>B</v>
      </c>
      <c r="S13" s="52" t="str">
        <f t="shared" si="3"/>
        <v>08</v>
      </c>
      <c r="T13" s="52" t="str">
        <f t="shared" si="4"/>
        <v>W</v>
      </c>
      <c r="U13" s="52" t="str">
        <f t="shared" si="6"/>
        <v>60</v>
      </c>
    </row>
    <row r="14" spans="1:21">
      <c r="A14" s="48">
        <v>144990</v>
      </c>
      <c r="B14" s="48" t="s">
        <v>159</v>
      </c>
      <c r="C14" s="51" t="str">
        <f t="shared" si="0"/>
        <v>DMLB08M50</v>
      </c>
      <c r="D14" s="48">
        <v>0</v>
      </c>
      <c r="E14" s="48">
        <v>0</v>
      </c>
      <c r="F14" s="48">
        <v>1203</v>
      </c>
      <c r="G14" s="48">
        <v>0</v>
      </c>
      <c r="H14" s="48">
        <v>0</v>
      </c>
      <c r="I14" s="48">
        <v>0</v>
      </c>
      <c r="J14" s="48">
        <v>0</v>
      </c>
      <c r="K14" s="48" t="s">
        <v>137</v>
      </c>
      <c r="L14" s="48" t="s">
        <v>157</v>
      </c>
      <c r="M14" s="48" t="s">
        <v>139</v>
      </c>
      <c r="N14" s="48" t="s">
        <v>145</v>
      </c>
      <c r="O14" s="48" t="s">
        <v>141</v>
      </c>
      <c r="Q14" s="52" t="str">
        <f t="shared" si="1"/>
        <v>DML</v>
      </c>
      <c r="R14" s="52" t="str">
        <f t="shared" si="2"/>
        <v>B</v>
      </c>
      <c r="S14" s="52" t="str">
        <f t="shared" si="3"/>
        <v>08</v>
      </c>
      <c r="T14" s="52" t="str">
        <f t="shared" si="4"/>
        <v>M</v>
      </c>
      <c r="U14" s="52" t="str">
        <f t="shared" si="6"/>
        <v>50</v>
      </c>
    </row>
    <row r="15" spans="1:21">
      <c r="A15" s="48">
        <v>144991</v>
      </c>
      <c r="B15" s="48" t="s">
        <v>160</v>
      </c>
      <c r="C15" s="51" t="str">
        <f t="shared" si="0"/>
        <v>DMLB08W50</v>
      </c>
      <c r="D15" s="48">
        <v>0</v>
      </c>
      <c r="E15" s="48">
        <v>0</v>
      </c>
      <c r="F15" s="48">
        <v>1203</v>
      </c>
      <c r="G15" s="48">
        <v>0</v>
      </c>
      <c r="H15" s="48">
        <v>0</v>
      </c>
      <c r="I15" s="48">
        <v>0</v>
      </c>
      <c r="J15" s="48">
        <v>0</v>
      </c>
      <c r="K15" s="48" t="s">
        <v>137</v>
      </c>
      <c r="L15" s="48" t="s">
        <v>157</v>
      </c>
      <c r="M15" s="48" t="s">
        <v>143</v>
      </c>
      <c r="N15" s="48" t="s">
        <v>145</v>
      </c>
      <c r="O15" s="48" t="s">
        <v>141</v>
      </c>
      <c r="Q15" s="52" t="str">
        <f t="shared" si="1"/>
        <v>DML</v>
      </c>
      <c r="R15" s="52" t="str">
        <f t="shared" si="2"/>
        <v>B</v>
      </c>
      <c r="S15" s="52" t="str">
        <f t="shared" si="3"/>
        <v>08</v>
      </c>
      <c r="T15" s="52" t="str">
        <f t="shared" si="4"/>
        <v>W</v>
      </c>
      <c r="U15" s="52" t="str">
        <f t="shared" si="6"/>
        <v>50</v>
      </c>
    </row>
    <row r="16" spans="1:21">
      <c r="A16" s="48">
        <v>144992</v>
      </c>
      <c r="B16" s="48" t="s">
        <v>161</v>
      </c>
      <c r="C16" s="51" t="str">
        <f t="shared" si="0"/>
        <v>DMLB08M40</v>
      </c>
      <c r="D16" s="48">
        <v>0</v>
      </c>
      <c r="E16" s="48">
        <v>0</v>
      </c>
      <c r="F16" s="48">
        <v>1203</v>
      </c>
      <c r="G16" s="48">
        <v>0</v>
      </c>
      <c r="H16" s="48">
        <v>0</v>
      </c>
      <c r="I16" s="48">
        <v>0</v>
      </c>
      <c r="J16" s="48">
        <v>0</v>
      </c>
      <c r="K16" s="48" t="s">
        <v>137</v>
      </c>
      <c r="L16" s="48" t="s">
        <v>157</v>
      </c>
      <c r="M16" s="48" t="s">
        <v>139</v>
      </c>
      <c r="N16" s="48" t="s">
        <v>148</v>
      </c>
      <c r="O16" s="48" t="s">
        <v>141</v>
      </c>
      <c r="Q16" s="52" t="str">
        <f t="shared" si="1"/>
        <v>DML</v>
      </c>
      <c r="R16" s="52" t="str">
        <f t="shared" si="2"/>
        <v>B</v>
      </c>
      <c r="S16" s="52" t="str">
        <f t="shared" si="3"/>
        <v>08</v>
      </c>
      <c r="T16" s="52" t="str">
        <f t="shared" si="4"/>
        <v>M</v>
      </c>
      <c r="U16" s="52" t="str">
        <f t="shared" si="6"/>
        <v>40</v>
      </c>
    </row>
    <row r="17" spans="1:21">
      <c r="A17" s="48">
        <v>144993</v>
      </c>
      <c r="B17" s="48" t="s">
        <v>162</v>
      </c>
      <c r="C17" s="51" t="str">
        <f t="shared" si="0"/>
        <v>DMLB08W40</v>
      </c>
      <c r="D17" s="48">
        <v>0</v>
      </c>
      <c r="E17" s="48">
        <v>0</v>
      </c>
      <c r="F17" s="48">
        <v>1203</v>
      </c>
      <c r="G17" s="48">
        <v>0</v>
      </c>
      <c r="H17" s="48">
        <v>0</v>
      </c>
      <c r="I17" s="48">
        <v>0</v>
      </c>
      <c r="J17" s="48">
        <v>0</v>
      </c>
      <c r="K17" s="48" t="s">
        <v>137</v>
      </c>
      <c r="L17" s="48" t="s">
        <v>157</v>
      </c>
      <c r="M17" s="48" t="s">
        <v>143</v>
      </c>
      <c r="N17" s="48" t="s">
        <v>148</v>
      </c>
      <c r="O17" s="48" t="s">
        <v>141</v>
      </c>
      <c r="Q17" s="52" t="str">
        <f t="shared" si="1"/>
        <v>DML</v>
      </c>
      <c r="R17" s="52" t="str">
        <f t="shared" si="2"/>
        <v>B</v>
      </c>
      <c r="S17" s="52" t="str">
        <f t="shared" si="3"/>
        <v>08</v>
      </c>
      <c r="T17" s="52" t="str">
        <f t="shared" si="4"/>
        <v>W</v>
      </c>
      <c r="U17" s="52" t="str">
        <f t="shared" si="6"/>
        <v>40</v>
      </c>
    </row>
    <row r="18" spans="1:21">
      <c r="A18" s="48">
        <v>144994</v>
      </c>
      <c r="B18" s="48" t="s">
        <v>163</v>
      </c>
      <c r="C18" s="51" t="str">
        <f t="shared" si="0"/>
        <v>DMLB08M30</v>
      </c>
      <c r="D18" s="48">
        <v>0</v>
      </c>
      <c r="E18" s="48">
        <v>0</v>
      </c>
      <c r="F18" s="48">
        <v>1203</v>
      </c>
      <c r="G18" s="48">
        <v>0</v>
      </c>
      <c r="H18" s="48">
        <v>0</v>
      </c>
      <c r="I18" s="48">
        <v>0</v>
      </c>
      <c r="J18" s="48">
        <v>0</v>
      </c>
      <c r="K18" s="48" t="s">
        <v>137</v>
      </c>
      <c r="L18" s="48" t="s">
        <v>157</v>
      </c>
      <c r="M18" s="48" t="s">
        <v>139</v>
      </c>
      <c r="N18" s="48" t="s">
        <v>151</v>
      </c>
      <c r="O18" s="48" t="s">
        <v>141</v>
      </c>
      <c r="Q18" s="52" t="str">
        <f t="shared" si="1"/>
        <v>DML</v>
      </c>
      <c r="R18" s="52" t="str">
        <f t="shared" si="2"/>
        <v>B</v>
      </c>
      <c r="S18" s="52" t="str">
        <f t="shared" si="3"/>
        <v>08</v>
      </c>
      <c r="T18" s="52" t="str">
        <f t="shared" si="4"/>
        <v>M</v>
      </c>
      <c r="U18" s="52" t="str">
        <f t="shared" si="6"/>
        <v>30</v>
      </c>
    </row>
    <row r="19" spans="1:21">
      <c r="A19" s="48">
        <v>144995</v>
      </c>
      <c r="B19" s="48" t="s">
        <v>164</v>
      </c>
      <c r="C19" s="51" t="str">
        <f t="shared" si="0"/>
        <v>DMLB08W30</v>
      </c>
      <c r="D19" s="48">
        <v>0</v>
      </c>
      <c r="E19" s="48">
        <v>0</v>
      </c>
      <c r="F19" s="48">
        <v>1203</v>
      </c>
      <c r="G19" s="48">
        <v>0</v>
      </c>
      <c r="H19" s="48">
        <v>0</v>
      </c>
      <c r="I19" s="48">
        <v>0</v>
      </c>
      <c r="J19" s="48">
        <v>0</v>
      </c>
      <c r="K19" s="48" t="s">
        <v>137</v>
      </c>
      <c r="L19" s="48" t="s">
        <v>157</v>
      </c>
      <c r="M19" s="48" t="s">
        <v>143</v>
      </c>
      <c r="N19" s="48" t="s">
        <v>151</v>
      </c>
      <c r="O19" s="48" t="s">
        <v>141</v>
      </c>
      <c r="Q19" s="52" t="str">
        <f t="shared" si="1"/>
        <v>DML</v>
      </c>
      <c r="R19" s="52" t="str">
        <f t="shared" si="2"/>
        <v>B</v>
      </c>
      <c r="S19" s="52" t="str">
        <f t="shared" si="3"/>
        <v>08</v>
      </c>
      <c r="T19" s="52" t="str">
        <f t="shared" si="4"/>
        <v>W</v>
      </c>
      <c r="U19" s="52" t="str">
        <f t="shared" si="6"/>
        <v>30</v>
      </c>
    </row>
    <row r="20" spans="1:21">
      <c r="A20" s="48">
        <v>144996</v>
      </c>
      <c r="B20" s="48" t="s">
        <v>165</v>
      </c>
      <c r="C20" s="51" t="str">
        <f t="shared" si="0"/>
        <v>DMLB08M27</v>
      </c>
      <c r="D20" s="48">
        <v>0</v>
      </c>
      <c r="E20" s="48">
        <v>0</v>
      </c>
      <c r="F20" s="48">
        <v>1203</v>
      </c>
      <c r="G20" s="48">
        <v>0</v>
      </c>
      <c r="H20" s="48">
        <v>0</v>
      </c>
      <c r="I20" s="48">
        <v>0</v>
      </c>
      <c r="J20" s="48">
        <v>0</v>
      </c>
      <c r="K20" s="48" t="s">
        <v>137</v>
      </c>
      <c r="L20" s="48" t="s">
        <v>157</v>
      </c>
      <c r="M20" s="48" t="s">
        <v>139</v>
      </c>
      <c r="N20" s="48" t="s">
        <v>154</v>
      </c>
      <c r="O20" s="48" t="s">
        <v>141</v>
      </c>
      <c r="Q20" s="52" t="str">
        <f t="shared" si="1"/>
        <v>DML</v>
      </c>
      <c r="R20" s="52" t="str">
        <f t="shared" si="2"/>
        <v>B</v>
      </c>
      <c r="S20" s="52" t="str">
        <f t="shared" si="3"/>
        <v>08</v>
      </c>
      <c r="T20" s="52" t="str">
        <f t="shared" si="4"/>
        <v>M</v>
      </c>
      <c r="U20" s="52" t="str">
        <f t="shared" si="6"/>
        <v>27</v>
      </c>
    </row>
    <row r="21" spans="1:21">
      <c r="A21" s="48">
        <v>144997</v>
      </c>
      <c r="B21" s="48" t="s">
        <v>166</v>
      </c>
      <c r="C21" s="51" t="str">
        <f t="shared" si="0"/>
        <v>DMLB08W27</v>
      </c>
      <c r="D21" s="48">
        <v>0</v>
      </c>
      <c r="E21" s="48">
        <v>0</v>
      </c>
      <c r="F21" s="48">
        <v>1203</v>
      </c>
      <c r="G21" s="48">
        <v>0</v>
      </c>
      <c r="H21" s="48">
        <v>0</v>
      </c>
      <c r="I21" s="48">
        <v>0</v>
      </c>
      <c r="J21" s="48">
        <v>0</v>
      </c>
      <c r="K21" s="48" t="s">
        <v>137</v>
      </c>
      <c r="L21" s="48" t="s">
        <v>157</v>
      </c>
      <c r="M21" s="48" t="s">
        <v>143</v>
      </c>
      <c r="N21" s="48" t="s">
        <v>154</v>
      </c>
      <c r="O21" s="48" t="s">
        <v>141</v>
      </c>
      <c r="Q21" s="52" t="str">
        <f t="shared" si="1"/>
        <v>DML</v>
      </c>
      <c r="R21" s="52" t="str">
        <f t="shared" si="2"/>
        <v>B</v>
      </c>
      <c r="S21" s="52" t="str">
        <f t="shared" si="3"/>
        <v>08</v>
      </c>
      <c r="T21" s="52" t="str">
        <f t="shared" si="4"/>
        <v>W</v>
      </c>
      <c r="U21" s="52" t="str">
        <f t="shared" si="6"/>
        <v>27</v>
      </c>
    </row>
    <row r="22" spans="1:21">
      <c r="A22" s="48">
        <v>145004</v>
      </c>
      <c r="B22" s="48" t="s">
        <v>167</v>
      </c>
      <c r="C22" s="51" t="str">
        <f t="shared" si="0"/>
        <v>DMLT08M60</v>
      </c>
      <c r="D22" s="48">
        <v>0</v>
      </c>
      <c r="E22" s="48">
        <v>0</v>
      </c>
      <c r="F22" s="48">
        <v>1264</v>
      </c>
      <c r="G22" s="48">
        <v>0</v>
      </c>
      <c r="H22" s="48">
        <v>0</v>
      </c>
      <c r="I22" s="48">
        <v>0</v>
      </c>
      <c r="J22" s="48">
        <v>0</v>
      </c>
      <c r="K22" s="48" t="s">
        <v>137</v>
      </c>
      <c r="L22" s="48" t="s">
        <v>168</v>
      </c>
      <c r="M22" s="48" t="s">
        <v>139</v>
      </c>
      <c r="N22" s="48" t="s">
        <v>140</v>
      </c>
      <c r="O22" s="48" t="s">
        <v>141</v>
      </c>
      <c r="Q22" s="52" t="str">
        <f t="shared" si="1"/>
        <v>DML</v>
      </c>
      <c r="R22" s="52" t="str">
        <f t="shared" si="2"/>
        <v>T</v>
      </c>
      <c r="S22" s="52" t="str">
        <f t="shared" si="3"/>
        <v>08</v>
      </c>
      <c r="T22" s="52" t="str">
        <f t="shared" si="4"/>
        <v>M</v>
      </c>
      <c r="U22" s="52" t="str">
        <f t="shared" si="6"/>
        <v>60</v>
      </c>
    </row>
    <row r="23" spans="1:21">
      <c r="A23" s="48">
        <v>145005</v>
      </c>
      <c r="B23" s="48" t="s">
        <v>169</v>
      </c>
      <c r="C23" s="51" t="str">
        <f t="shared" si="0"/>
        <v>DMLT08W60</v>
      </c>
      <c r="D23" s="48">
        <v>0</v>
      </c>
      <c r="E23" s="48">
        <v>0</v>
      </c>
      <c r="F23" s="48">
        <v>1264</v>
      </c>
      <c r="G23" s="48">
        <v>0</v>
      </c>
      <c r="H23" s="48">
        <v>0</v>
      </c>
      <c r="I23" s="48">
        <v>0</v>
      </c>
      <c r="J23" s="48">
        <v>0</v>
      </c>
      <c r="K23" s="48" t="s">
        <v>137</v>
      </c>
      <c r="L23" s="48" t="s">
        <v>168</v>
      </c>
      <c r="M23" s="48" t="s">
        <v>143</v>
      </c>
      <c r="N23" s="48" t="s">
        <v>140</v>
      </c>
      <c r="O23" s="48" t="s">
        <v>141</v>
      </c>
      <c r="Q23" s="52" t="str">
        <f t="shared" si="1"/>
        <v>DML</v>
      </c>
      <c r="R23" s="52" t="str">
        <f t="shared" si="2"/>
        <v>T</v>
      </c>
      <c r="S23" s="52" t="str">
        <f t="shared" si="3"/>
        <v>08</v>
      </c>
      <c r="T23" s="52" t="str">
        <f t="shared" si="4"/>
        <v>W</v>
      </c>
      <c r="U23" s="52" t="str">
        <f t="shared" si="6"/>
        <v>60</v>
      </c>
    </row>
    <row r="24" spans="1:21">
      <c r="A24" s="48">
        <v>145006</v>
      </c>
      <c r="B24" s="48" t="s">
        <v>170</v>
      </c>
      <c r="C24" s="51" t="str">
        <f t="shared" si="0"/>
        <v>DMLT08M50</v>
      </c>
      <c r="D24" s="48">
        <v>0</v>
      </c>
      <c r="E24" s="48">
        <v>0</v>
      </c>
      <c r="F24" s="48">
        <v>1264</v>
      </c>
      <c r="G24" s="48">
        <v>0</v>
      </c>
      <c r="H24" s="48">
        <v>0</v>
      </c>
      <c r="I24" s="48">
        <v>0</v>
      </c>
      <c r="J24" s="48">
        <v>0</v>
      </c>
      <c r="K24" s="48" t="s">
        <v>137</v>
      </c>
      <c r="L24" s="48" t="s">
        <v>168</v>
      </c>
      <c r="M24" s="48" t="s">
        <v>139</v>
      </c>
      <c r="N24" s="48" t="s">
        <v>145</v>
      </c>
      <c r="O24" s="48" t="s">
        <v>141</v>
      </c>
      <c r="Q24" s="52" t="str">
        <f t="shared" si="1"/>
        <v>DML</v>
      </c>
      <c r="R24" s="52" t="str">
        <f t="shared" si="2"/>
        <v>T</v>
      </c>
      <c r="S24" s="52" t="str">
        <f t="shared" si="3"/>
        <v>08</v>
      </c>
      <c r="T24" s="52" t="str">
        <f t="shared" si="4"/>
        <v>M</v>
      </c>
      <c r="U24" s="52" t="str">
        <f t="shared" si="6"/>
        <v>50</v>
      </c>
    </row>
    <row r="25" spans="1:21">
      <c r="A25" s="48">
        <v>145007</v>
      </c>
      <c r="B25" s="48" t="s">
        <v>171</v>
      </c>
      <c r="C25" s="51" t="str">
        <f t="shared" si="0"/>
        <v>DMLT08W50</v>
      </c>
      <c r="D25" s="48">
        <v>0</v>
      </c>
      <c r="E25" s="48">
        <v>0</v>
      </c>
      <c r="F25" s="48">
        <v>1264</v>
      </c>
      <c r="G25" s="48">
        <v>0</v>
      </c>
      <c r="H25" s="48">
        <v>0</v>
      </c>
      <c r="I25" s="48">
        <v>0</v>
      </c>
      <c r="J25" s="48">
        <v>0</v>
      </c>
      <c r="K25" s="48" t="s">
        <v>137</v>
      </c>
      <c r="L25" s="48" t="s">
        <v>168</v>
      </c>
      <c r="M25" s="48" t="s">
        <v>143</v>
      </c>
      <c r="N25" s="48" t="s">
        <v>145</v>
      </c>
      <c r="O25" s="48" t="s">
        <v>141</v>
      </c>
      <c r="Q25" s="52" t="str">
        <f t="shared" si="1"/>
        <v>DML</v>
      </c>
      <c r="R25" s="52" t="str">
        <f t="shared" si="2"/>
        <v>T</v>
      </c>
      <c r="S25" s="52" t="str">
        <f t="shared" si="3"/>
        <v>08</v>
      </c>
      <c r="T25" s="52" t="str">
        <f t="shared" si="4"/>
        <v>W</v>
      </c>
      <c r="U25" s="52" t="str">
        <f t="shared" si="6"/>
        <v>50</v>
      </c>
    </row>
    <row r="26" spans="1:21">
      <c r="A26" s="48">
        <v>145008</v>
      </c>
      <c r="B26" s="48" t="s">
        <v>172</v>
      </c>
      <c r="C26" s="51" t="str">
        <f t="shared" si="0"/>
        <v>DMLT08M40</v>
      </c>
      <c r="D26" s="48">
        <v>0</v>
      </c>
      <c r="E26" s="48">
        <v>0</v>
      </c>
      <c r="F26" s="48">
        <v>1264</v>
      </c>
      <c r="G26" s="48">
        <v>0</v>
      </c>
      <c r="H26" s="48">
        <v>0</v>
      </c>
      <c r="I26" s="48">
        <v>0</v>
      </c>
      <c r="J26" s="48">
        <v>0</v>
      </c>
      <c r="K26" s="48" t="s">
        <v>137</v>
      </c>
      <c r="L26" s="48" t="s">
        <v>168</v>
      </c>
      <c r="M26" s="48" t="s">
        <v>139</v>
      </c>
      <c r="N26" s="48" t="s">
        <v>148</v>
      </c>
      <c r="O26" s="48" t="s">
        <v>141</v>
      </c>
      <c r="Q26" s="52" t="str">
        <f t="shared" si="1"/>
        <v>DML</v>
      </c>
      <c r="R26" s="52" t="str">
        <f t="shared" si="2"/>
        <v>T</v>
      </c>
      <c r="S26" s="52" t="str">
        <f t="shared" si="3"/>
        <v>08</v>
      </c>
      <c r="T26" s="52" t="str">
        <f t="shared" si="4"/>
        <v>M</v>
      </c>
      <c r="U26" s="52" t="str">
        <f t="shared" si="6"/>
        <v>40</v>
      </c>
    </row>
    <row r="27" spans="1:21">
      <c r="A27" s="48">
        <v>145009</v>
      </c>
      <c r="B27" s="48" t="s">
        <v>173</v>
      </c>
      <c r="C27" s="51" t="str">
        <f t="shared" si="0"/>
        <v>DMLT08W40</v>
      </c>
      <c r="D27" s="48">
        <v>0</v>
      </c>
      <c r="E27" s="48">
        <v>0</v>
      </c>
      <c r="F27" s="48">
        <v>1264</v>
      </c>
      <c r="G27" s="48">
        <v>0</v>
      </c>
      <c r="H27" s="48">
        <v>0</v>
      </c>
      <c r="I27" s="48">
        <v>0</v>
      </c>
      <c r="J27" s="48">
        <v>0</v>
      </c>
      <c r="K27" s="48" t="s">
        <v>137</v>
      </c>
      <c r="L27" s="48" t="s">
        <v>168</v>
      </c>
      <c r="M27" s="48" t="s">
        <v>143</v>
      </c>
      <c r="N27" s="48" t="s">
        <v>148</v>
      </c>
      <c r="O27" s="48" t="s">
        <v>141</v>
      </c>
      <c r="Q27" s="52" t="str">
        <f t="shared" si="1"/>
        <v>DML</v>
      </c>
      <c r="R27" s="52" t="str">
        <f t="shared" si="2"/>
        <v>T</v>
      </c>
      <c r="S27" s="52" t="str">
        <f t="shared" si="3"/>
        <v>08</v>
      </c>
      <c r="T27" s="52" t="str">
        <f t="shared" si="4"/>
        <v>W</v>
      </c>
      <c r="U27" s="52" t="str">
        <f t="shared" si="6"/>
        <v>40</v>
      </c>
    </row>
    <row r="28" spans="1:21">
      <c r="A28" s="48">
        <v>145010</v>
      </c>
      <c r="B28" s="48" t="s">
        <v>174</v>
      </c>
      <c r="C28" s="51" t="str">
        <f t="shared" si="0"/>
        <v>DMLT08M30</v>
      </c>
      <c r="D28" s="48">
        <v>0</v>
      </c>
      <c r="E28" s="48">
        <v>0</v>
      </c>
      <c r="F28" s="48">
        <v>1264</v>
      </c>
      <c r="G28" s="48">
        <v>0</v>
      </c>
      <c r="H28" s="48">
        <v>0</v>
      </c>
      <c r="I28" s="48">
        <v>0</v>
      </c>
      <c r="J28" s="48">
        <v>0</v>
      </c>
      <c r="K28" s="48" t="s">
        <v>137</v>
      </c>
      <c r="L28" s="48" t="s">
        <v>168</v>
      </c>
      <c r="M28" s="48" t="s">
        <v>139</v>
      </c>
      <c r="N28" s="48" t="s">
        <v>151</v>
      </c>
      <c r="O28" s="48" t="s">
        <v>141</v>
      </c>
      <c r="Q28" s="52" t="str">
        <f t="shared" si="1"/>
        <v>DML</v>
      </c>
      <c r="R28" s="52" t="str">
        <f t="shared" si="2"/>
        <v>T</v>
      </c>
      <c r="S28" s="52" t="str">
        <f t="shared" si="3"/>
        <v>08</v>
      </c>
      <c r="T28" s="52" t="str">
        <f t="shared" si="4"/>
        <v>M</v>
      </c>
      <c r="U28" s="52" t="str">
        <f t="shared" si="6"/>
        <v>30</v>
      </c>
    </row>
    <row r="29" spans="1:21">
      <c r="A29" s="48">
        <v>145011</v>
      </c>
      <c r="B29" s="48" t="s">
        <v>175</v>
      </c>
      <c r="C29" s="51" t="str">
        <f t="shared" si="0"/>
        <v>DMLT08W30</v>
      </c>
      <c r="D29" s="48">
        <v>0</v>
      </c>
      <c r="E29" s="48">
        <v>0</v>
      </c>
      <c r="F29" s="48">
        <v>1264</v>
      </c>
      <c r="G29" s="48">
        <v>0</v>
      </c>
      <c r="H29" s="48">
        <v>0</v>
      </c>
      <c r="I29" s="48">
        <v>0</v>
      </c>
      <c r="J29" s="48">
        <v>0</v>
      </c>
      <c r="K29" s="48" t="s">
        <v>137</v>
      </c>
      <c r="L29" s="48" t="s">
        <v>168</v>
      </c>
      <c r="M29" s="48" t="s">
        <v>143</v>
      </c>
      <c r="N29" s="48" t="s">
        <v>151</v>
      </c>
      <c r="O29" s="48" t="s">
        <v>141</v>
      </c>
      <c r="Q29" s="52" t="str">
        <f t="shared" si="1"/>
        <v>DML</v>
      </c>
      <c r="R29" s="52" t="str">
        <f t="shared" si="2"/>
        <v>T</v>
      </c>
      <c r="S29" s="52" t="str">
        <f t="shared" si="3"/>
        <v>08</v>
      </c>
      <c r="T29" s="52" t="str">
        <f t="shared" si="4"/>
        <v>W</v>
      </c>
      <c r="U29" s="52" t="str">
        <f t="shared" si="6"/>
        <v>30</v>
      </c>
    </row>
    <row r="30" spans="1:21">
      <c r="A30" s="48">
        <v>145012</v>
      </c>
      <c r="B30" s="48" t="s">
        <v>176</v>
      </c>
      <c r="C30" s="51" t="str">
        <f t="shared" si="0"/>
        <v>DMLT08M27</v>
      </c>
      <c r="D30" s="48">
        <v>0</v>
      </c>
      <c r="E30" s="48">
        <v>0</v>
      </c>
      <c r="F30" s="48">
        <v>1264</v>
      </c>
      <c r="G30" s="48">
        <v>0</v>
      </c>
      <c r="H30" s="48">
        <v>0</v>
      </c>
      <c r="I30" s="48">
        <v>0</v>
      </c>
      <c r="J30" s="48">
        <v>0</v>
      </c>
      <c r="K30" s="48" t="s">
        <v>137</v>
      </c>
      <c r="L30" s="48" t="s">
        <v>168</v>
      </c>
      <c r="M30" s="48" t="s">
        <v>139</v>
      </c>
      <c r="N30" s="48" t="s">
        <v>154</v>
      </c>
      <c r="O30" s="48" t="s">
        <v>141</v>
      </c>
      <c r="Q30" s="52" t="str">
        <f t="shared" si="1"/>
        <v>DML</v>
      </c>
      <c r="R30" s="52" t="str">
        <f t="shared" si="2"/>
        <v>T</v>
      </c>
      <c r="S30" s="52" t="str">
        <f t="shared" si="3"/>
        <v>08</v>
      </c>
      <c r="T30" s="52" t="str">
        <f t="shared" si="4"/>
        <v>M</v>
      </c>
      <c r="U30" s="52" t="str">
        <f t="shared" si="6"/>
        <v>27</v>
      </c>
    </row>
    <row r="31" spans="1:21">
      <c r="A31" s="48">
        <v>145013</v>
      </c>
      <c r="B31" s="48" t="s">
        <v>177</v>
      </c>
      <c r="C31" s="51" t="str">
        <f t="shared" si="0"/>
        <v>DMLT08W27</v>
      </c>
      <c r="D31" s="48">
        <v>0</v>
      </c>
      <c r="E31" s="48">
        <v>0</v>
      </c>
      <c r="F31" s="48">
        <v>1264</v>
      </c>
      <c r="G31" s="48">
        <v>0</v>
      </c>
      <c r="H31" s="48">
        <v>0</v>
      </c>
      <c r="I31" s="48">
        <v>0</v>
      </c>
      <c r="J31" s="48">
        <v>0</v>
      </c>
      <c r="K31" s="48" t="s">
        <v>137</v>
      </c>
      <c r="L31" s="48" t="s">
        <v>168</v>
      </c>
      <c r="M31" s="48" t="s">
        <v>143</v>
      </c>
      <c r="N31" s="48" t="s">
        <v>154</v>
      </c>
      <c r="O31" s="48" t="s">
        <v>141</v>
      </c>
      <c r="Q31" s="52" t="str">
        <f t="shared" si="1"/>
        <v>DML</v>
      </c>
      <c r="R31" s="52" t="str">
        <f t="shared" si="2"/>
        <v>T</v>
      </c>
      <c r="S31" s="52" t="str">
        <f t="shared" si="3"/>
        <v>08</v>
      </c>
      <c r="T31" s="52" t="str">
        <f t="shared" si="4"/>
        <v>W</v>
      </c>
      <c r="U31" s="52" t="str">
        <f t="shared" si="6"/>
        <v>27</v>
      </c>
    </row>
    <row r="32" spans="1:21">
      <c r="A32" s="48">
        <v>145068</v>
      </c>
      <c r="B32" s="48" t="s">
        <v>178</v>
      </c>
      <c r="C32" s="51" t="str">
        <f t="shared" ref="C32:C61" si="7">_xlfn.CONCAT(Q32,R32,S32,T32,U32)</f>
        <v>DMLR08M60T</v>
      </c>
      <c r="D32" s="48">
        <v>0</v>
      </c>
      <c r="E32" s="48">
        <v>0</v>
      </c>
      <c r="F32" s="48">
        <v>1603</v>
      </c>
      <c r="G32" s="48">
        <v>0</v>
      </c>
      <c r="H32" s="48">
        <v>0</v>
      </c>
      <c r="I32" s="48">
        <v>0</v>
      </c>
      <c r="J32" s="48">
        <v>0</v>
      </c>
      <c r="K32" s="48" t="s">
        <v>137</v>
      </c>
      <c r="L32" s="48" t="s">
        <v>138</v>
      </c>
      <c r="M32" s="48" t="s">
        <v>139</v>
      </c>
      <c r="N32" s="48" t="s">
        <v>140</v>
      </c>
      <c r="O32" s="48" t="s">
        <v>179</v>
      </c>
      <c r="Q32" s="52" t="str">
        <f t="shared" ref="Q32:Q61" si="8">MID(B32,1,3)</f>
        <v>DML</v>
      </c>
      <c r="R32" s="52" t="str">
        <f t="shared" ref="R32:R61" si="9">MID(B32,4,1)</f>
        <v>R</v>
      </c>
      <c r="S32" s="52" t="str">
        <f t="shared" ref="S32:S61" si="10">MID(B32,5,2)</f>
        <v>08</v>
      </c>
      <c r="T32" s="52" t="str">
        <f t="shared" ref="T32:T61" si="11">MID(B32,7,1)</f>
        <v>M</v>
      </c>
      <c r="U32" s="52" t="str">
        <f t="shared" ref="U32:U61" si="12">MID(B32,8,5)</f>
        <v>60T</v>
      </c>
    </row>
    <row r="33" spans="1:21">
      <c r="A33" s="48">
        <v>145069</v>
      </c>
      <c r="B33" s="48" t="s">
        <v>180</v>
      </c>
      <c r="C33" s="51" t="str">
        <f t="shared" si="7"/>
        <v>DMLR08W60T</v>
      </c>
      <c r="D33" s="48">
        <v>0</v>
      </c>
      <c r="E33" s="48">
        <v>0</v>
      </c>
      <c r="F33" s="48">
        <v>1603</v>
      </c>
      <c r="G33" s="48">
        <v>0</v>
      </c>
      <c r="H33" s="48">
        <v>0</v>
      </c>
      <c r="I33" s="48">
        <v>0</v>
      </c>
      <c r="J33" s="48">
        <v>0</v>
      </c>
      <c r="K33" s="48" t="s">
        <v>137</v>
      </c>
      <c r="L33" s="48" t="s">
        <v>138</v>
      </c>
      <c r="M33" s="48" t="s">
        <v>143</v>
      </c>
      <c r="N33" s="48" t="s">
        <v>140</v>
      </c>
      <c r="O33" s="48" t="s">
        <v>179</v>
      </c>
      <c r="Q33" s="52" t="str">
        <f t="shared" si="8"/>
        <v>DML</v>
      </c>
      <c r="R33" s="52" t="str">
        <f t="shared" si="9"/>
        <v>R</v>
      </c>
      <c r="S33" s="52" t="str">
        <f t="shared" si="10"/>
        <v>08</v>
      </c>
      <c r="T33" s="52" t="str">
        <f t="shared" si="11"/>
        <v>W</v>
      </c>
      <c r="U33" s="52" t="str">
        <f t="shared" si="12"/>
        <v>60T</v>
      </c>
    </row>
    <row r="34" spans="1:21">
      <c r="A34" s="48">
        <v>145070</v>
      </c>
      <c r="B34" s="48" t="s">
        <v>181</v>
      </c>
      <c r="C34" s="51" t="str">
        <f t="shared" si="7"/>
        <v>DMLR08M50T</v>
      </c>
      <c r="D34" s="48">
        <v>0</v>
      </c>
      <c r="E34" s="48">
        <v>0</v>
      </c>
      <c r="F34" s="48">
        <v>1603</v>
      </c>
      <c r="G34" s="48">
        <v>0</v>
      </c>
      <c r="H34" s="48">
        <v>0</v>
      </c>
      <c r="I34" s="48">
        <v>0</v>
      </c>
      <c r="J34" s="48">
        <v>0</v>
      </c>
      <c r="K34" s="48" t="s">
        <v>137</v>
      </c>
      <c r="L34" s="48" t="s">
        <v>138</v>
      </c>
      <c r="M34" s="48" t="s">
        <v>139</v>
      </c>
      <c r="N34" s="48" t="s">
        <v>145</v>
      </c>
      <c r="O34" s="48" t="s">
        <v>179</v>
      </c>
      <c r="Q34" s="52" t="str">
        <f t="shared" si="8"/>
        <v>DML</v>
      </c>
      <c r="R34" s="52" t="str">
        <f t="shared" si="9"/>
        <v>R</v>
      </c>
      <c r="S34" s="52" t="str">
        <f t="shared" si="10"/>
        <v>08</v>
      </c>
      <c r="T34" s="52" t="str">
        <f t="shared" si="11"/>
        <v>M</v>
      </c>
      <c r="U34" s="52" t="str">
        <f t="shared" si="12"/>
        <v>50T</v>
      </c>
    </row>
    <row r="35" spans="1:21">
      <c r="A35" s="48">
        <v>145071</v>
      </c>
      <c r="B35" s="48" t="s">
        <v>182</v>
      </c>
      <c r="C35" s="51" t="str">
        <f t="shared" si="7"/>
        <v>DMLR08W50T</v>
      </c>
      <c r="D35" s="48">
        <v>0</v>
      </c>
      <c r="E35" s="48">
        <v>0</v>
      </c>
      <c r="F35" s="48">
        <v>1603</v>
      </c>
      <c r="G35" s="48">
        <v>0</v>
      </c>
      <c r="H35" s="48">
        <v>0</v>
      </c>
      <c r="I35" s="48">
        <v>0</v>
      </c>
      <c r="J35" s="48">
        <v>0</v>
      </c>
      <c r="K35" s="48" t="s">
        <v>137</v>
      </c>
      <c r="L35" s="48" t="s">
        <v>138</v>
      </c>
      <c r="M35" s="48" t="s">
        <v>143</v>
      </c>
      <c r="N35" s="48" t="s">
        <v>145</v>
      </c>
      <c r="O35" s="48" t="s">
        <v>179</v>
      </c>
      <c r="Q35" s="52" t="str">
        <f t="shared" si="8"/>
        <v>DML</v>
      </c>
      <c r="R35" s="52" t="str">
        <f t="shared" si="9"/>
        <v>R</v>
      </c>
      <c r="S35" s="52" t="str">
        <f t="shared" si="10"/>
        <v>08</v>
      </c>
      <c r="T35" s="52" t="str">
        <f t="shared" si="11"/>
        <v>W</v>
      </c>
      <c r="U35" s="52" t="str">
        <f t="shared" si="12"/>
        <v>50T</v>
      </c>
    </row>
    <row r="36" spans="1:21">
      <c r="A36" s="48">
        <v>145072</v>
      </c>
      <c r="B36" s="48" t="s">
        <v>183</v>
      </c>
      <c r="C36" s="51" t="str">
        <f t="shared" si="7"/>
        <v>DMLR08M40T</v>
      </c>
      <c r="D36" s="48">
        <v>0</v>
      </c>
      <c r="E36" s="48">
        <v>0</v>
      </c>
      <c r="F36" s="48">
        <v>1603</v>
      </c>
      <c r="G36" s="48">
        <v>0</v>
      </c>
      <c r="H36" s="48">
        <v>0</v>
      </c>
      <c r="I36" s="48">
        <v>0</v>
      </c>
      <c r="J36" s="48">
        <v>0</v>
      </c>
      <c r="K36" s="48" t="s">
        <v>137</v>
      </c>
      <c r="L36" s="48" t="s">
        <v>138</v>
      </c>
      <c r="M36" s="48" t="s">
        <v>139</v>
      </c>
      <c r="N36" s="48" t="s">
        <v>148</v>
      </c>
      <c r="O36" s="48" t="s">
        <v>179</v>
      </c>
      <c r="Q36" s="52" t="str">
        <f t="shared" si="8"/>
        <v>DML</v>
      </c>
      <c r="R36" s="52" t="str">
        <f t="shared" si="9"/>
        <v>R</v>
      </c>
      <c r="S36" s="52" t="str">
        <f t="shared" si="10"/>
        <v>08</v>
      </c>
      <c r="T36" s="52" t="str">
        <f t="shared" si="11"/>
        <v>M</v>
      </c>
      <c r="U36" s="52" t="str">
        <f t="shared" si="12"/>
        <v>40T</v>
      </c>
    </row>
    <row r="37" spans="1:21">
      <c r="A37" s="48">
        <v>145073</v>
      </c>
      <c r="B37" s="48" t="s">
        <v>184</v>
      </c>
      <c r="C37" s="51" t="str">
        <f t="shared" si="7"/>
        <v>DMLR08W40T</v>
      </c>
      <c r="D37" s="48">
        <v>0</v>
      </c>
      <c r="E37" s="48">
        <v>0</v>
      </c>
      <c r="F37" s="48">
        <v>1603</v>
      </c>
      <c r="G37" s="48">
        <v>0</v>
      </c>
      <c r="H37" s="48">
        <v>0</v>
      </c>
      <c r="I37" s="48">
        <v>0</v>
      </c>
      <c r="J37" s="48">
        <v>0</v>
      </c>
      <c r="K37" s="48" t="s">
        <v>137</v>
      </c>
      <c r="L37" s="48" t="s">
        <v>138</v>
      </c>
      <c r="M37" s="48" t="s">
        <v>143</v>
      </c>
      <c r="N37" s="48" t="s">
        <v>148</v>
      </c>
      <c r="O37" s="48" t="s">
        <v>179</v>
      </c>
      <c r="Q37" s="52" t="str">
        <f t="shared" si="8"/>
        <v>DML</v>
      </c>
      <c r="R37" s="52" t="str">
        <f t="shared" si="9"/>
        <v>R</v>
      </c>
      <c r="S37" s="52" t="str">
        <f t="shared" si="10"/>
        <v>08</v>
      </c>
      <c r="T37" s="52" t="str">
        <f t="shared" si="11"/>
        <v>W</v>
      </c>
      <c r="U37" s="52" t="str">
        <f t="shared" si="12"/>
        <v>40T</v>
      </c>
    </row>
    <row r="38" spans="1:21">
      <c r="A38" s="48">
        <v>145074</v>
      </c>
      <c r="B38" s="48" t="s">
        <v>185</v>
      </c>
      <c r="C38" s="51" t="str">
        <f t="shared" si="7"/>
        <v>DMLR08M30T</v>
      </c>
      <c r="D38" s="48">
        <v>0</v>
      </c>
      <c r="E38" s="48">
        <v>0</v>
      </c>
      <c r="F38" s="48">
        <v>1603</v>
      </c>
      <c r="G38" s="48">
        <v>0</v>
      </c>
      <c r="H38" s="48">
        <v>0</v>
      </c>
      <c r="I38" s="48">
        <v>0</v>
      </c>
      <c r="J38" s="48">
        <v>0</v>
      </c>
      <c r="K38" s="48" t="s">
        <v>137</v>
      </c>
      <c r="L38" s="48" t="s">
        <v>138</v>
      </c>
      <c r="M38" s="48" t="s">
        <v>139</v>
      </c>
      <c r="N38" s="48" t="s">
        <v>151</v>
      </c>
      <c r="O38" s="48" t="s">
        <v>179</v>
      </c>
      <c r="Q38" s="52" t="str">
        <f t="shared" si="8"/>
        <v>DML</v>
      </c>
      <c r="R38" s="52" t="str">
        <f t="shared" si="9"/>
        <v>R</v>
      </c>
      <c r="S38" s="52" t="str">
        <f t="shared" si="10"/>
        <v>08</v>
      </c>
      <c r="T38" s="52" t="str">
        <f t="shared" si="11"/>
        <v>M</v>
      </c>
      <c r="U38" s="52" t="str">
        <f t="shared" si="12"/>
        <v>30T</v>
      </c>
    </row>
    <row r="39" spans="1:21">
      <c r="A39" s="48">
        <v>145075</v>
      </c>
      <c r="B39" s="48" t="s">
        <v>186</v>
      </c>
      <c r="C39" s="51" t="str">
        <f t="shared" si="7"/>
        <v>DMLR08W30T</v>
      </c>
      <c r="D39" s="48">
        <v>0</v>
      </c>
      <c r="E39" s="48">
        <v>0</v>
      </c>
      <c r="F39" s="48">
        <v>1603</v>
      </c>
      <c r="G39" s="48">
        <v>0</v>
      </c>
      <c r="H39" s="48">
        <v>0</v>
      </c>
      <c r="I39" s="48">
        <v>0</v>
      </c>
      <c r="J39" s="48">
        <v>0</v>
      </c>
      <c r="K39" s="48" t="s">
        <v>137</v>
      </c>
      <c r="L39" s="48" t="s">
        <v>138</v>
      </c>
      <c r="M39" s="48" t="s">
        <v>143</v>
      </c>
      <c r="N39" s="48" t="s">
        <v>151</v>
      </c>
      <c r="O39" s="48" t="s">
        <v>179</v>
      </c>
      <c r="Q39" s="52" t="str">
        <f t="shared" si="8"/>
        <v>DML</v>
      </c>
      <c r="R39" s="52" t="str">
        <f t="shared" si="9"/>
        <v>R</v>
      </c>
      <c r="S39" s="52" t="str">
        <f t="shared" si="10"/>
        <v>08</v>
      </c>
      <c r="T39" s="52" t="str">
        <f t="shared" si="11"/>
        <v>W</v>
      </c>
      <c r="U39" s="52" t="str">
        <f t="shared" si="12"/>
        <v>30T</v>
      </c>
    </row>
    <row r="40" spans="1:21">
      <c r="A40" s="48">
        <v>145076</v>
      </c>
      <c r="B40" s="48" t="s">
        <v>187</v>
      </c>
      <c r="C40" s="51" t="str">
        <f t="shared" si="7"/>
        <v>DMLR08M27T</v>
      </c>
      <c r="D40" s="48">
        <v>0</v>
      </c>
      <c r="E40" s="48">
        <v>0</v>
      </c>
      <c r="F40" s="48">
        <v>1603</v>
      </c>
      <c r="G40" s="48">
        <v>0</v>
      </c>
      <c r="H40" s="48">
        <v>0</v>
      </c>
      <c r="I40" s="48">
        <v>0</v>
      </c>
      <c r="J40" s="48">
        <v>0</v>
      </c>
      <c r="K40" s="48" t="s">
        <v>137</v>
      </c>
      <c r="L40" s="48" t="s">
        <v>138</v>
      </c>
      <c r="M40" s="48" t="s">
        <v>139</v>
      </c>
      <c r="N40" s="48" t="s">
        <v>154</v>
      </c>
      <c r="O40" s="48" t="s">
        <v>179</v>
      </c>
      <c r="Q40" s="52" t="str">
        <f t="shared" si="8"/>
        <v>DML</v>
      </c>
      <c r="R40" s="52" t="str">
        <f t="shared" si="9"/>
        <v>R</v>
      </c>
      <c r="S40" s="52" t="str">
        <f t="shared" si="10"/>
        <v>08</v>
      </c>
      <c r="T40" s="52" t="str">
        <f t="shared" si="11"/>
        <v>M</v>
      </c>
      <c r="U40" s="52" t="str">
        <f t="shared" si="12"/>
        <v>27T</v>
      </c>
    </row>
    <row r="41" spans="1:21">
      <c r="A41" s="48">
        <v>145077</v>
      </c>
      <c r="B41" s="48" t="s">
        <v>188</v>
      </c>
      <c r="C41" s="51" t="str">
        <f t="shared" si="7"/>
        <v>DMLR08W27T</v>
      </c>
      <c r="D41" s="48">
        <v>0</v>
      </c>
      <c r="E41" s="48">
        <v>0</v>
      </c>
      <c r="F41" s="48">
        <v>1603</v>
      </c>
      <c r="G41" s="48">
        <v>0</v>
      </c>
      <c r="H41" s="48">
        <v>0</v>
      </c>
      <c r="I41" s="48">
        <v>0</v>
      </c>
      <c r="J41" s="48">
        <v>0</v>
      </c>
      <c r="K41" s="48" t="s">
        <v>137</v>
      </c>
      <c r="L41" s="48" t="s">
        <v>138</v>
      </c>
      <c r="M41" s="48" t="s">
        <v>143</v>
      </c>
      <c r="N41" s="48" t="s">
        <v>154</v>
      </c>
      <c r="O41" s="48" t="s">
        <v>179</v>
      </c>
      <c r="Q41" s="52" t="str">
        <f t="shared" si="8"/>
        <v>DML</v>
      </c>
      <c r="R41" s="52" t="str">
        <f t="shared" si="9"/>
        <v>R</v>
      </c>
      <c r="S41" s="52" t="str">
        <f t="shared" si="10"/>
        <v>08</v>
      </c>
      <c r="T41" s="52" t="str">
        <f t="shared" si="11"/>
        <v>W</v>
      </c>
      <c r="U41" s="52" t="str">
        <f t="shared" si="12"/>
        <v>27T</v>
      </c>
    </row>
    <row r="42" spans="1:21" ht="14.25" customHeight="1">
      <c r="A42" s="48">
        <v>145084</v>
      </c>
      <c r="B42" s="48" t="s">
        <v>189</v>
      </c>
      <c r="C42" s="51" t="str">
        <f t="shared" si="7"/>
        <v>DMLB08M60T</v>
      </c>
      <c r="D42" s="48">
        <v>0</v>
      </c>
      <c r="E42" s="48">
        <v>0</v>
      </c>
      <c r="F42" s="48">
        <v>1660</v>
      </c>
      <c r="G42" s="48">
        <v>0</v>
      </c>
      <c r="H42" s="48">
        <v>0</v>
      </c>
      <c r="I42" s="48">
        <v>0</v>
      </c>
      <c r="J42" s="48">
        <v>0</v>
      </c>
      <c r="K42" s="48" t="s">
        <v>137</v>
      </c>
      <c r="L42" s="48" t="s">
        <v>157</v>
      </c>
      <c r="M42" s="48" t="s">
        <v>139</v>
      </c>
      <c r="N42" s="48" t="s">
        <v>140</v>
      </c>
      <c r="O42" s="48" t="s">
        <v>179</v>
      </c>
      <c r="Q42" s="52" t="str">
        <f t="shared" si="8"/>
        <v>DML</v>
      </c>
      <c r="R42" s="52" t="str">
        <f t="shared" si="9"/>
        <v>B</v>
      </c>
      <c r="S42" s="52" t="str">
        <f t="shared" si="10"/>
        <v>08</v>
      </c>
      <c r="T42" s="52" t="str">
        <f t="shared" si="11"/>
        <v>M</v>
      </c>
      <c r="U42" s="52" t="str">
        <f t="shared" si="12"/>
        <v>60T</v>
      </c>
    </row>
    <row r="43" spans="1:21">
      <c r="A43" s="48">
        <v>145085</v>
      </c>
      <c r="B43" s="48" t="s">
        <v>190</v>
      </c>
      <c r="C43" s="51" t="str">
        <f t="shared" si="7"/>
        <v>DMLB08W60T</v>
      </c>
      <c r="D43" s="48">
        <v>0</v>
      </c>
      <c r="E43" s="48">
        <v>0</v>
      </c>
      <c r="F43" s="48">
        <v>1660</v>
      </c>
      <c r="G43" s="48">
        <v>0</v>
      </c>
      <c r="H43" s="48">
        <v>0</v>
      </c>
      <c r="I43" s="48">
        <v>0</v>
      </c>
      <c r="J43" s="48">
        <v>0</v>
      </c>
      <c r="K43" s="48" t="s">
        <v>137</v>
      </c>
      <c r="L43" s="48" t="s">
        <v>157</v>
      </c>
      <c r="M43" s="48" t="s">
        <v>143</v>
      </c>
      <c r="N43" s="48" t="s">
        <v>140</v>
      </c>
      <c r="O43" s="48" t="s">
        <v>179</v>
      </c>
      <c r="Q43" s="52" t="str">
        <f t="shared" si="8"/>
        <v>DML</v>
      </c>
      <c r="R43" s="52" t="str">
        <f t="shared" si="9"/>
        <v>B</v>
      </c>
      <c r="S43" s="52" t="str">
        <f t="shared" si="10"/>
        <v>08</v>
      </c>
      <c r="T43" s="52" t="str">
        <f t="shared" si="11"/>
        <v>W</v>
      </c>
      <c r="U43" s="52" t="str">
        <f t="shared" si="12"/>
        <v>60T</v>
      </c>
    </row>
    <row r="44" spans="1:21">
      <c r="A44" s="48">
        <v>145086</v>
      </c>
      <c r="B44" s="48" t="s">
        <v>191</v>
      </c>
      <c r="C44" s="51" t="str">
        <f t="shared" si="7"/>
        <v>DMLB08M50T</v>
      </c>
      <c r="D44" s="48">
        <v>0</v>
      </c>
      <c r="E44" s="48">
        <v>0</v>
      </c>
      <c r="F44" s="48">
        <v>1660</v>
      </c>
      <c r="G44" s="48">
        <v>0</v>
      </c>
      <c r="H44" s="48">
        <v>0</v>
      </c>
      <c r="I44" s="48">
        <v>0</v>
      </c>
      <c r="J44" s="48">
        <v>0</v>
      </c>
      <c r="K44" s="48" t="s">
        <v>137</v>
      </c>
      <c r="L44" s="48" t="s">
        <v>157</v>
      </c>
      <c r="M44" s="48" t="s">
        <v>139</v>
      </c>
      <c r="N44" s="48" t="s">
        <v>145</v>
      </c>
      <c r="O44" s="48" t="s">
        <v>179</v>
      </c>
      <c r="Q44" s="52" t="str">
        <f t="shared" si="8"/>
        <v>DML</v>
      </c>
      <c r="R44" s="52" t="str">
        <f t="shared" si="9"/>
        <v>B</v>
      </c>
      <c r="S44" s="52" t="str">
        <f t="shared" si="10"/>
        <v>08</v>
      </c>
      <c r="T44" s="52" t="str">
        <f t="shared" si="11"/>
        <v>M</v>
      </c>
      <c r="U44" s="52" t="str">
        <f t="shared" si="12"/>
        <v>50T</v>
      </c>
    </row>
    <row r="45" spans="1:21">
      <c r="A45" s="48">
        <v>145087</v>
      </c>
      <c r="B45" s="48" t="s">
        <v>192</v>
      </c>
      <c r="C45" s="51" t="str">
        <f t="shared" si="7"/>
        <v>DMLB08W50T</v>
      </c>
      <c r="D45" s="48">
        <v>0</v>
      </c>
      <c r="E45" s="48">
        <v>0</v>
      </c>
      <c r="F45" s="48">
        <v>1660</v>
      </c>
      <c r="G45" s="48">
        <v>0</v>
      </c>
      <c r="H45" s="48">
        <v>0</v>
      </c>
      <c r="I45" s="48">
        <v>0</v>
      </c>
      <c r="J45" s="48">
        <v>0</v>
      </c>
      <c r="K45" s="48" t="s">
        <v>137</v>
      </c>
      <c r="L45" s="48" t="s">
        <v>157</v>
      </c>
      <c r="M45" s="48" t="s">
        <v>143</v>
      </c>
      <c r="N45" s="48" t="s">
        <v>145</v>
      </c>
      <c r="O45" s="48" t="s">
        <v>179</v>
      </c>
      <c r="Q45" s="52" t="str">
        <f t="shared" si="8"/>
        <v>DML</v>
      </c>
      <c r="R45" s="52" t="str">
        <f t="shared" si="9"/>
        <v>B</v>
      </c>
      <c r="S45" s="52" t="str">
        <f t="shared" si="10"/>
        <v>08</v>
      </c>
      <c r="T45" s="52" t="str">
        <f t="shared" si="11"/>
        <v>W</v>
      </c>
      <c r="U45" s="52" t="str">
        <f t="shared" si="12"/>
        <v>50T</v>
      </c>
    </row>
    <row r="46" spans="1:21">
      <c r="A46" s="48">
        <v>145088</v>
      </c>
      <c r="B46" s="48" t="s">
        <v>193</v>
      </c>
      <c r="C46" s="51" t="str">
        <f t="shared" si="7"/>
        <v>DMLB08M40T</v>
      </c>
      <c r="D46" s="48">
        <v>0</v>
      </c>
      <c r="E46" s="48">
        <v>0</v>
      </c>
      <c r="F46" s="48">
        <v>1660</v>
      </c>
      <c r="G46" s="48">
        <v>0</v>
      </c>
      <c r="H46" s="48">
        <v>0</v>
      </c>
      <c r="I46" s="48">
        <v>0</v>
      </c>
      <c r="J46" s="48">
        <v>0</v>
      </c>
      <c r="K46" s="48" t="s">
        <v>137</v>
      </c>
      <c r="L46" s="48" t="s">
        <v>157</v>
      </c>
      <c r="M46" s="48" t="s">
        <v>139</v>
      </c>
      <c r="N46" s="48" t="s">
        <v>148</v>
      </c>
      <c r="O46" s="48" t="s">
        <v>179</v>
      </c>
      <c r="Q46" s="52" t="str">
        <f t="shared" si="8"/>
        <v>DML</v>
      </c>
      <c r="R46" s="52" t="str">
        <f t="shared" si="9"/>
        <v>B</v>
      </c>
      <c r="S46" s="52" t="str">
        <f t="shared" si="10"/>
        <v>08</v>
      </c>
      <c r="T46" s="52" t="str">
        <f t="shared" si="11"/>
        <v>M</v>
      </c>
      <c r="U46" s="52" t="str">
        <f t="shared" si="12"/>
        <v>40T</v>
      </c>
    </row>
    <row r="47" spans="1:21">
      <c r="A47" s="48">
        <v>145089</v>
      </c>
      <c r="B47" s="48" t="s">
        <v>194</v>
      </c>
      <c r="C47" s="51" t="str">
        <f t="shared" si="7"/>
        <v>DMLB08W40T</v>
      </c>
      <c r="D47" s="48">
        <v>0</v>
      </c>
      <c r="E47" s="48">
        <v>0</v>
      </c>
      <c r="F47" s="48">
        <v>1660</v>
      </c>
      <c r="G47" s="48">
        <v>0</v>
      </c>
      <c r="H47" s="48">
        <v>0</v>
      </c>
      <c r="I47" s="48">
        <v>0</v>
      </c>
      <c r="J47" s="48">
        <v>0</v>
      </c>
      <c r="K47" s="48" t="s">
        <v>137</v>
      </c>
      <c r="L47" s="48" t="s">
        <v>157</v>
      </c>
      <c r="M47" s="48" t="s">
        <v>143</v>
      </c>
      <c r="N47" s="48" t="s">
        <v>148</v>
      </c>
      <c r="O47" s="48" t="s">
        <v>179</v>
      </c>
      <c r="Q47" s="52" t="str">
        <f t="shared" si="8"/>
        <v>DML</v>
      </c>
      <c r="R47" s="52" t="str">
        <f t="shared" si="9"/>
        <v>B</v>
      </c>
      <c r="S47" s="52" t="str">
        <f t="shared" si="10"/>
        <v>08</v>
      </c>
      <c r="T47" s="52" t="str">
        <f t="shared" si="11"/>
        <v>W</v>
      </c>
      <c r="U47" s="52" t="str">
        <f t="shared" si="12"/>
        <v>40T</v>
      </c>
    </row>
    <row r="48" spans="1:21">
      <c r="A48" s="48">
        <v>145090</v>
      </c>
      <c r="B48" s="48" t="s">
        <v>195</v>
      </c>
      <c r="C48" s="51" t="str">
        <f t="shared" si="7"/>
        <v>DMLB08M30T</v>
      </c>
      <c r="D48" s="48">
        <v>0</v>
      </c>
      <c r="E48" s="48">
        <v>0</v>
      </c>
      <c r="F48" s="48">
        <v>1660</v>
      </c>
      <c r="G48" s="48">
        <v>0</v>
      </c>
      <c r="H48" s="48">
        <v>0</v>
      </c>
      <c r="I48" s="48">
        <v>0</v>
      </c>
      <c r="J48" s="48">
        <v>0</v>
      </c>
      <c r="K48" s="48" t="s">
        <v>137</v>
      </c>
      <c r="L48" s="48" t="s">
        <v>157</v>
      </c>
      <c r="M48" s="48" t="s">
        <v>139</v>
      </c>
      <c r="N48" s="48" t="s">
        <v>151</v>
      </c>
      <c r="O48" s="48" t="s">
        <v>179</v>
      </c>
      <c r="Q48" s="52" t="str">
        <f t="shared" si="8"/>
        <v>DML</v>
      </c>
      <c r="R48" s="52" t="str">
        <f t="shared" si="9"/>
        <v>B</v>
      </c>
      <c r="S48" s="52" t="str">
        <f t="shared" si="10"/>
        <v>08</v>
      </c>
      <c r="T48" s="52" t="str">
        <f t="shared" si="11"/>
        <v>M</v>
      </c>
      <c r="U48" s="52" t="str">
        <f t="shared" si="12"/>
        <v>30T</v>
      </c>
    </row>
    <row r="49" spans="1:21">
      <c r="A49" s="48">
        <v>145091</v>
      </c>
      <c r="B49" s="48" t="s">
        <v>196</v>
      </c>
      <c r="C49" s="51" t="str">
        <f t="shared" si="7"/>
        <v>DMLB08W30T</v>
      </c>
      <c r="D49" s="48">
        <v>0</v>
      </c>
      <c r="E49" s="48">
        <v>0</v>
      </c>
      <c r="F49" s="48">
        <v>1660</v>
      </c>
      <c r="G49" s="48">
        <v>0</v>
      </c>
      <c r="H49" s="48">
        <v>0</v>
      </c>
      <c r="I49" s="48">
        <v>0</v>
      </c>
      <c r="J49" s="48">
        <v>0</v>
      </c>
      <c r="K49" s="48" t="s">
        <v>137</v>
      </c>
      <c r="L49" s="48" t="s">
        <v>157</v>
      </c>
      <c r="M49" s="48" t="s">
        <v>143</v>
      </c>
      <c r="N49" s="48" t="s">
        <v>151</v>
      </c>
      <c r="O49" s="48" t="s">
        <v>179</v>
      </c>
      <c r="Q49" s="52" t="str">
        <f t="shared" si="8"/>
        <v>DML</v>
      </c>
      <c r="R49" s="52" t="str">
        <f t="shared" si="9"/>
        <v>B</v>
      </c>
      <c r="S49" s="52" t="str">
        <f t="shared" si="10"/>
        <v>08</v>
      </c>
      <c r="T49" s="52" t="str">
        <f t="shared" si="11"/>
        <v>W</v>
      </c>
      <c r="U49" s="52" t="str">
        <f t="shared" si="12"/>
        <v>30T</v>
      </c>
    </row>
    <row r="50" spans="1:21">
      <c r="A50" s="48">
        <v>145092</v>
      </c>
      <c r="B50" s="48" t="s">
        <v>197</v>
      </c>
      <c r="C50" s="51" t="str">
        <f t="shared" si="7"/>
        <v>DMLB08M27T</v>
      </c>
      <c r="D50" s="48">
        <v>0</v>
      </c>
      <c r="E50" s="48">
        <v>0</v>
      </c>
      <c r="F50" s="48">
        <v>1660</v>
      </c>
      <c r="G50" s="48">
        <v>0</v>
      </c>
      <c r="H50" s="48">
        <v>0</v>
      </c>
      <c r="I50" s="48">
        <v>0</v>
      </c>
      <c r="J50" s="48">
        <v>0</v>
      </c>
      <c r="K50" s="48" t="s">
        <v>137</v>
      </c>
      <c r="L50" s="48" t="s">
        <v>157</v>
      </c>
      <c r="M50" s="48" t="s">
        <v>139</v>
      </c>
      <c r="N50" s="48" t="s">
        <v>154</v>
      </c>
      <c r="O50" s="48" t="s">
        <v>179</v>
      </c>
      <c r="Q50" s="52" t="str">
        <f t="shared" si="8"/>
        <v>DML</v>
      </c>
      <c r="R50" s="52" t="str">
        <f t="shared" si="9"/>
        <v>B</v>
      </c>
      <c r="S50" s="52" t="str">
        <f t="shared" si="10"/>
        <v>08</v>
      </c>
      <c r="T50" s="52" t="str">
        <f t="shared" si="11"/>
        <v>M</v>
      </c>
      <c r="U50" s="52" t="str">
        <f t="shared" si="12"/>
        <v>27T</v>
      </c>
    </row>
    <row r="51" spans="1:21">
      <c r="A51" s="48">
        <v>145093</v>
      </c>
      <c r="B51" s="48" t="s">
        <v>198</v>
      </c>
      <c r="C51" s="51" t="str">
        <f t="shared" si="7"/>
        <v>DMLB08W27T</v>
      </c>
      <c r="D51" s="48">
        <v>0</v>
      </c>
      <c r="E51" s="48">
        <v>0</v>
      </c>
      <c r="F51" s="48">
        <v>1660</v>
      </c>
      <c r="G51" s="48">
        <v>0</v>
      </c>
      <c r="H51" s="48">
        <v>0</v>
      </c>
      <c r="I51" s="48">
        <v>0</v>
      </c>
      <c r="J51" s="48">
        <v>0</v>
      </c>
      <c r="K51" s="48" t="s">
        <v>137</v>
      </c>
      <c r="L51" s="48" t="s">
        <v>157</v>
      </c>
      <c r="M51" s="48" t="s">
        <v>143</v>
      </c>
      <c r="N51" s="48" t="s">
        <v>154</v>
      </c>
      <c r="O51" s="48" t="s">
        <v>179</v>
      </c>
      <c r="Q51" s="52" t="str">
        <f t="shared" si="8"/>
        <v>DML</v>
      </c>
      <c r="R51" s="52" t="str">
        <f t="shared" si="9"/>
        <v>B</v>
      </c>
      <c r="S51" s="52" t="str">
        <f t="shared" si="10"/>
        <v>08</v>
      </c>
      <c r="T51" s="52" t="str">
        <f t="shared" si="11"/>
        <v>W</v>
      </c>
      <c r="U51" s="52" t="str">
        <f t="shared" si="12"/>
        <v>27T</v>
      </c>
    </row>
    <row r="52" spans="1:21">
      <c r="A52" s="48">
        <v>145100</v>
      </c>
      <c r="B52" s="48" t="s">
        <v>199</v>
      </c>
      <c r="C52" s="51" t="str">
        <f t="shared" si="7"/>
        <v>DMLT08M60T</v>
      </c>
      <c r="D52" s="48">
        <v>0</v>
      </c>
      <c r="E52" s="48">
        <v>0</v>
      </c>
      <c r="F52" s="48">
        <v>1721</v>
      </c>
      <c r="G52" s="48">
        <v>0</v>
      </c>
      <c r="H52" s="48">
        <v>0</v>
      </c>
      <c r="I52" s="48">
        <v>0</v>
      </c>
      <c r="J52" s="48">
        <v>0</v>
      </c>
      <c r="K52" s="48" t="s">
        <v>137</v>
      </c>
      <c r="L52" s="48" t="s">
        <v>168</v>
      </c>
      <c r="M52" s="48" t="s">
        <v>139</v>
      </c>
      <c r="N52" s="48" t="s">
        <v>140</v>
      </c>
      <c r="O52" s="48" t="s">
        <v>179</v>
      </c>
      <c r="Q52" s="52" t="str">
        <f t="shared" si="8"/>
        <v>DML</v>
      </c>
      <c r="R52" s="52" t="str">
        <f t="shared" si="9"/>
        <v>T</v>
      </c>
      <c r="S52" s="52" t="str">
        <f t="shared" si="10"/>
        <v>08</v>
      </c>
      <c r="T52" s="52" t="str">
        <f t="shared" si="11"/>
        <v>M</v>
      </c>
      <c r="U52" s="52" t="str">
        <f t="shared" si="12"/>
        <v>60T</v>
      </c>
    </row>
    <row r="53" spans="1:21">
      <c r="A53" s="48">
        <v>145101</v>
      </c>
      <c r="B53" s="48" t="s">
        <v>12</v>
      </c>
      <c r="C53" s="51" t="str">
        <f t="shared" si="7"/>
        <v>DMLT08W60T</v>
      </c>
      <c r="D53" s="48">
        <v>0</v>
      </c>
      <c r="E53" s="48">
        <v>0</v>
      </c>
      <c r="F53" s="48">
        <v>1721</v>
      </c>
      <c r="G53" s="48">
        <v>0</v>
      </c>
      <c r="H53" s="48">
        <v>0</v>
      </c>
      <c r="I53" s="48">
        <v>0</v>
      </c>
      <c r="J53" s="48">
        <v>0</v>
      </c>
      <c r="K53" s="48" t="s">
        <v>137</v>
      </c>
      <c r="L53" s="48" t="s">
        <v>168</v>
      </c>
      <c r="M53" s="48" t="s">
        <v>143</v>
      </c>
      <c r="N53" s="48" t="s">
        <v>140</v>
      </c>
      <c r="O53" s="48" t="s">
        <v>179</v>
      </c>
      <c r="Q53" s="52" t="str">
        <f t="shared" si="8"/>
        <v>DML</v>
      </c>
      <c r="R53" s="52" t="str">
        <f t="shared" si="9"/>
        <v>T</v>
      </c>
      <c r="S53" s="52" t="str">
        <f t="shared" si="10"/>
        <v>08</v>
      </c>
      <c r="T53" s="52" t="str">
        <f t="shared" si="11"/>
        <v>W</v>
      </c>
      <c r="U53" s="52" t="str">
        <f t="shared" si="12"/>
        <v>60T</v>
      </c>
    </row>
    <row r="54" spans="1:21">
      <c r="A54" s="48">
        <v>145102</v>
      </c>
      <c r="B54" s="48" t="s">
        <v>200</v>
      </c>
      <c r="C54" s="51" t="str">
        <f t="shared" si="7"/>
        <v>DMLT08M50T</v>
      </c>
      <c r="D54" s="48">
        <v>0</v>
      </c>
      <c r="E54" s="48">
        <v>0</v>
      </c>
      <c r="F54" s="48">
        <v>1721</v>
      </c>
      <c r="G54" s="48">
        <v>0</v>
      </c>
      <c r="H54" s="48">
        <v>0</v>
      </c>
      <c r="I54" s="48">
        <v>0</v>
      </c>
      <c r="J54" s="48">
        <v>0</v>
      </c>
      <c r="K54" s="48" t="s">
        <v>137</v>
      </c>
      <c r="L54" s="48" t="s">
        <v>168</v>
      </c>
      <c r="M54" s="48" t="s">
        <v>139</v>
      </c>
      <c r="N54" s="48" t="s">
        <v>145</v>
      </c>
      <c r="O54" s="48" t="s">
        <v>179</v>
      </c>
      <c r="Q54" s="52" t="str">
        <f t="shared" si="8"/>
        <v>DML</v>
      </c>
      <c r="R54" s="52" t="str">
        <f t="shared" si="9"/>
        <v>T</v>
      </c>
      <c r="S54" s="52" t="str">
        <f t="shared" si="10"/>
        <v>08</v>
      </c>
      <c r="T54" s="52" t="str">
        <f t="shared" si="11"/>
        <v>M</v>
      </c>
      <c r="U54" s="52" t="str">
        <f t="shared" si="12"/>
        <v>50T</v>
      </c>
    </row>
    <row r="55" spans="1:21">
      <c r="A55" s="48">
        <v>145103</v>
      </c>
      <c r="B55" s="48" t="s">
        <v>201</v>
      </c>
      <c r="C55" s="51" t="str">
        <f t="shared" si="7"/>
        <v>DMLT08W50T</v>
      </c>
      <c r="D55" s="48">
        <v>0</v>
      </c>
      <c r="E55" s="48">
        <v>0</v>
      </c>
      <c r="F55" s="48">
        <v>1721</v>
      </c>
      <c r="G55" s="48">
        <v>0</v>
      </c>
      <c r="H55" s="48">
        <v>0</v>
      </c>
      <c r="I55" s="48">
        <v>0</v>
      </c>
      <c r="J55" s="48">
        <v>0</v>
      </c>
      <c r="K55" s="48" t="s">
        <v>137</v>
      </c>
      <c r="L55" s="48" t="s">
        <v>168</v>
      </c>
      <c r="M55" s="48" t="s">
        <v>143</v>
      </c>
      <c r="N55" s="48" t="s">
        <v>145</v>
      </c>
      <c r="O55" s="48" t="s">
        <v>179</v>
      </c>
      <c r="Q55" s="52" t="str">
        <f t="shared" si="8"/>
        <v>DML</v>
      </c>
      <c r="R55" s="52" t="str">
        <f t="shared" si="9"/>
        <v>T</v>
      </c>
      <c r="S55" s="52" t="str">
        <f t="shared" si="10"/>
        <v>08</v>
      </c>
      <c r="T55" s="52" t="str">
        <f t="shared" si="11"/>
        <v>W</v>
      </c>
      <c r="U55" s="52" t="str">
        <f t="shared" si="12"/>
        <v>50T</v>
      </c>
    </row>
    <row r="56" spans="1:21">
      <c r="A56" s="48">
        <v>145104</v>
      </c>
      <c r="B56" s="48" t="s">
        <v>202</v>
      </c>
      <c r="C56" s="51" t="str">
        <f t="shared" si="7"/>
        <v>DMLT08M40T</v>
      </c>
      <c r="D56" s="48">
        <v>0</v>
      </c>
      <c r="E56" s="48">
        <v>0</v>
      </c>
      <c r="F56" s="48">
        <v>1721</v>
      </c>
      <c r="G56" s="48">
        <v>0</v>
      </c>
      <c r="H56" s="48">
        <v>0</v>
      </c>
      <c r="I56" s="48">
        <v>0</v>
      </c>
      <c r="J56" s="48">
        <v>0</v>
      </c>
      <c r="K56" s="48" t="s">
        <v>137</v>
      </c>
      <c r="L56" s="48" t="s">
        <v>168</v>
      </c>
      <c r="M56" s="48" t="s">
        <v>139</v>
      </c>
      <c r="N56" s="48" t="s">
        <v>148</v>
      </c>
      <c r="O56" s="48" t="s">
        <v>179</v>
      </c>
      <c r="Q56" s="52" t="str">
        <f t="shared" si="8"/>
        <v>DML</v>
      </c>
      <c r="R56" s="52" t="str">
        <f t="shared" si="9"/>
        <v>T</v>
      </c>
      <c r="S56" s="52" t="str">
        <f t="shared" si="10"/>
        <v>08</v>
      </c>
      <c r="T56" s="52" t="str">
        <f t="shared" si="11"/>
        <v>M</v>
      </c>
      <c r="U56" s="52" t="str">
        <f t="shared" si="12"/>
        <v>40T</v>
      </c>
    </row>
    <row r="57" spans="1:21">
      <c r="A57" s="48">
        <v>145105</v>
      </c>
      <c r="B57" s="48" t="s">
        <v>203</v>
      </c>
      <c r="C57" s="51" t="str">
        <f t="shared" si="7"/>
        <v>DMLT08W40T</v>
      </c>
      <c r="D57" s="48">
        <v>0</v>
      </c>
      <c r="E57" s="48">
        <v>0</v>
      </c>
      <c r="F57" s="48">
        <v>1721</v>
      </c>
      <c r="G57" s="48">
        <v>0</v>
      </c>
      <c r="H57" s="48">
        <v>0</v>
      </c>
      <c r="I57" s="48">
        <v>0</v>
      </c>
      <c r="J57" s="48">
        <v>0</v>
      </c>
      <c r="K57" s="48" t="s">
        <v>137</v>
      </c>
      <c r="L57" s="48" t="s">
        <v>168</v>
      </c>
      <c r="M57" s="48" t="s">
        <v>143</v>
      </c>
      <c r="N57" s="48" t="s">
        <v>148</v>
      </c>
      <c r="O57" s="48" t="s">
        <v>179</v>
      </c>
      <c r="Q57" s="52" t="str">
        <f t="shared" si="8"/>
        <v>DML</v>
      </c>
      <c r="R57" s="52" t="str">
        <f t="shared" si="9"/>
        <v>T</v>
      </c>
      <c r="S57" s="52" t="str">
        <f t="shared" si="10"/>
        <v>08</v>
      </c>
      <c r="T57" s="52" t="str">
        <f t="shared" si="11"/>
        <v>W</v>
      </c>
      <c r="U57" s="52" t="str">
        <f t="shared" si="12"/>
        <v>40T</v>
      </c>
    </row>
    <row r="58" spans="1:21">
      <c r="A58" s="48">
        <v>145106</v>
      </c>
      <c r="B58" s="48" t="s">
        <v>204</v>
      </c>
      <c r="C58" s="51" t="str">
        <f t="shared" si="7"/>
        <v>DMLT08M30T</v>
      </c>
      <c r="D58" s="48">
        <v>0</v>
      </c>
      <c r="E58" s="48">
        <v>0</v>
      </c>
      <c r="F58" s="48">
        <v>1721</v>
      </c>
      <c r="G58" s="48">
        <v>0</v>
      </c>
      <c r="H58" s="48">
        <v>0</v>
      </c>
      <c r="I58" s="48">
        <v>0</v>
      </c>
      <c r="J58" s="48">
        <v>0</v>
      </c>
      <c r="K58" s="48" t="s">
        <v>137</v>
      </c>
      <c r="L58" s="48" t="s">
        <v>168</v>
      </c>
      <c r="M58" s="48" t="s">
        <v>139</v>
      </c>
      <c r="N58" s="48" t="s">
        <v>151</v>
      </c>
      <c r="O58" s="48" t="s">
        <v>179</v>
      </c>
      <c r="Q58" s="52" t="str">
        <f t="shared" si="8"/>
        <v>DML</v>
      </c>
      <c r="R58" s="52" t="str">
        <f t="shared" si="9"/>
        <v>T</v>
      </c>
      <c r="S58" s="52" t="str">
        <f t="shared" si="10"/>
        <v>08</v>
      </c>
      <c r="T58" s="52" t="str">
        <f t="shared" si="11"/>
        <v>M</v>
      </c>
      <c r="U58" s="52" t="str">
        <f t="shared" si="12"/>
        <v>30T</v>
      </c>
    </row>
    <row r="59" spans="1:21">
      <c r="A59" s="48">
        <v>145107</v>
      </c>
      <c r="B59" s="48" t="s">
        <v>205</v>
      </c>
      <c r="C59" s="51" t="str">
        <f t="shared" si="7"/>
        <v>DMLT08W30T</v>
      </c>
      <c r="D59" s="48">
        <v>0</v>
      </c>
      <c r="E59" s="48">
        <v>0</v>
      </c>
      <c r="F59" s="48">
        <v>1721</v>
      </c>
      <c r="G59" s="48">
        <v>0</v>
      </c>
      <c r="H59" s="48">
        <v>0</v>
      </c>
      <c r="I59" s="48">
        <v>0</v>
      </c>
      <c r="J59" s="48">
        <v>0</v>
      </c>
      <c r="K59" s="48" t="s">
        <v>137</v>
      </c>
      <c r="L59" s="48" t="s">
        <v>168</v>
      </c>
      <c r="M59" s="48" t="s">
        <v>143</v>
      </c>
      <c r="N59" s="48" t="s">
        <v>151</v>
      </c>
      <c r="O59" s="48" t="s">
        <v>179</v>
      </c>
      <c r="Q59" s="52" t="str">
        <f t="shared" si="8"/>
        <v>DML</v>
      </c>
      <c r="R59" s="52" t="str">
        <f t="shared" si="9"/>
        <v>T</v>
      </c>
      <c r="S59" s="52" t="str">
        <f t="shared" si="10"/>
        <v>08</v>
      </c>
      <c r="T59" s="52" t="str">
        <f t="shared" si="11"/>
        <v>W</v>
      </c>
      <c r="U59" s="52" t="str">
        <f t="shared" si="12"/>
        <v>30T</v>
      </c>
    </row>
    <row r="60" spans="1:21">
      <c r="A60" s="48">
        <v>145108</v>
      </c>
      <c r="B60" s="48" t="s">
        <v>206</v>
      </c>
      <c r="C60" s="51" t="str">
        <f t="shared" si="7"/>
        <v>DMLT08M27T</v>
      </c>
      <c r="D60" s="48">
        <v>0</v>
      </c>
      <c r="E60" s="48">
        <v>0</v>
      </c>
      <c r="F60" s="48">
        <v>1721</v>
      </c>
      <c r="G60" s="48">
        <v>0</v>
      </c>
      <c r="H60" s="48">
        <v>0</v>
      </c>
      <c r="I60" s="48">
        <v>0</v>
      </c>
      <c r="J60" s="48">
        <v>0</v>
      </c>
      <c r="K60" s="48" t="s">
        <v>137</v>
      </c>
      <c r="L60" s="48" t="s">
        <v>168</v>
      </c>
      <c r="M60" s="48" t="s">
        <v>139</v>
      </c>
      <c r="N60" s="48" t="s">
        <v>154</v>
      </c>
      <c r="O60" s="48" t="s">
        <v>179</v>
      </c>
      <c r="Q60" s="52" t="str">
        <f t="shared" si="8"/>
        <v>DML</v>
      </c>
      <c r="R60" s="52" t="str">
        <f t="shared" si="9"/>
        <v>T</v>
      </c>
      <c r="S60" s="52" t="str">
        <f t="shared" si="10"/>
        <v>08</v>
      </c>
      <c r="T60" s="52" t="str">
        <f t="shared" si="11"/>
        <v>M</v>
      </c>
      <c r="U60" s="52" t="str">
        <f t="shared" si="12"/>
        <v>27T</v>
      </c>
    </row>
    <row r="61" spans="1:21">
      <c r="A61" s="48">
        <v>145109</v>
      </c>
      <c r="B61" s="48" t="s">
        <v>207</v>
      </c>
      <c r="C61" s="51" t="str">
        <f t="shared" si="7"/>
        <v>DMLT08W27T</v>
      </c>
      <c r="D61" s="48">
        <v>0</v>
      </c>
      <c r="E61" s="48">
        <v>0</v>
      </c>
      <c r="F61" s="48">
        <v>1721</v>
      </c>
      <c r="G61" s="48">
        <v>0</v>
      </c>
      <c r="H61" s="48">
        <v>0</v>
      </c>
      <c r="I61" s="48">
        <v>0</v>
      </c>
      <c r="J61" s="48">
        <v>0</v>
      </c>
      <c r="K61" s="48" t="s">
        <v>137</v>
      </c>
      <c r="L61" s="48" t="s">
        <v>168</v>
      </c>
      <c r="M61" s="48" t="s">
        <v>143</v>
      </c>
      <c r="N61" s="48" t="s">
        <v>154</v>
      </c>
      <c r="O61" s="48" t="s">
        <v>179</v>
      </c>
      <c r="Q61" s="52" t="str">
        <f t="shared" si="8"/>
        <v>DML</v>
      </c>
      <c r="R61" s="52" t="str">
        <f t="shared" si="9"/>
        <v>T</v>
      </c>
      <c r="S61" s="52" t="str">
        <f t="shared" si="10"/>
        <v>08</v>
      </c>
      <c r="T61" s="52" t="str">
        <f t="shared" si="11"/>
        <v>W</v>
      </c>
      <c r="U61" s="52" t="str">
        <f t="shared" si="12"/>
        <v>27T</v>
      </c>
    </row>
    <row r="62" spans="1:21">
      <c r="A62" s="48">
        <v>145164</v>
      </c>
      <c r="B62" s="48" t="s">
        <v>208</v>
      </c>
      <c r="C62" s="51" t="str">
        <f t="shared" ref="C62:C97" si="13">_xlfn.CONCAT(Q62,R62,S62,T62,U62)</f>
        <v>DMLR08M60I</v>
      </c>
      <c r="D62" s="48">
        <v>0</v>
      </c>
      <c r="E62" s="48">
        <v>0</v>
      </c>
      <c r="F62" s="48">
        <v>2741</v>
      </c>
      <c r="G62" s="48">
        <v>0</v>
      </c>
      <c r="H62" s="48">
        <v>0</v>
      </c>
      <c r="I62" s="48">
        <v>0</v>
      </c>
      <c r="J62" s="48">
        <v>0</v>
      </c>
      <c r="K62" s="48" t="s">
        <v>137</v>
      </c>
      <c r="L62" s="48" t="s">
        <v>138</v>
      </c>
      <c r="M62" s="48" t="s">
        <v>139</v>
      </c>
      <c r="N62" s="48" t="s">
        <v>140</v>
      </c>
      <c r="O62" s="48" t="s">
        <v>209</v>
      </c>
      <c r="Q62" s="52" t="str">
        <f t="shared" ref="Q62:Q97" si="14">MID(B62,1,3)</f>
        <v>DML</v>
      </c>
      <c r="R62" s="52" t="str">
        <f t="shared" ref="R62:R97" si="15">MID(B62,4,1)</f>
        <v>R</v>
      </c>
      <c r="S62" s="52" t="str">
        <f t="shared" ref="S62:S97" si="16">MID(B62,5,2)</f>
        <v>08</v>
      </c>
      <c r="T62" s="52" t="str">
        <f t="shared" ref="T62:T97" si="17">MID(B62,7,1)</f>
        <v>M</v>
      </c>
      <c r="U62" s="52" t="str">
        <f t="shared" ref="U62:U93" si="18">MID(B62,8,5)</f>
        <v>60I</v>
      </c>
    </row>
    <row r="63" spans="1:21">
      <c r="A63" s="48">
        <v>145165</v>
      </c>
      <c r="B63" s="48" t="s">
        <v>210</v>
      </c>
      <c r="C63" s="51" t="str">
        <f t="shared" si="13"/>
        <v>DMLR08W60I</v>
      </c>
      <c r="D63" s="48">
        <v>0</v>
      </c>
      <c r="E63" s="48">
        <v>0</v>
      </c>
      <c r="F63" s="48">
        <v>2741</v>
      </c>
      <c r="G63" s="48">
        <v>0</v>
      </c>
      <c r="H63" s="48">
        <v>0</v>
      </c>
      <c r="I63" s="48">
        <v>0</v>
      </c>
      <c r="J63" s="48">
        <v>0</v>
      </c>
      <c r="K63" s="48" t="s">
        <v>137</v>
      </c>
      <c r="L63" s="48" t="s">
        <v>138</v>
      </c>
      <c r="M63" s="48" t="s">
        <v>143</v>
      </c>
      <c r="N63" s="48" t="s">
        <v>140</v>
      </c>
      <c r="O63" s="48" t="s">
        <v>209</v>
      </c>
      <c r="Q63" s="52" t="str">
        <f t="shared" si="14"/>
        <v>DML</v>
      </c>
      <c r="R63" s="52" t="str">
        <f t="shared" si="15"/>
        <v>R</v>
      </c>
      <c r="S63" s="52" t="str">
        <f t="shared" si="16"/>
        <v>08</v>
      </c>
      <c r="T63" s="52" t="str">
        <f t="shared" si="17"/>
        <v>W</v>
      </c>
      <c r="U63" s="52" t="str">
        <f t="shared" si="18"/>
        <v>60I</v>
      </c>
    </row>
    <row r="64" spans="1:21">
      <c r="A64" s="48">
        <v>145166</v>
      </c>
      <c r="B64" s="48" t="s">
        <v>211</v>
      </c>
      <c r="C64" s="51" t="str">
        <f t="shared" si="13"/>
        <v>DMLR08M50I</v>
      </c>
      <c r="D64" s="48">
        <v>0</v>
      </c>
      <c r="E64" s="48">
        <v>0</v>
      </c>
      <c r="F64" s="48">
        <v>2741</v>
      </c>
      <c r="G64" s="48">
        <v>0</v>
      </c>
      <c r="H64" s="48">
        <v>0</v>
      </c>
      <c r="I64" s="48">
        <v>0</v>
      </c>
      <c r="J64" s="48">
        <v>0</v>
      </c>
      <c r="K64" s="48" t="s">
        <v>137</v>
      </c>
      <c r="L64" s="48" t="s">
        <v>138</v>
      </c>
      <c r="M64" s="48" t="s">
        <v>139</v>
      </c>
      <c r="N64" s="48" t="s">
        <v>145</v>
      </c>
      <c r="O64" s="48" t="s">
        <v>209</v>
      </c>
      <c r="Q64" s="52" t="str">
        <f t="shared" si="14"/>
        <v>DML</v>
      </c>
      <c r="R64" s="52" t="str">
        <f t="shared" si="15"/>
        <v>R</v>
      </c>
      <c r="S64" s="52" t="str">
        <f t="shared" si="16"/>
        <v>08</v>
      </c>
      <c r="T64" s="52" t="str">
        <f t="shared" si="17"/>
        <v>M</v>
      </c>
      <c r="U64" s="52" t="str">
        <f t="shared" si="18"/>
        <v>50I</v>
      </c>
    </row>
    <row r="65" spans="1:21">
      <c r="A65" s="48">
        <v>145167</v>
      </c>
      <c r="B65" s="48" t="s">
        <v>212</v>
      </c>
      <c r="C65" s="51" t="str">
        <f t="shared" si="13"/>
        <v>DMLR08W50I</v>
      </c>
      <c r="D65" s="48">
        <v>0</v>
      </c>
      <c r="E65" s="48">
        <v>0</v>
      </c>
      <c r="F65" s="48">
        <v>2741</v>
      </c>
      <c r="G65" s="48">
        <v>0</v>
      </c>
      <c r="H65" s="48">
        <v>0</v>
      </c>
      <c r="I65" s="48">
        <v>0</v>
      </c>
      <c r="J65" s="48">
        <v>0</v>
      </c>
      <c r="K65" s="48" t="s">
        <v>137</v>
      </c>
      <c r="L65" s="48" t="s">
        <v>138</v>
      </c>
      <c r="M65" s="48" t="s">
        <v>143</v>
      </c>
      <c r="N65" s="48" t="s">
        <v>145</v>
      </c>
      <c r="O65" s="48" t="s">
        <v>209</v>
      </c>
      <c r="Q65" s="52" t="str">
        <f t="shared" si="14"/>
        <v>DML</v>
      </c>
      <c r="R65" s="52" t="str">
        <f t="shared" si="15"/>
        <v>R</v>
      </c>
      <c r="S65" s="52" t="str">
        <f t="shared" si="16"/>
        <v>08</v>
      </c>
      <c r="T65" s="52" t="str">
        <f t="shared" si="17"/>
        <v>W</v>
      </c>
      <c r="U65" s="52" t="str">
        <f t="shared" si="18"/>
        <v>50I</v>
      </c>
    </row>
    <row r="66" spans="1:21">
      <c r="A66" s="48">
        <v>145168</v>
      </c>
      <c r="B66" s="48" t="s">
        <v>213</v>
      </c>
      <c r="C66" s="51" t="str">
        <f t="shared" si="13"/>
        <v>DMLR08M40I</v>
      </c>
      <c r="D66" s="48">
        <v>0</v>
      </c>
      <c r="E66" s="48">
        <v>0</v>
      </c>
      <c r="F66" s="48">
        <v>2741</v>
      </c>
      <c r="G66" s="48">
        <v>0</v>
      </c>
      <c r="H66" s="48">
        <v>0</v>
      </c>
      <c r="I66" s="48">
        <v>0</v>
      </c>
      <c r="J66" s="48">
        <v>0</v>
      </c>
      <c r="K66" s="48" t="s">
        <v>137</v>
      </c>
      <c r="L66" s="48" t="s">
        <v>138</v>
      </c>
      <c r="M66" s="48" t="s">
        <v>139</v>
      </c>
      <c r="N66" s="48" t="s">
        <v>148</v>
      </c>
      <c r="O66" s="48" t="s">
        <v>209</v>
      </c>
      <c r="Q66" s="52" t="str">
        <f t="shared" si="14"/>
        <v>DML</v>
      </c>
      <c r="R66" s="52" t="str">
        <f t="shared" si="15"/>
        <v>R</v>
      </c>
      <c r="S66" s="52" t="str">
        <f t="shared" si="16"/>
        <v>08</v>
      </c>
      <c r="T66" s="52" t="str">
        <f t="shared" si="17"/>
        <v>M</v>
      </c>
      <c r="U66" s="52" t="str">
        <f t="shared" si="18"/>
        <v>40I</v>
      </c>
    </row>
    <row r="67" spans="1:21">
      <c r="A67" s="48">
        <v>145169</v>
      </c>
      <c r="B67" s="48" t="s">
        <v>214</v>
      </c>
      <c r="C67" s="51" t="str">
        <f t="shared" si="13"/>
        <v>DMLR08W40I</v>
      </c>
      <c r="D67" s="48">
        <v>0</v>
      </c>
      <c r="E67" s="48">
        <v>0</v>
      </c>
      <c r="F67" s="48">
        <v>2741</v>
      </c>
      <c r="G67" s="48">
        <v>0</v>
      </c>
      <c r="H67" s="48">
        <v>0</v>
      </c>
      <c r="I67" s="48">
        <v>0</v>
      </c>
      <c r="J67" s="48">
        <v>0</v>
      </c>
      <c r="K67" s="48" t="s">
        <v>137</v>
      </c>
      <c r="L67" s="48" t="s">
        <v>138</v>
      </c>
      <c r="M67" s="48" t="s">
        <v>143</v>
      </c>
      <c r="N67" s="48" t="s">
        <v>148</v>
      </c>
      <c r="O67" s="48" t="s">
        <v>209</v>
      </c>
      <c r="Q67" s="52" t="str">
        <f t="shared" si="14"/>
        <v>DML</v>
      </c>
      <c r="R67" s="52" t="str">
        <f t="shared" si="15"/>
        <v>R</v>
      </c>
      <c r="S67" s="52" t="str">
        <f t="shared" si="16"/>
        <v>08</v>
      </c>
      <c r="T67" s="52" t="str">
        <f t="shared" si="17"/>
        <v>W</v>
      </c>
      <c r="U67" s="52" t="str">
        <f t="shared" si="18"/>
        <v>40I</v>
      </c>
    </row>
    <row r="68" spans="1:21">
      <c r="A68" s="48">
        <v>145170</v>
      </c>
      <c r="B68" s="48" t="s">
        <v>215</v>
      </c>
      <c r="C68" s="51" t="str">
        <f t="shared" si="13"/>
        <v>DMLR08M30I</v>
      </c>
      <c r="D68" s="48">
        <v>0</v>
      </c>
      <c r="E68" s="48">
        <v>0</v>
      </c>
      <c r="F68" s="48">
        <v>2741</v>
      </c>
      <c r="G68" s="48">
        <v>0</v>
      </c>
      <c r="H68" s="48">
        <v>0</v>
      </c>
      <c r="I68" s="48">
        <v>0</v>
      </c>
      <c r="J68" s="48">
        <v>0</v>
      </c>
      <c r="K68" s="48" t="s">
        <v>137</v>
      </c>
      <c r="L68" s="48" t="s">
        <v>138</v>
      </c>
      <c r="M68" s="48" t="s">
        <v>139</v>
      </c>
      <c r="N68" s="48" t="s">
        <v>151</v>
      </c>
      <c r="O68" s="48" t="s">
        <v>209</v>
      </c>
      <c r="Q68" s="52" t="str">
        <f t="shared" si="14"/>
        <v>DML</v>
      </c>
      <c r="R68" s="52" t="str">
        <f t="shared" si="15"/>
        <v>R</v>
      </c>
      <c r="S68" s="52" t="str">
        <f t="shared" si="16"/>
        <v>08</v>
      </c>
      <c r="T68" s="52" t="str">
        <f t="shared" si="17"/>
        <v>M</v>
      </c>
      <c r="U68" s="52" t="str">
        <f t="shared" si="18"/>
        <v>30I</v>
      </c>
    </row>
    <row r="69" spans="1:21">
      <c r="A69" s="48">
        <v>145171</v>
      </c>
      <c r="B69" s="48" t="s">
        <v>216</v>
      </c>
      <c r="C69" s="51" t="str">
        <f t="shared" si="13"/>
        <v>DMLR08W30I</v>
      </c>
      <c r="D69" s="48">
        <v>0</v>
      </c>
      <c r="E69" s="48">
        <v>0</v>
      </c>
      <c r="F69" s="48">
        <v>2741</v>
      </c>
      <c r="G69" s="48">
        <v>0</v>
      </c>
      <c r="H69" s="48">
        <v>0</v>
      </c>
      <c r="I69" s="48">
        <v>0</v>
      </c>
      <c r="J69" s="48">
        <v>0</v>
      </c>
      <c r="K69" s="48" t="s">
        <v>137</v>
      </c>
      <c r="L69" s="48" t="s">
        <v>138</v>
      </c>
      <c r="M69" s="48" t="s">
        <v>143</v>
      </c>
      <c r="N69" s="48" t="s">
        <v>151</v>
      </c>
      <c r="O69" s="48" t="s">
        <v>209</v>
      </c>
      <c r="Q69" s="52" t="str">
        <f t="shared" si="14"/>
        <v>DML</v>
      </c>
      <c r="R69" s="52" t="str">
        <f t="shared" si="15"/>
        <v>R</v>
      </c>
      <c r="S69" s="52" t="str">
        <f t="shared" si="16"/>
        <v>08</v>
      </c>
      <c r="T69" s="52" t="str">
        <f t="shared" si="17"/>
        <v>W</v>
      </c>
      <c r="U69" s="52" t="str">
        <f t="shared" si="18"/>
        <v>30I</v>
      </c>
    </row>
    <row r="70" spans="1:21">
      <c r="A70" s="48">
        <v>145172</v>
      </c>
      <c r="B70" s="48" t="s">
        <v>217</v>
      </c>
      <c r="C70" s="51" t="str">
        <f t="shared" si="13"/>
        <v>DMLR08M27I</v>
      </c>
      <c r="D70" s="48">
        <v>0</v>
      </c>
      <c r="E70" s="48">
        <v>0</v>
      </c>
      <c r="F70" s="48">
        <v>2741</v>
      </c>
      <c r="G70" s="48">
        <v>0</v>
      </c>
      <c r="H70" s="48">
        <v>0</v>
      </c>
      <c r="I70" s="48">
        <v>0</v>
      </c>
      <c r="J70" s="48">
        <v>0</v>
      </c>
      <c r="K70" s="48" t="s">
        <v>137</v>
      </c>
      <c r="L70" s="48" t="s">
        <v>138</v>
      </c>
      <c r="M70" s="48" t="s">
        <v>139</v>
      </c>
      <c r="N70" s="48" t="s">
        <v>154</v>
      </c>
      <c r="O70" s="48" t="s">
        <v>209</v>
      </c>
      <c r="Q70" s="52" t="str">
        <f t="shared" si="14"/>
        <v>DML</v>
      </c>
      <c r="R70" s="52" t="str">
        <f t="shared" si="15"/>
        <v>R</v>
      </c>
      <c r="S70" s="52" t="str">
        <f t="shared" si="16"/>
        <v>08</v>
      </c>
      <c r="T70" s="52" t="str">
        <f t="shared" si="17"/>
        <v>M</v>
      </c>
      <c r="U70" s="52" t="str">
        <f t="shared" si="18"/>
        <v>27I</v>
      </c>
    </row>
    <row r="71" spans="1:21">
      <c r="A71" s="48">
        <v>145173</v>
      </c>
      <c r="B71" s="48" t="s">
        <v>218</v>
      </c>
      <c r="C71" s="51" t="str">
        <f t="shared" si="13"/>
        <v>DMLR08W27I</v>
      </c>
      <c r="D71" s="48">
        <v>0</v>
      </c>
      <c r="E71" s="48">
        <v>0</v>
      </c>
      <c r="F71" s="48">
        <v>2741</v>
      </c>
      <c r="G71" s="48">
        <v>0</v>
      </c>
      <c r="H71" s="48">
        <v>0</v>
      </c>
      <c r="I71" s="48">
        <v>0</v>
      </c>
      <c r="J71" s="48">
        <v>0</v>
      </c>
      <c r="K71" s="48" t="s">
        <v>137</v>
      </c>
      <c r="L71" s="48" t="s">
        <v>138</v>
      </c>
      <c r="M71" s="48" t="s">
        <v>143</v>
      </c>
      <c r="N71" s="48" t="s">
        <v>154</v>
      </c>
      <c r="O71" s="48" t="s">
        <v>209</v>
      </c>
      <c r="Q71" s="52" t="str">
        <f t="shared" si="14"/>
        <v>DML</v>
      </c>
      <c r="R71" s="52" t="str">
        <f t="shared" si="15"/>
        <v>R</v>
      </c>
      <c r="S71" s="52" t="str">
        <f t="shared" si="16"/>
        <v>08</v>
      </c>
      <c r="T71" s="52" t="str">
        <f t="shared" si="17"/>
        <v>W</v>
      </c>
      <c r="U71" s="52" t="str">
        <f t="shared" si="18"/>
        <v>27I</v>
      </c>
    </row>
    <row r="72" spans="1:21">
      <c r="A72" s="48">
        <v>145180</v>
      </c>
      <c r="B72" s="48" t="s">
        <v>219</v>
      </c>
      <c r="C72" s="51" t="str">
        <f t="shared" si="13"/>
        <v>DMLB08M60I</v>
      </c>
      <c r="D72" s="48">
        <v>0</v>
      </c>
      <c r="E72" s="48">
        <v>0</v>
      </c>
      <c r="F72" s="48">
        <v>2799</v>
      </c>
      <c r="G72" s="48">
        <v>0</v>
      </c>
      <c r="H72" s="48">
        <v>0</v>
      </c>
      <c r="I72" s="48">
        <v>0</v>
      </c>
      <c r="J72" s="48">
        <v>0</v>
      </c>
      <c r="K72" s="48" t="s">
        <v>137</v>
      </c>
      <c r="L72" s="48" t="s">
        <v>157</v>
      </c>
      <c r="M72" s="48" t="s">
        <v>139</v>
      </c>
      <c r="N72" s="48" t="s">
        <v>140</v>
      </c>
      <c r="O72" s="48" t="s">
        <v>209</v>
      </c>
      <c r="Q72" s="52" t="str">
        <f t="shared" si="14"/>
        <v>DML</v>
      </c>
      <c r="R72" s="52" t="str">
        <f t="shared" si="15"/>
        <v>B</v>
      </c>
      <c r="S72" s="52" t="str">
        <f t="shared" si="16"/>
        <v>08</v>
      </c>
      <c r="T72" s="52" t="str">
        <f t="shared" si="17"/>
        <v>M</v>
      </c>
      <c r="U72" s="52" t="str">
        <f t="shared" si="18"/>
        <v>60I</v>
      </c>
    </row>
    <row r="73" spans="1:21">
      <c r="A73" s="48">
        <v>145181</v>
      </c>
      <c r="B73" s="48" t="s">
        <v>220</v>
      </c>
      <c r="C73" s="51" t="str">
        <f t="shared" si="13"/>
        <v>DMLB08W60I</v>
      </c>
      <c r="D73" s="48">
        <v>0</v>
      </c>
      <c r="E73" s="48">
        <v>0</v>
      </c>
      <c r="F73" s="48">
        <v>2799</v>
      </c>
      <c r="G73" s="48">
        <v>0</v>
      </c>
      <c r="H73" s="48">
        <v>0</v>
      </c>
      <c r="I73" s="48">
        <v>0</v>
      </c>
      <c r="J73" s="48">
        <v>0</v>
      </c>
      <c r="K73" s="48" t="s">
        <v>137</v>
      </c>
      <c r="L73" s="48" t="s">
        <v>157</v>
      </c>
      <c r="M73" s="48" t="s">
        <v>143</v>
      </c>
      <c r="N73" s="48" t="s">
        <v>140</v>
      </c>
      <c r="O73" s="48" t="s">
        <v>209</v>
      </c>
      <c r="Q73" s="52" t="str">
        <f t="shared" si="14"/>
        <v>DML</v>
      </c>
      <c r="R73" s="52" t="str">
        <f t="shared" si="15"/>
        <v>B</v>
      </c>
      <c r="S73" s="52" t="str">
        <f t="shared" si="16"/>
        <v>08</v>
      </c>
      <c r="T73" s="52" t="str">
        <f t="shared" si="17"/>
        <v>W</v>
      </c>
      <c r="U73" s="52" t="str">
        <f t="shared" si="18"/>
        <v>60I</v>
      </c>
    </row>
    <row r="74" spans="1:21">
      <c r="A74" s="48">
        <v>145182</v>
      </c>
      <c r="B74" s="48" t="s">
        <v>221</v>
      </c>
      <c r="C74" s="51" t="str">
        <f t="shared" si="13"/>
        <v>DMLB08M50I</v>
      </c>
      <c r="D74" s="48">
        <v>0</v>
      </c>
      <c r="E74" s="48">
        <v>0</v>
      </c>
      <c r="F74" s="48">
        <v>2799</v>
      </c>
      <c r="G74" s="48">
        <v>0</v>
      </c>
      <c r="H74" s="48">
        <v>0</v>
      </c>
      <c r="I74" s="48">
        <v>0</v>
      </c>
      <c r="J74" s="48">
        <v>0</v>
      </c>
      <c r="K74" s="48" t="s">
        <v>137</v>
      </c>
      <c r="L74" s="48" t="s">
        <v>157</v>
      </c>
      <c r="M74" s="48" t="s">
        <v>139</v>
      </c>
      <c r="N74" s="48" t="s">
        <v>145</v>
      </c>
      <c r="O74" s="48" t="s">
        <v>209</v>
      </c>
      <c r="Q74" s="52" t="str">
        <f t="shared" si="14"/>
        <v>DML</v>
      </c>
      <c r="R74" s="52" t="str">
        <f t="shared" si="15"/>
        <v>B</v>
      </c>
      <c r="S74" s="52" t="str">
        <f t="shared" si="16"/>
        <v>08</v>
      </c>
      <c r="T74" s="52" t="str">
        <f t="shared" si="17"/>
        <v>M</v>
      </c>
      <c r="U74" s="52" t="str">
        <f t="shared" si="18"/>
        <v>50I</v>
      </c>
    </row>
    <row r="75" spans="1:21">
      <c r="A75" s="48">
        <v>145183</v>
      </c>
      <c r="B75" s="48" t="s">
        <v>222</v>
      </c>
      <c r="C75" s="51" t="str">
        <f t="shared" si="13"/>
        <v>DMLB08W50I</v>
      </c>
      <c r="D75" s="48">
        <v>0</v>
      </c>
      <c r="E75" s="48">
        <v>0</v>
      </c>
      <c r="F75" s="48">
        <v>2799</v>
      </c>
      <c r="G75" s="48">
        <v>0</v>
      </c>
      <c r="H75" s="48">
        <v>0</v>
      </c>
      <c r="I75" s="48">
        <v>0</v>
      </c>
      <c r="J75" s="48">
        <v>0</v>
      </c>
      <c r="K75" s="48" t="s">
        <v>137</v>
      </c>
      <c r="L75" s="48" t="s">
        <v>157</v>
      </c>
      <c r="M75" s="48" t="s">
        <v>143</v>
      </c>
      <c r="N75" s="48" t="s">
        <v>145</v>
      </c>
      <c r="O75" s="48" t="s">
        <v>209</v>
      </c>
      <c r="Q75" s="52" t="str">
        <f t="shared" si="14"/>
        <v>DML</v>
      </c>
      <c r="R75" s="52" t="str">
        <f t="shared" si="15"/>
        <v>B</v>
      </c>
      <c r="S75" s="52" t="str">
        <f t="shared" si="16"/>
        <v>08</v>
      </c>
      <c r="T75" s="52" t="str">
        <f t="shared" si="17"/>
        <v>W</v>
      </c>
      <c r="U75" s="52" t="str">
        <f t="shared" si="18"/>
        <v>50I</v>
      </c>
    </row>
    <row r="76" spans="1:21">
      <c r="A76" s="48">
        <v>145184</v>
      </c>
      <c r="B76" s="48" t="s">
        <v>223</v>
      </c>
      <c r="C76" s="51" t="str">
        <f t="shared" si="13"/>
        <v>DMLB08M40I</v>
      </c>
      <c r="D76" s="48">
        <v>0</v>
      </c>
      <c r="E76" s="48">
        <v>0</v>
      </c>
      <c r="F76" s="48">
        <v>2799</v>
      </c>
      <c r="G76" s="48">
        <v>0</v>
      </c>
      <c r="H76" s="48">
        <v>0</v>
      </c>
      <c r="I76" s="48">
        <v>0</v>
      </c>
      <c r="J76" s="48">
        <v>0</v>
      </c>
      <c r="K76" s="48" t="s">
        <v>137</v>
      </c>
      <c r="L76" s="48" t="s">
        <v>157</v>
      </c>
      <c r="M76" s="48" t="s">
        <v>139</v>
      </c>
      <c r="N76" s="48" t="s">
        <v>148</v>
      </c>
      <c r="O76" s="48" t="s">
        <v>209</v>
      </c>
      <c r="Q76" s="52" t="str">
        <f t="shared" si="14"/>
        <v>DML</v>
      </c>
      <c r="R76" s="52" t="str">
        <f t="shared" si="15"/>
        <v>B</v>
      </c>
      <c r="S76" s="52" t="str">
        <f t="shared" si="16"/>
        <v>08</v>
      </c>
      <c r="T76" s="52" t="str">
        <f t="shared" si="17"/>
        <v>M</v>
      </c>
      <c r="U76" s="52" t="str">
        <f t="shared" si="18"/>
        <v>40I</v>
      </c>
    </row>
    <row r="77" spans="1:21">
      <c r="A77" s="48">
        <v>145185</v>
      </c>
      <c r="B77" s="48" t="s">
        <v>224</v>
      </c>
      <c r="C77" s="51" t="str">
        <f t="shared" si="13"/>
        <v>DMLB08W40I</v>
      </c>
      <c r="D77" s="48">
        <v>0</v>
      </c>
      <c r="E77" s="48">
        <v>0</v>
      </c>
      <c r="F77" s="48">
        <v>2799</v>
      </c>
      <c r="G77" s="48">
        <v>0</v>
      </c>
      <c r="H77" s="48">
        <v>0</v>
      </c>
      <c r="I77" s="48">
        <v>0</v>
      </c>
      <c r="J77" s="48">
        <v>0</v>
      </c>
      <c r="K77" s="48" t="s">
        <v>137</v>
      </c>
      <c r="L77" s="48" t="s">
        <v>157</v>
      </c>
      <c r="M77" s="48" t="s">
        <v>143</v>
      </c>
      <c r="N77" s="48" t="s">
        <v>148</v>
      </c>
      <c r="O77" s="48" t="s">
        <v>209</v>
      </c>
      <c r="Q77" s="52" t="str">
        <f t="shared" si="14"/>
        <v>DML</v>
      </c>
      <c r="R77" s="52" t="str">
        <f t="shared" si="15"/>
        <v>B</v>
      </c>
      <c r="S77" s="52" t="str">
        <f t="shared" si="16"/>
        <v>08</v>
      </c>
      <c r="T77" s="52" t="str">
        <f t="shared" si="17"/>
        <v>W</v>
      </c>
      <c r="U77" s="52" t="str">
        <f t="shared" si="18"/>
        <v>40I</v>
      </c>
    </row>
    <row r="78" spans="1:21">
      <c r="A78" s="48">
        <v>145186</v>
      </c>
      <c r="B78" s="48" t="s">
        <v>225</v>
      </c>
      <c r="C78" s="51" t="str">
        <f t="shared" si="13"/>
        <v>DMLB08M30I</v>
      </c>
      <c r="D78" s="48">
        <v>0</v>
      </c>
      <c r="E78" s="48">
        <v>0</v>
      </c>
      <c r="F78" s="48">
        <v>2799</v>
      </c>
      <c r="G78" s="48">
        <v>0</v>
      </c>
      <c r="H78" s="48">
        <v>0</v>
      </c>
      <c r="I78" s="48">
        <v>0</v>
      </c>
      <c r="J78" s="48">
        <v>0</v>
      </c>
      <c r="K78" s="48" t="s">
        <v>137</v>
      </c>
      <c r="L78" s="48" t="s">
        <v>157</v>
      </c>
      <c r="M78" s="48" t="s">
        <v>139</v>
      </c>
      <c r="N78" s="48" t="s">
        <v>151</v>
      </c>
      <c r="O78" s="48" t="s">
        <v>209</v>
      </c>
      <c r="Q78" s="52" t="str">
        <f t="shared" si="14"/>
        <v>DML</v>
      </c>
      <c r="R78" s="52" t="str">
        <f t="shared" si="15"/>
        <v>B</v>
      </c>
      <c r="S78" s="52" t="str">
        <f t="shared" si="16"/>
        <v>08</v>
      </c>
      <c r="T78" s="52" t="str">
        <f t="shared" si="17"/>
        <v>M</v>
      </c>
      <c r="U78" s="52" t="str">
        <f t="shared" si="18"/>
        <v>30I</v>
      </c>
    </row>
    <row r="79" spans="1:21">
      <c r="A79" s="48">
        <v>145187</v>
      </c>
      <c r="B79" s="48" t="s">
        <v>226</v>
      </c>
      <c r="C79" s="51" t="str">
        <f t="shared" si="13"/>
        <v>DMLB08W30I</v>
      </c>
      <c r="D79" s="48">
        <v>0</v>
      </c>
      <c r="E79" s="48">
        <v>0</v>
      </c>
      <c r="F79" s="48">
        <v>2799</v>
      </c>
      <c r="G79" s="48">
        <v>0</v>
      </c>
      <c r="H79" s="48">
        <v>0</v>
      </c>
      <c r="I79" s="48">
        <v>0</v>
      </c>
      <c r="J79" s="48">
        <v>0</v>
      </c>
      <c r="K79" s="48" t="s">
        <v>137</v>
      </c>
      <c r="L79" s="48" t="s">
        <v>157</v>
      </c>
      <c r="M79" s="48" t="s">
        <v>143</v>
      </c>
      <c r="N79" s="48" t="s">
        <v>151</v>
      </c>
      <c r="O79" s="48" t="s">
        <v>209</v>
      </c>
      <c r="Q79" s="52" t="str">
        <f t="shared" si="14"/>
        <v>DML</v>
      </c>
      <c r="R79" s="52" t="str">
        <f t="shared" si="15"/>
        <v>B</v>
      </c>
      <c r="S79" s="52" t="str">
        <f t="shared" si="16"/>
        <v>08</v>
      </c>
      <c r="T79" s="52" t="str">
        <f t="shared" si="17"/>
        <v>W</v>
      </c>
      <c r="U79" s="52" t="str">
        <f t="shared" si="18"/>
        <v>30I</v>
      </c>
    </row>
    <row r="80" spans="1:21">
      <c r="A80" s="48">
        <v>145188</v>
      </c>
      <c r="B80" s="48" t="s">
        <v>227</v>
      </c>
      <c r="C80" s="51" t="str">
        <f t="shared" si="13"/>
        <v>DMLB08M27I</v>
      </c>
      <c r="D80" s="48">
        <v>0</v>
      </c>
      <c r="E80" s="48">
        <v>0</v>
      </c>
      <c r="F80" s="48">
        <v>2799</v>
      </c>
      <c r="G80" s="48">
        <v>0</v>
      </c>
      <c r="H80" s="48">
        <v>0</v>
      </c>
      <c r="I80" s="48">
        <v>0</v>
      </c>
      <c r="J80" s="48">
        <v>0</v>
      </c>
      <c r="K80" s="48" t="s">
        <v>137</v>
      </c>
      <c r="L80" s="48" t="s">
        <v>157</v>
      </c>
      <c r="M80" s="48" t="s">
        <v>139</v>
      </c>
      <c r="N80" s="48" t="s">
        <v>154</v>
      </c>
      <c r="O80" s="48" t="s">
        <v>209</v>
      </c>
      <c r="Q80" s="52" t="str">
        <f t="shared" si="14"/>
        <v>DML</v>
      </c>
      <c r="R80" s="52" t="str">
        <f t="shared" si="15"/>
        <v>B</v>
      </c>
      <c r="S80" s="52" t="str">
        <f t="shared" si="16"/>
        <v>08</v>
      </c>
      <c r="T80" s="52" t="str">
        <f t="shared" si="17"/>
        <v>M</v>
      </c>
      <c r="U80" s="52" t="str">
        <f t="shared" si="18"/>
        <v>27I</v>
      </c>
    </row>
    <row r="81" spans="1:21">
      <c r="A81" s="48">
        <v>145189</v>
      </c>
      <c r="B81" s="48" t="s">
        <v>228</v>
      </c>
      <c r="C81" s="51" t="str">
        <f t="shared" si="13"/>
        <v>DMLB08W27I</v>
      </c>
      <c r="D81" s="48">
        <v>0</v>
      </c>
      <c r="E81" s="48">
        <v>0</v>
      </c>
      <c r="F81" s="48">
        <v>2799</v>
      </c>
      <c r="G81" s="48">
        <v>0</v>
      </c>
      <c r="H81" s="48">
        <v>0</v>
      </c>
      <c r="I81" s="48">
        <v>0</v>
      </c>
      <c r="J81" s="48">
        <v>0</v>
      </c>
      <c r="K81" s="48" t="s">
        <v>137</v>
      </c>
      <c r="L81" s="48" t="s">
        <v>157</v>
      </c>
      <c r="M81" s="48" t="s">
        <v>143</v>
      </c>
      <c r="N81" s="48" t="s">
        <v>154</v>
      </c>
      <c r="O81" s="48" t="s">
        <v>209</v>
      </c>
      <c r="Q81" s="52" t="str">
        <f t="shared" si="14"/>
        <v>DML</v>
      </c>
      <c r="R81" s="52" t="str">
        <f t="shared" si="15"/>
        <v>B</v>
      </c>
      <c r="S81" s="52" t="str">
        <f t="shared" si="16"/>
        <v>08</v>
      </c>
      <c r="T81" s="52" t="str">
        <f t="shared" si="17"/>
        <v>W</v>
      </c>
      <c r="U81" s="52" t="str">
        <f t="shared" si="18"/>
        <v>27I</v>
      </c>
    </row>
    <row r="82" spans="1:21">
      <c r="A82" s="48">
        <v>145196</v>
      </c>
      <c r="B82" s="48" t="s">
        <v>229</v>
      </c>
      <c r="C82" s="51" t="str">
        <f t="shared" si="13"/>
        <v>DMLT08M60I</v>
      </c>
      <c r="D82" s="48">
        <v>0</v>
      </c>
      <c r="E82" s="48">
        <v>0</v>
      </c>
      <c r="F82" s="48">
        <v>2860</v>
      </c>
      <c r="G82" s="48">
        <v>0</v>
      </c>
      <c r="H82" s="48">
        <v>0</v>
      </c>
      <c r="I82" s="48">
        <v>0</v>
      </c>
      <c r="J82" s="48">
        <v>0</v>
      </c>
      <c r="K82" s="48" t="s">
        <v>137</v>
      </c>
      <c r="L82" s="48" t="s">
        <v>168</v>
      </c>
      <c r="M82" s="48" t="s">
        <v>139</v>
      </c>
      <c r="N82" s="48" t="s">
        <v>140</v>
      </c>
      <c r="O82" s="48" t="s">
        <v>209</v>
      </c>
      <c r="Q82" s="52" t="str">
        <f t="shared" si="14"/>
        <v>DML</v>
      </c>
      <c r="R82" s="52" t="str">
        <f t="shared" si="15"/>
        <v>T</v>
      </c>
      <c r="S82" s="52" t="str">
        <f t="shared" si="16"/>
        <v>08</v>
      </c>
      <c r="T82" s="52" t="str">
        <f t="shared" si="17"/>
        <v>M</v>
      </c>
      <c r="U82" s="52" t="str">
        <f t="shared" si="18"/>
        <v>60I</v>
      </c>
    </row>
    <row r="83" spans="1:21">
      <c r="A83" s="48">
        <v>145197</v>
      </c>
      <c r="B83" s="48" t="s">
        <v>230</v>
      </c>
      <c r="C83" s="51" t="str">
        <f t="shared" si="13"/>
        <v>DMLT08W60I</v>
      </c>
      <c r="D83" s="48">
        <v>0</v>
      </c>
      <c r="E83" s="48">
        <v>0</v>
      </c>
      <c r="F83" s="48">
        <v>2860</v>
      </c>
      <c r="G83" s="48">
        <v>0</v>
      </c>
      <c r="H83" s="48">
        <v>0</v>
      </c>
      <c r="I83" s="48">
        <v>0</v>
      </c>
      <c r="J83" s="48">
        <v>0</v>
      </c>
      <c r="K83" s="48" t="s">
        <v>137</v>
      </c>
      <c r="L83" s="48" t="s">
        <v>168</v>
      </c>
      <c r="M83" s="48" t="s">
        <v>143</v>
      </c>
      <c r="N83" s="48" t="s">
        <v>140</v>
      </c>
      <c r="O83" s="48" t="s">
        <v>209</v>
      </c>
      <c r="Q83" s="52" t="str">
        <f t="shared" si="14"/>
        <v>DML</v>
      </c>
      <c r="R83" s="52" t="str">
        <f t="shared" si="15"/>
        <v>T</v>
      </c>
      <c r="S83" s="52" t="str">
        <f t="shared" si="16"/>
        <v>08</v>
      </c>
      <c r="T83" s="52" t="str">
        <f t="shared" si="17"/>
        <v>W</v>
      </c>
      <c r="U83" s="52" t="str">
        <f t="shared" si="18"/>
        <v>60I</v>
      </c>
    </row>
    <row r="84" spans="1:21">
      <c r="A84" s="48">
        <v>145198</v>
      </c>
      <c r="B84" s="48" t="s">
        <v>231</v>
      </c>
      <c r="C84" s="51" t="str">
        <f t="shared" si="13"/>
        <v>DMLT08M50I</v>
      </c>
      <c r="D84" s="48">
        <v>0</v>
      </c>
      <c r="E84" s="48">
        <v>0</v>
      </c>
      <c r="F84" s="48">
        <v>2860</v>
      </c>
      <c r="G84" s="48">
        <v>0</v>
      </c>
      <c r="H84" s="48">
        <v>0</v>
      </c>
      <c r="I84" s="48">
        <v>0</v>
      </c>
      <c r="J84" s="48">
        <v>0</v>
      </c>
      <c r="K84" s="48" t="s">
        <v>137</v>
      </c>
      <c r="L84" s="48" t="s">
        <v>168</v>
      </c>
      <c r="M84" s="48" t="s">
        <v>139</v>
      </c>
      <c r="N84" s="48" t="s">
        <v>145</v>
      </c>
      <c r="O84" s="48" t="s">
        <v>209</v>
      </c>
      <c r="Q84" s="52" t="str">
        <f t="shared" si="14"/>
        <v>DML</v>
      </c>
      <c r="R84" s="52" t="str">
        <f t="shared" si="15"/>
        <v>T</v>
      </c>
      <c r="S84" s="52" t="str">
        <f t="shared" si="16"/>
        <v>08</v>
      </c>
      <c r="T84" s="52" t="str">
        <f t="shared" si="17"/>
        <v>M</v>
      </c>
      <c r="U84" s="52" t="str">
        <f t="shared" si="18"/>
        <v>50I</v>
      </c>
    </row>
    <row r="85" spans="1:21">
      <c r="A85" s="48">
        <v>145199</v>
      </c>
      <c r="B85" s="48" t="s">
        <v>232</v>
      </c>
      <c r="C85" s="51" t="str">
        <f t="shared" si="13"/>
        <v>DMLT08W50I</v>
      </c>
      <c r="D85" s="48">
        <v>0</v>
      </c>
      <c r="E85" s="48">
        <v>0</v>
      </c>
      <c r="F85" s="48">
        <v>2860</v>
      </c>
      <c r="G85" s="48">
        <v>0</v>
      </c>
      <c r="H85" s="48">
        <v>0</v>
      </c>
      <c r="I85" s="48">
        <v>0</v>
      </c>
      <c r="J85" s="48">
        <v>0</v>
      </c>
      <c r="K85" s="48" t="s">
        <v>137</v>
      </c>
      <c r="L85" s="48" t="s">
        <v>168</v>
      </c>
      <c r="M85" s="48" t="s">
        <v>143</v>
      </c>
      <c r="N85" s="48" t="s">
        <v>145</v>
      </c>
      <c r="O85" s="48" t="s">
        <v>209</v>
      </c>
      <c r="Q85" s="52" t="str">
        <f t="shared" si="14"/>
        <v>DML</v>
      </c>
      <c r="R85" s="52" t="str">
        <f t="shared" si="15"/>
        <v>T</v>
      </c>
      <c r="S85" s="52" t="str">
        <f t="shared" si="16"/>
        <v>08</v>
      </c>
      <c r="T85" s="52" t="str">
        <f t="shared" si="17"/>
        <v>W</v>
      </c>
      <c r="U85" s="52" t="str">
        <f t="shared" si="18"/>
        <v>50I</v>
      </c>
    </row>
    <row r="86" spans="1:21">
      <c r="A86" s="48">
        <v>145200</v>
      </c>
      <c r="B86" s="48" t="s">
        <v>233</v>
      </c>
      <c r="C86" s="51" t="str">
        <f t="shared" si="13"/>
        <v>DMLT08M40I</v>
      </c>
      <c r="D86" s="48">
        <v>0</v>
      </c>
      <c r="E86" s="48">
        <v>0</v>
      </c>
      <c r="F86" s="48">
        <v>2860</v>
      </c>
      <c r="G86" s="48">
        <v>0</v>
      </c>
      <c r="H86" s="48">
        <v>0</v>
      </c>
      <c r="I86" s="48">
        <v>0</v>
      </c>
      <c r="J86" s="48">
        <v>0</v>
      </c>
      <c r="K86" s="48" t="s">
        <v>137</v>
      </c>
      <c r="L86" s="48" t="s">
        <v>168</v>
      </c>
      <c r="M86" s="48" t="s">
        <v>139</v>
      </c>
      <c r="N86" s="48" t="s">
        <v>148</v>
      </c>
      <c r="O86" s="48" t="s">
        <v>209</v>
      </c>
      <c r="Q86" s="52" t="str">
        <f t="shared" si="14"/>
        <v>DML</v>
      </c>
      <c r="R86" s="52" t="str">
        <f t="shared" si="15"/>
        <v>T</v>
      </c>
      <c r="S86" s="52" t="str">
        <f t="shared" si="16"/>
        <v>08</v>
      </c>
      <c r="T86" s="52" t="str">
        <f t="shared" si="17"/>
        <v>M</v>
      </c>
      <c r="U86" s="52" t="str">
        <f t="shared" si="18"/>
        <v>40I</v>
      </c>
    </row>
    <row r="87" spans="1:21">
      <c r="A87" s="48">
        <v>145201</v>
      </c>
      <c r="B87" s="48" t="s">
        <v>234</v>
      </c>
      <c r="C87" s="51" t="str">
        <f t="shared" si="13"/>
        <v>DMLT08W40I</v>
      </c>
      <c r="D87" s="48">
        <v>0</v>
      </c>
      <c r="E87" s="48">
        <v>0</v>
      </c>
      <c r="F87" s="48">
        <v>2860</v>
      </c>
      <c r="G87" s="48">
        <v>0</v>
      </c>
      <c r="H87" s="48">
        <v>0</v>
      </c>
      <c r="I87" s="48">
        <v>0</v>
      </c>
      <c r="J87" s="48">
        <v>0</v>
      </c>
      <c r="K87" s="48" t="s">
        <v>137</v>
      </c>
      <c r="L87" s="48" t="s">
        <v>168</v>
      </c>
      <c r="M87" s="48" t="s">
        <v>143</v>
      </c>
      <c r="N87" s="48" t="s">
        <v>148</v>
      </c>
      <c r="O87" s="48" t="s">
        <v>209</v>
      </c>
      <c r="Q87" s="52" t="str">
        <f t="shared" si="14"/>
        <v>DML</v>
      </c>
      <c r="R87" s="52" t="str">
        <f t="shared" si="15"/>
        <v>T</v>
      </c>
      <c r="S87" s="52" t="str">
        <f t="shared" si="16"/>
        <v>08</v>
      </c>
      <c r="T87" s="52" t="str">
        <f t="shared" si="17"/>
        <v>W</v>
      </c>
      <c r="U87" s="52" t="str">
        <f t="shared" si="18"/>
        <v>40I</v>
      </c>
    </row>
    <row r="88" spans="1:21">
      <c r="A88" s="48">
        <v>145202</v>
      </c>
      <c r="B88" s="48" t="s">
        <v>235</v>
      </c>
      <c r="C88" s="51" t="str">
        <f t="shared" si="13"/>
        <v>DMLT08M30I</v>
      </c>
      <c r="D88" s="48">
        <v>0</v>
      </c>
      <c r="E88" s="48">
        <v>0</v>
      </c>
      <c r="F88" s="48">
        <v>2860</v>
      </c>
      <c r="G88" s="48">
        <v>0</v>
      </c>
      <c r="H88" s="48">
        <v>0</v>
      </c>
      <c r="I88" s="48">
        <v>0</v>
      </c>
      <c r="J88" s="48">
        <v>0</v>
      </c>
      <c r="K88" s="48" t="s">
        <v>137</v>
      </c>
      <c r="L88" s="48" t="s">
        <v>168</v>
      </c>
      <c r="M88" s="48" t="s">
        <v>139</v>
      </c>
      <c r="N88" s="48" t="s">
        <v>151</v>
      </c>
      <c r="O88" s="48" t="s">
        <v>209</v>
      </c>
      <c r="Q88" s="52" t="str">
        <f t="shared" si="14"/>
        <v>DML</v>
      </c>
      <c r="R88" s="52" t="str">
        <f t="shared" si="15"/>
        <v>T</v>
      </c>
      <c r="S88" s="52" t="str">
        <f t="shared" si="16"/>
        <v>08</v>
      </c>
      <c r="T88" s="52" t="str">
        <f t="shared" si="17"/>
        <v>M</v>
      </c>
      <c r="U88" s="52" t="str">
        <f t="shared" si="18"/>
        <v>30I</v>
      </c>
    </row>
    <row r="89" spans="1:21">
      <c r="A89" s="48">
        <v>145203</v>
      </c>
      <c r="B89" s="48" t="s">
        <v>236</v>
      </c>
      <c r="C89" s="51" t="str">
        <f t="shared" si="13"/>
        <v>DMLT08W30I</v>
      </c>
      <c r="D89" s="48">
        <v>0</v>
      </c>
      <c r="E89" s="48">
        <v>0</v>
      </c>
      <c r="F89" s="48">
        <v>2860</v>
      </c>
      <c r="G89" s="48">
        <v>0</v>
      </c>
      <c r="H89" s="48">
        <v>0</v>
      </c>
      <c r="I89" s="48">
        <v>0</v>
      </c>
      <c r="J89" s="48">
        <v>0</v>
      </c>
      <c r="K89" s="48" t="s">
        <v>137</v>
      </c>
      <c r="L89" s="48" t="s">
        <v>168</v>
      </c>
      <c r="M89" s="48" t="s">
        <v>143</v>
      </c>
      <c r="N89" s="48" t="s">
        <v>151</v>
      </c>
      <c r="O89" s="48" t="s">
        <v>209</v>
      </c>
      <c r="Q89" s="52" t="str">
        <f t="shared" si="14"/>
        <v>DML</v>
      </c>
      <c r="R89" s="52" t="str">
        <f t="shared" si="15"/>
        <v>T</v>
      </c>
      <c r="S89" s="52" t="str">
        <f t="shared" si="16"/>
        <v>08</v>
      </c>
      <c r="T89" s="52" t="str">
        <f t="shared" si="17"/>
        <v>W</v>
      </c>
      <c r="U89" s="52" t="str">
        <f t="shared" si="18"/>
        <v>30I</v>
      </c>
    </row>
    <row r="90" spans="1:21" ht="14.25" customHeight="1">
      <c r="A90" s="48">
        <v>145204</v>
      </c>
      <c r="B90" s="48" t="s">
        <v>237</v>
      </c>
      <c r="C90" s="51" t="str">
        <f t="shared" si="13"/>
        <v>DMLT08M27I</v>
      </c>
      <c r="D90" s="48">
        <v>0</v>
      </c>
      <c r="E90" s="48">
        <v>0</v>
      </c>
      <c r="F90" s="48">
        <v>2860</v>
      </c>
      <c r="G90" s="48">
        <v>0</v>
      </c>
      <c r="H90" s="48">
        <v>0</v>
      </c>
      <c r="I90" s="48">
        <v>0</v>
      </c>
      <c r="J90" s="48">
        <v>0</v>
      </c>
      <c r="K90" s="48" t="s">
        <v>137</v>
      </c>
      <c r="L90" s="48" t="s">
        <v>168</v>
      </c>
      <c r="M90" s="48" t="s">
        <v>139</v>
      </c>
      <c r="N90" s="48" t="s">
        <v>154</v>
      </c>
      <c r="O90" s="48" t="s">
        <v>209</v>
      </c>
      <c r="Q90" s="52" t="str">
        <f t="shared" si="14"/>
        <v>DML</v>
      </c>
      <c r="R90" s="52" t="str">
        <f t="shared" si="15"/>
        <v>T</v>
      </c>
      <c r="S90" s="52" t="str">
        <f t="shared" si="16"/>
        <v>08</v>
      </c>
      <c r="T90" s="52" t="str">
        <f t="shared" si="17"/>
        <v>M</v>
      </c>
      <c r="U90" s="52" t="str">
        <f t="shared" si="18"/>
        <v>27I</v>
      </c>
    </row>
    <row r="91" spans="1:21">
      <c r="A91" s="48">
        <v>145205</v>
      </c>
      <c r="B91" s="48" t="s">
        <v>238</v>
      </c>
      <c r="C91" s="51" t="str">
        <f t="shared" si="13"/>
        <v>DMLT08W27I</v>
      </c>
      <c r="D91" s="48">
        <v>0</v>
      </c>
      <c r="E91" s="48">
        <v>0</v>
      </c>
      <c r="F91" s="48">
        <v>2860</v>
      </c>
      <c r="G91" s="48">
        <v>0</v>
      </c>
      <c r="H91" s="48">
        <v>0</v>
      </c>
      <c r="I91" s="48">
        <v>0</v>
      </c>
      <c r="J91" s="48">
        <v>0</v>
      </c>
      <c r="K91" s="48" t="s">
        <v>137</v>
      </c>
      <c r="L91" s="48" t="s">
        <v>168</v>
      </c>
      <c r="M91" s="48" t="s">
        <v>143</v>
      </c>
      <c r="N91" s="48" t="s">
        <v>154</v>
      </c>
      <c r="O91" s="48" t="s">
        <v>209</v>
      </c>
      <c r="Q91" s="52" t="str">
        <f t="shared" si="14"/>
        <v>DML</v>
      </c>
      <c r="R91" s="52" t="str">
        <f t="shared" si="15"/>
        <v>T</v>
      </c>
      <c r="S91" s="52" t="str">
        <f t="shared" si="16"/>
        <v>08</v>
      </c>
      <c r="T91" s="52" t="str">
        <f t="shared" si="17"/>
        <v>W</v>
      </c>
      <c r="U91" s="52" t="str">
        <f t="shared" si="18"/>
        <v>27I</v>
      </c>
    </row>
    <row r="92" spans="1:21">
      <c r="A92" s="48">
        <v>145462</v>
      </c>
      <c r="B92" s="48" t="s">
        <v>239</v>
      </c>
      <c r="C92" s="51" t="str">
        <f t="shared" si="13"/>
        <v>DMLR08M25ID</v>
      </c>
      <c r="D92" s="48">
        <v>0</v>
      </c>
      <c r="E92" s="48">
        <v>0</v>
      </c>
      <c r="F92" s="48">
        <v>3329</v>
      </c>
      <c r="G92" s="48">
        <v>0</v>
      </c>
      <c r="H92" s="48">
        <v>0</v>
      </c>
      <c r="I92" s="48">
        <v>0</v>
      </c>
      <c r="J92" s="48">
        <v>0</v>
      </c>
      <c r="K92" s="48" t="s">
        <v>137</v>
      </c>
      <c r="L92" s="48" t="s">
        <v>138</v>
      </c>
      <c r="M92" s="48" t="s">
        <v>139</v>
      </c>
      <c r="N92" s="48" t="s">
        <v>240</v>
      </c>
      <c r="O92" s="48" t="s">
        <v>241</v>
      </c>
      <c r="Q92" s="52" t="str">
        <f t="shared" si="14"/>
        <v>DML</v>
      </c>
      <c r="R92" s="52" t="str">
        <f t="shared" si="15"/>
        <v>R</v>
      </c>
      <c r="S92" s="52" t="str">
        <f t="shared" si="16"/>
        <v>08</v>
      </c>
      <c r="T92" s="52" t="str">
        <f t="shared" si="17"/>
        <v>M</v>
      </c>
      <c r="U92" s="52" t="str">
        <f t="shared" si="18"/>
        <v>25ID</v>
      </c>
    </row>
    <row r="93" spans="1:21">
      <c r="A93" s="48">
        <v>145463</v>
      </c>
      <c r="B93" s="48" t="s">
        <v>242</v>
      </c>
      <c r="C93" s="51" t="str">
        <f t="shared" si="13"/>
        <v>DMLR08W25ID</v>
      </c>
      <c r="D93" s="48">
        <v>0</v>
      </c>
      <c r="E93" s="48">
        <v>0</v>
      </c>
      <c r="F93" s="48">
        <v>3329</v>
      </c>
      <c r="G93" s="48">
        <v>0</v>
      </c>
      <c r="H93" s="48">
        <v>0</v>
      </c>
      <c r="I93" s="48">
        <v>0</v>
      </c>
      <c r="J93" s="48">
        <v>0</v>
      </c>
      <c r="K93" s="48" t="s">
        <v>137</v>
      </c>
      <c r="L93" s="48" t="s">
        <v>138</v>
      </c>
      <c r="M93" s="48" t="s">
        <v>143</v>
      </c>
      <c r="N93" s="48" t="s">
        <v>240</v>
      </c>
      <c r="O93" s="48" t="s">
        <v>241</v>
      </c>
      <c r="Q93" s="52" t="str">
        <f t="shared" si="14"/>
        <v>DML</v>
      </c>
      <c r="R93" s="52" t="str">
        <f t="shared" si="15"/>
        <v>R</v>
      </c>
      <c r="S93" s="52" t="str">
        <f t="shared" si="16"/>
        <v>08</v>
      </c>
      <c r="T93" s="52" t="str">
        <f t="shared" si="17"/>
        <v>W</v>
      </c>
      <c r="U93" s="52" t="str">
        <f t="shared" si="18"/>
        <v>25ID</v>
      </c>
    </row>
    <row r="94" spans="1:21">
      <c r="A94" s="48">
        <v>145478</v>
      </c>
      <c r="B94" s="48" t="s">
        <v>243</v>
      </c>
      <c r="C94" s="51" t="str">
        <f t="shared" si="13"/>
        <v>DMLB08M25ID</v>
      </c>
      <c r="D94" s="48">
        <v>0</v>
      </c>
      <c r="E94" s="48">
        <v>0</v>
      </c>
      <c r="F94" s="48">
        <v>3387</v>
      </c>
      <c r="G94" s="48">
        <v>0</v>
      </c>
      <c r="H94" s="48">
        <v>0</v>
      </c>
      <c r="I94" s="48">
        <v>0</v>
      </c>
      <c r="J94" s="48">
        <v>0</v>
      </c>
      <c r="K94" s="48" t="s">
        <v>137</v>
      </c>
      <c r="L94" s="48" t="s">
        <v>157</v>
      </c>
      <c r="M94" s="48" t="s">
        <v>139</v>
      </c>
      <c r="N94" s="48" t="s">
        <v>240</v>
      </c>
      <c r="O94" s="48" t="s">
        <v>241</v>
      </c>
      <c r="Q94" s="52" t="str">
        <f t="shared" si="14"/>
        <v>DML</v>
      </c>
      <c r="R94" s="52" t="str">
        <f t="shared" si="15"/>
        <v>B</v>
      </c>
      <c r="S94" s="52" t="str">
        <f t="shared" si="16"/>
        <v>08</v>
      </c>
      <c r="T94" s="52" t="str">
        <f t="shared" si="17"/>
        <v>M</v>
      </c>
      <c r="U94" s="52" t="str">
        <f t="shared" ref="U94:U127" si="19">MID(B94,8,5)</f>
        <v>25ID</v>
      </c>
    </row>
    <row r="95" spans="1:21">
      <c r="A95" s="48">
        <v>145479</v>
      </c>
      <c r="B95" s="48" t="s">
        <v>244</v>
      </c>
      <c r="C95" s="51" t="str">
        <f t="shared" si="13"/>
        <v>DMLB08W25ID</v>
      </c>
      <c r="D95" s="48">
        <v>0</v>
      </c>
      <c r="E95" s="48">
        <v>0</v>
      </c>
      <c r="F95" s="48">
        <v>3387</v>
      </c>
      <c r="G95" s="48">
        <v>0</v>
      </c>
      <c r="H95" s="48">
        <v>0</v>
      </c>
      <c r="I95" s="48">
        <v>0</v>
      </c>
      <c r="J95" s="48">
        <v>0</v>
      </c>
      <c r="K95" s="48" t="s">
        <v>137</v>
      </c>
      <c r="L95" s="48" t="s">
        <v>157</v>
      </c>
      <c r="M95" s="48" t="s">
        <v>143</v>
      </c>
      <c r="N95" s="48" t="s">
        <v>240</v>
      </c>
      <c r="O95" s="48" t="s">
        <v>241</v>
      </c>
      <c r="Q95" s="52" t="str">
        <f t="shared" si="14"/>
        <v>DML</v>
      </c>
      <c r="R95" s="52" t="str">
        <f t="shared" si="15"/>
        <v>B</v>
      </c>
      <c r="S95" s="52" t="str">
        <f t="shared" si="16"/>
        <v>08</v>
      </c>
      <c r="T95" s="52" t="str">
        <f t="shared" si="17"/>
        <v>W</v>
      </c>
      <c r="U95" s="52" t="str">
        <f t="shared" si="19"/>
        <v>25ID</v>
      </c>
    </row>
    <row r="96" spans="1:21">
      <c r="A96" s="48">
        <v>145494</v>
      </c>
      <c r="B96" s="48" t="s">
        <v>245</v>
      </c>
      <c r="C96" s="51" t="str">
        <f t="shared" si="13"/>
        <v>DMLT08M25ID</v>
      </c>
      <c r="D96" s="48">
        <v>0</v>
      </c>
      <c r="E96" s="48">
        <v>0</v>
      </c>
      <c r="F96" s="48">
        <v>3448</v>
      </c>
      <c r="G96" s="48">
        <v>0</v>
      </c>
      <c r="H96" s="48">
        <v>0</v>
      </c>
      <c r="I96" s="48">
        <v>0</v>
      </c>
      <c r="J96" s="48">
        <v>0</v>
      </c>
      <c r="K96" s="48" t="s">
        <v>137</v>
      </c>
      <c r="L96" s="48" t="s">
        <v>168</v>
      </c>
      <c r="M96" s="48" t="s">
        <v>139</v>
      </c>
      <c r="N96" s="48" t="s">
        <v>240</v>
      </c>
      <c r="O96" s="48" t="s">
        <v>241</v>
      </c>
      <c r="Q96" s="52" t="str">
        <f t="shared" si="14"/>
        <v>DML</v>
      </c>
      <c r="R96" s="52" t="str">
        <f t="shared" si="15"/>
        <v>T</v>
      </c>
      <c r="S96" s="52" t="str">
        <f t="shared" si="16"/>
        <v>08</v>
      </c>
      <c r="T96" s="52" t="str">
        <f t="shared" si="17"/>
        <v>M</v>
      </c>
      <c r="U96" s="52" t="str">
        <f t="shared" si="19"/>
        <v>25ID</v>
      </c>
    </row>
    <row r="97" spans="1:21">
      <c r="A97" s="48">
        <v>145495</v>
      </c>
      <c r="B97" s="48" t="s">
        <v>246</v>
      </c>
      <c r="C97" s="51" t="str">
        <f t="shared" si="13"/>
        <v>DMLT08W25ID</v>
      </c>
      <c r="D97" s="48">
        <v>0</v>
      </c>
      <c r="E97" s="48">
        <v>0</v>
      </c>
      <c r="F97" s="48">
        <v>3448</v>
      </c>
      <c r="G97" s="48">
        <v>0</v>
      </c>
      <c r="H97" s="48">
        <v>0</v>
      </c>
      <c r="I97" s="48">
        <v>0</v>
      </c>
      <c r="J97" s="48">
        <v>0</v>
      </c>
      <c r="K97" s="48" t="s">
        <v>137</v>
      </c>
      <c r="L97" s="48" t="s">
        <v>168</v>
      </c>
      <c r="M97" s="48" t="s">
        <v>143</v>
      </c>
      <c r="N97" s="48" t="s">
        <v>240</v>
      </c>
      <c r="O97" s="48" t="s">
        <v>241</v>
      </c>
      <c r="Q97" s="52" t="str">
        <f t="shared" si="14"/>
        <v>DML</v>
      </c>
      <c r="R97" s="52" t="str">
        <f t="shared" si="15"/>
        <v>T</v>
      </c>
      <c r="S97" s="52" t="str">
        <f t="shared" si="16"/>
        <v>08</v>
      </c>
      <c r="T97" s="52" t="str">
        <f t="shared" si="17"/>
        <v>W</v>
      </c>
      <c r="U97" s="52" t="str">
        <f t="shared" si="19"/>
        <v>25ID</v>
      </c>
    </row>
    <row r="98" spans="1:21">
      <c r="A98" s="48">
        <v>145548</v>
      </c>
      <c r="B98" s="48" t="s">
        <v>247</v>
      </c>
      <c r="C98" s="51" t="str">
        <f t="shared" ref="C98:C127" si="20">_xlfn.CONCAT(Q98,R98,S98,T98,U98)</f>
        <v>DMLR08M60BT</v>
      </c>
      <c r="D98" s="48">
        <v>0</v>
      </c>
      <c r="E98" s="48">
        <v>0</v>
      </c>
      <c r="F98" s="48">
        <v>2002</v>
      </c>
      <c r="G98" s="48">
        <v>0</v>
      </c>
      <c r="H98" s="48">
        <v>0</v>
      </c>
      <c r="I98" s="48">
        <v>0</v>
      </c>
      <c r="J98" s="48">
        <v>0</v>
      </c>
      <c r="K98" s="48" t="s">
        <v>137</v>
      </c>
      <c r="L98" s="48" t="s">
        <v>138</v>
      </c>
      <c r="M98" s="48" t="s">
        <v>139</v>
      </c>
      <c r="N98" s="48" t="s">
        <v>140</v>
      </c>
      <c r="O98" s="48" t="s">
        <v>248</v>
      </c>
      <c r="Q98" s="52" t="str">
        <f t="shared" ref="Q98:Q127" si="21">MID(B98,1,3)</f>
        <v>DML</v>
      </c>
      <c r="R98" s="52" t="str">
        <f t="shared" ref="R98:R127" si="22">MID(B98,4,1)</f>
        <v>R</v>
      </c>
      <c r="S98" s="52" t="str">
        <f t="shared" ref="S98:S127" si="23">MID(B98,5,2)</f>
        <v>08</v>
      </c>
      <c r="T98" s="52" t="str">
        <f t="shared" ref="T98:T127" si="24">MID(B98,7,1)</f>
        <v>M</v>
      </c>
      <c r="U98" s="52" t="str">
        <f t="shared" si="19"/>
        <v>60BT</v>
      </c>
    </row>
    <row r="99" spans="1:21">
      <c r="A99" s="48">
        <v>145549</v>
      </c>
      <c r="B99" s="48" t="s">
        <v>249</v>
      </c>
      <c r="C99" s="51" t="str">
        <f t="shared" si="20"/>
        <v>DMLR08W60BT</v>
      </c>
      <c r="D99" s="48">
        <v>0</v>
      </c>
      <c r="E99" s="48">
        <v>0</v>
      </c>
      <c r="F99" s="48">
        <v>2002</v>
      </c>
      <c r="G99" s="48">
        <v>0</v>
      </c>
      <c r="H99" s="48">
        <v>0</v>
      </c>
      <c r="I99" s="48">
        <v>0</v>
      </c>
      <c r="J99" s="48">
        <v>0</v>
      </c>
      <c r="K99" s="48" t="s">
        <v>137</v>
      </c>
      <c r="L99" s="48" t="s">
        <v>138</v>
      </c>
      <c r="M99" s="48" t="s">
        <v>143</v>
      </c>
      <c r="N99" s="48" t="s">
        <v>140</v>
      </c>
      <c r="O99" s="48" t="s">
        <v>248</v>
      </c>
      <c r="Q99" s="52" t="str">
        <f t="shared" si="21"/>
        <v>DML</v>
      </c>
      <c r="R99" s="52" t="str">
        <f t="shared" si="22"/>
        <v>R</v>
      </c>
      <c r="S99" s="52" t="str">
        <f t="shared" si="23"/>
        <v>08</v>
      </c>
      <c r="T99" s="52" t="str">
        <f t="shared" si="24"/>
        <v>W</v>
      </c>
      <c r="U99" s="52" t="str">
        <f t="shared" si="19"/>
        <v>60BT</v>
      </c>
    </row>
    <row r="100" spans="1:21">
      <c r="A100" s="48">
        <v>145550</v>
      </c>
      <c r="B100" s="48" t="s">
        <v>250</v>
      </c>
      <c r="C100" s="51" t="str">
        <f t="shared" si="20"/>
        <v>DMLR08M50BT</v>
      </c>
      <c r="D100" s="48">
        <v>0</v>
      </c>
      <c r="E100" s="48">
        <v>0</v>
      </c>
      <c r="F100" s="48">
        <v>2002</v>
      </c>
      <c r="G100" s="48">
        <v>0</v>
      </c>
      <c r="H100" s="48">
        <v>0</v>
      </c>
      <c r="I100" s="48">
        <v>0</v>
      </c>
      <c r="J100" s="48">
        <v>0</v>
      </c>
      <c r="K100" s="48" t="s">
        <v>137</v>
      </c>
      <c r="L100" s="48" t="s">
        <v>138</v>
      </c>
      <c r="M100" s="48" t="s">
        <v>139</v>
      </c>
      <c r="N100" s="48" t="s">
        <v>145</v>
      </c>
      <c r="O100" s="48" t="s">
        <v>248</v>
      </c>
      <c r="Q100" s="52" t="str">
        <f t="shared" si="21"/>
        <v>DML</v>
      </c>
      <c r="R100" s="52" t="str">
        <f t="shared" si="22"/>
        <v>R</v>
      </c>
      <c r="S100" s="52" t="str">
        <f t="shared" si="23"/>
        <v>08</v>
      </c>
      <c r="T100" s="52" t="str">
        <f t="shared" si="24"/>
        <v>M</v>
      </c>
      <c r="U100" s="52" t="str">
        <f t="shared" si="19"/>
        <v>50BT</v>
      </c>
    </row>
    <row r="101" spans="1:21">
      <c r="A101" s="48">
        <v>145551</v>
      </c>
      <c r="B101" s="48" t="s">
        <v>251</v>
      </c>
      <c r="C101" s="51" t="str">
        <f t="shared" si="20"/>
        <v>DMLR08W50BT</v>
      </c>
      <c r="D101" s="48">
        <v>0</v>
      </c>
      <c r="E101" s="48">
        <v>0</v>
      </c>
      <c r="F101" s="48">
        <v>2002</v>
      </c>
      <c r="G101" s="48">
        <v>0</v>
      </c>
      <c r="H101" s="48">
        <v>0</v>
      </c>
      <c r="I101" s="48">
        <v>0</v>
      </c>
      <c r="J101" s="48">
        <v>0</v>
      </c>
      <c r="K101" s="48" t="s">
        <v>137</v>
      </c>
      <c r="L101" s="48" t="s">
        <v>138</v>
      </c>
      <c r="M101" s="48" t="s">
        <v>143</v>
      </c>
      <c r="N101" s="48" t="s">
        <v>145</v>
      </c>
      <c r="O101" s="48" t="s">
        <v>248</v>
      </c>
      <c r="Q101" s="52" t="str">
        <f t="shared" si="21"/>
        <v>DML</v>
      </c>
      <c r="R101" s="52" t="str">
        <f t="shared" si="22"/>
        <v>R</v>
      </c>
      <c r="S101" s="52" t="str">
        <f t="shared" si="23"/>
        <v>08</v>
      </c>
      <c r="T101" s="52" t="str">
        <f t="shared" si="24"/>
        <v>W</v>
      </c>
      <c r="U101" s="52" t="str">
        <f t="shared" si="19"/>
        <v>50BT</v>
      </c>
    </row>
    <row r="102" spans="1:21">
      <c r="A102" s="48">
        <v>145552</v>
      </c>
      <c r="B102" s="48" t="s">
        <v>252</v>
      </c>
      <c r="C102" s="51" t="str">
        <f t="shared" si="20"/>
        <v>DMLR08M40BT</v>
      </c>
      <c r="D102" s="48">
        <v>0</v>
      </c>
      <c r="E102" s="48">
        <v>0</v>
      </c>
      <c r="F102" s="48">
        <v>2002</v>
      </c>
      <c r="G102" s="48">
        <v>0</v>
      </c>
      <c r="H102" s="48">
        <v>0</v>
      </c>
      <c r="I102" s="48">
        <v>0</v>
      </c>
      <c r="J102" s="48">
        <v>0</v>
      </c>
      <c r="K102" s="48" t="s">
        <v>137</v>
      </c>
      <c r="L102" s="48" t="s">
        <v>138</v>
      </c>
      <c r="M102" s="48" t="s">
        <v>139</v>
      </c>
      <c r="N102" s="48" t="s">
        <v>148</v>
      </c>
      <c r="O102" s="48" t="s">
        <v>248</v>
      </c>
      <c r="Q102" s="52" t="str">
        <f t="shared" si="21"/>
        <v>DML</v>
      </c>
      <c r="R102" s="52" t="str">
        <f t="shared" si="22"/>
        <v>R</v>
      </c>
      <c r="S102" s="52" t="str">
        <f t="shared" si="23"/>
        <v>08</v>
      </c>
      <c r="T102" s="52" t="str">
        <f t="shared" si="24"/>
        <v>M</v>
      </c>
      <c r="U102" s="52" t="str">
        <f t="shared" si="19"/>
        <v>40BT</v>
      </c>
    </row>
    <row r="103" spans="1:21">
      <c r="A103" s="48">
        <v>145553</v>
      </c>
      <c r="B103" s="48" t="s">
        <v>253</v>
      </c>
      <c r="C103" s="51" t="str">
        <f t="shared" si="20"/>
        <v>DMLR08W40BT</v>
      </c>
      <c r="D103" s="48">
        <v>0</v>
      </c>
      <c r="E103" s="48">
        <v>0</v>
      </c>
      <c r="F103" s="48">
        <v>2002</v>
      </c>
      <c r="G103" s="48">
        <v>0</v>
      </c>
      <c r="H103" s="48">
        <v>0</v>
      </c>
      <c r="I103" s="48">
        <v>0</v>
      </c>
      <c r="J103" s="48">
        <v>0</v>
      </c>
      <c r="K103" s="48" t="s">
        <v>137</v>
      </c>
      <c r="L103" s="48" t="s">
        <v>138</v>
      </c>
      <c r="M103" s="48" t="s">
        <v>143</v>
      </c>
      <c r="N103" s="48" t="s">
        <v>148</v>
      </c>
      <c r="O103" s="48" t="s">
        <v>248</v>
      </c>
      <c r="Q103" s="52" t="str">
        <f t="shared" si="21"/>
        <v>DML</v>
      </c>
      <c r="R103" s="52" t="str">
        <f t="shared" si="22"/>
        <v>R</v>
      </c>
      <c r="S103" s="52" t="str">
        <f t="shared" si="23"/>
        <v>08</v>
      </c>
      <c r="T103" s="52" t="str">
        <f t="shared" si="24"/>
        <v>W</v>
      </c>
      <c r="U103" s="52" t="str">
        <f t="shared" si="19"/>
        <v>40BT</v>
      </c>
    </row>
    <row r="104" spans="1:21">
      <c r="A104" s="48">
        <v>145554</v>
      </c>
      <c r="B104" s="48" t="s">
        <v>254</v>
      </c>
      <c r="C104" s="51" t="str">
        <f t="shared" si="20"/>
        <v>DMLR08M30BT</v>
      </c>
      <c r="D104" s="48">
        <v>0</v>
      </c>
      <c r="E104" s="48">
        <v>0</v>
      </c>
      <c r="F104" s="48">
        <v>2002</v>
      </c>
      <c r="G104" s="48">
        <v>0</v>
      </c>
      <c r="H104" s="48">
        <v>0</v>
      </c>
      <c r="I104" s="48">
        <v>0</v>
      </c>
      <c r="J104" s="48">
        <v>0</v>
      </c>
      <c r="K104" s="48" t="s">
        <v>137</v>
      </c>
      <c r="L104" s="48" t="s">
        <v>138</v>
      </c>
      <c r="M104" s="48" t="s">
        <v>139</v>
      </c>
      <c r="N104" s="48" t="s">
        <v>151</v>
      </c>
      <c r="O104" s="48" t="s">
        <v>248</v>
      </c>
      <c r="Q104" s="52" t="str">
        <f t="shared" si="21"/>
        <v>DML</v>
      </c>
      <c r="R104" s="52" t="str">
        <f t="shared" si="22"/>
        <v>R</v>
      </c>
      <c r="S104" s="52" t="str">
        <f t="shared" si="23"/>
        <v>08</v>
      </c>
      <c r="T104" s="52" t="str">
        <f t="shared" si="24"/>
        <v>M</v>
      </c>
      <c r="U104" s="52" t="str">
        <f t="shared" si="19"/>
        <v>30BT</v>
      </c>
    </row>
    <row r="105" spans="1:21">
      <c r="A105" s="48">
        <v>145555</v>
      </c>
      <c r="B105" s="48" t="s">
        <v>255</v>
      </c>
      <c r="C105" s="51" t="str">
        <f t="shared" si="20"/>
        <v>DMLR08W30BT</v>
      </c>
      <c r="D105" s="48">
        <v>0</v>
      </c>
      <c r="E105" s="48">
        <v>0</v>
      </c>
      <c r="F105" s="48">
        <v>2002</v>
      </c>
      <c r="G105" s="48">
        <v>0</v>
      </c>
      <c r="H105" s="48">
        <v>0</v>
      </c>
      <c r="I105" s="48">
        <v>0</v>
      </c>
      <c r="J105" s="48">
        <v>0</v>
      </c>
      <c r="K105" s="48" t="s">
        <v>137</v>
      </c>
      <c r="L105" s="48" t="s">
        <v>138</v>
      </c>
      <c r="M105" s="48" t="s">
        <v>143</v>
      </c>
      <c r="N105" s="48" t="s">
        <v>151</v>
      </c>
      <c r="O105" s="48" t="s">
        <v>248</v>
      </c>
      <c r="Q105" s="52" t="str">
        <f t="shared" si="21"/>
        <v>DML</v>
      </c>
      <c r="R105" s="52" t="str">
        <f t="shared" si="22"/>
        <v>R</v>
      </c>
      <c r="S105" s="52" t="str">
        <f t="shared" si="23"/>
        <v>08</v>
      </c>
      <c r="T105" s="52" t="str">
        <f t="shared" si="24"/>
        <v>W</v>
      </c>
      <c r="U105" s="52" t="str">
        <f t="shared" si="19"/>
        <v>30BT</v>
      </c>
    </row>
    <row r="106" spans="1:21">
      <c r="A106" s="48">
        <v>145556</v>
      </c>
      <c r="B106" s="48" t="s">
        <v>256</v>
      </c>
      <c r="C106" s="51" t="str">
        <f t="shared" si="20"/>
        <v>DMLR08M27BT</v>
      </c>
      <c r="D106" s="48">
        <v>0</v>
      </c>
      <c r="E106" s="48">
        <v>0</v>
      </c>
      <c r="F106" s="48">
        <v>2002</v>
      </c>
      <c r="G106" s="48">
        <v>0</v>
      </c>
      <c r="H106" s="48">
        <v>0</v>
      </c>
      <c r="I106" s="48">
        <v>0</v>
      </c>
      <c r="J106" s="48">
        <v>0</v>
      </c>
      <c r="K106" s="48" t="s">
        <v>137</v>
      </c>
      <c r="L106" s="48" t="s">
        <v>138</v>
      </c>
      <c r="M106" s="48" t="s">
        <v>139</v>
      </c>
      <c r="N106" s="48" t="s">
        <v>154</v>
      </c>
      <c r="O106" s="48" t="s">
        <v>248</v>
      </c>
      <c r="Q106" s="52" t="str">
        <f t="shared" si="21"/>
        <v>DML</v>
      </c>
      <c r="R106" s="52" t="str">
        <f t="shared" si="22"/>
        <v>R</v>
      </c>
      <c r="S106" s="52" t="str">
        <f t="shared" si="23"/>
        <v>08</v>
      </c>
      <c r="T106" s="52" t="str">
        <f t="shared" si="24"/>
        <v>M</v>
      </c>
      <c r="U106" s="52" t="str">
        <f t="shared" si="19"/>
        <v>27BT</v>
      </c>
    </row>
    <row r="107" spans="1:21">
      <c r="A107" s="48">
        <v>145557</v>
      </c>
      <c r="B107" s="48" t="s">
        <v>257</v>
      </c>
      <c r="C107" s="51" t="str">
        <f t="shared" si="20"/>
        <v>DMLR08W27BT</v>
      </c>
      <c r="D107" s="48">
        <v>0</v>
      </c>
      <c r="E107" s="48">
        <v>0</v>
      </c>
      <c r="F107" s="48">
        <v>2002</v>
      </c>
      <c r="G107" s="48">
        <v>0</v>
      </c>
      <c r="H107" s="48">
        <v>0</v>
      </c>
      <c r="I107" s="48">
        <v>0</v>
      </c>
      <c r="J107" s="48">
        <v>0</v>
      </c>
      <c r="K107" s="48" t="s">
        <v>137</v>
      </c>
      <c r="L107" s="48" t="s">
        <v>138</v>
      </c>
      <c r="M107" s="48" t="s">
        <v>143</v>
      </c>
      <c r="N107" s="48" t="s">
        <v>154</v>
      </c>
      <c r="O107" s="48" t="s">
        <v>248</v>
      </c>
      <c r="Q107" s="52" t="str">
        <f t="shared" si="21"/>
        <v>DML</v>
      </c>
      <c r="R107" s="52" t="str">
        <f t="shared" si="22"/>
        <v>R</v>
      </c>
      <c r="S107" s="52" t="str">
        <f t="shared" si="23"/>
        <v>08</v>
      </c>
      <c r="T107" s="52" t="str">
        <f t="shared" si="24"/>
        <v>W</v>
      </c>
      <c r="U107" s="52" t="str">
        <f t="shared" si="19"/>
        <v>27BT</v>
      </c>
    </row>
    <row r="108" spans="1:21">
      <c r="A108" s="48">
        <v>145564</v>
      </c>
      <c r="B108" s="48" t="s">
        <v>258</v>
      </c>
      <c r="C108" s="51" t="str">
        <f t="shared" si="20"/>
        <v>DMLB08M60BT</v>
      </c>
      <c r="D108" s="48">
        <v>0</v>
      </c>
      <c r="E108" s="48">
        <v>0</v>
      </c>
      <c r="F108" s="48">
        <v>2060</v>
      </c>
      <c r="G108" s="48">
        <v>0</v>
      </c>
      <c r="H108" s="48">
        <v>0</v>
      </c>
      <c r="I108" s="48">
        <v>0</v>
      </c>
      <c r="J108" s="48">
        <v>0</v>
      </c>
      <c r="K108" s="48" t="s">
        <v>137</v>
      </c>
      <c r="L108" s="48" t="s">
        <v>157</v>
      </c>
      <c r="M108" s="48" t="s">
        <v>139</v>
      </c>
      <c r="N108" s="48" t="s">
        <v>140</v>
      </c>
      <c r="O108" s="48" t="s">
        <v>248</v>
      </c>
      <c r="Q108" s="52" t="str">
        <f t="shared" si="21"/>
        <v>DML</v>
      </c>
      <c r="R108" s="52" t="str">
        <f t="shared" si="22"/>
        <v>B</v>
      </c>
      <c r="S108" s="52" t="str">
        <f t="shared" si="23"/>
        <v>08</v>
      </c>
      <c r="T108" s="52" t="str">
        <f t="shared" si="24"/>
        <v>M</v>
      </c>
      <c r="U108" s="52" t="str">
        <f t="shared" si="19"/>
        <v>60BT</v>
      </c>
    </row>
    <row r="109" spans="1:21">
      <c r="A109" s="48">
        <v>145565</v>
      </c>
      <c r="B109" s="48" t="s">
        <v>259</v>
      </c>
      <c r="C109" s="51" t="str">
        <f t="shared" si="20"/>
        <v>DMLB08W60BT</v>
      </c>
      <c r="D109" s="48">
        <v>0</v>
      </c>
      <c r="E109" s="48">
        <v>0</v>
      </c>
      <c r="F109" s="48">
        <v>2060</v>
      </c>
      <c r="G109" s="48">
        <v>0</v>
      </c>
      <c r="H109" s="48">
        <v>0</v>
      </c>
      <c r="I109" s="48">
        <v>0</v>
      </c>
      <c r="J109" s="48">
        <v>0</v>
      </c>
      <c r="K109" s="48" t="s">
        <v>137</v>
      </c>
      <c r="L109" s="48" t="s">
        <v>157</v>
      </c>
      <c r="M109" s="48" t="s">
        <v>143</v>
      </c>
      <c r="N109" s="48" t="s">
        <v>140</v>
      </c>
      <c r="O109" s="48" t="s">
        <v>248</v>
      </c>
      <c r="Q109" s="52" t="str">
        <f t="shared" si="21"/>
        <v>DML</v>
      </c>
      <c r="R109" s="52" t="str">
        <f t="shared" si="22"/>
        <v>B</v>
      </c>
      <c r="S109" s="52" t="str">
        <f t="shared" si="23"/>
        <v>08</v>
      </c>
      <c r="T109" s="52" t="str">
        <f t="shared" si="24"/>
        <v>W</v>
      </c>
      <c r="U109" s="52" t="str">
        <f t="shared" si="19"/>
        <v>60BT</v>
      </c>
    </row>
    <row r="110" spans="1:21">
      <c r="A110" s="48">
        <v>145566</v>
      </c>
      <c r="B110" s="48" t="s">
        <v>260</v>
      </c>
      <c r="C110" s="51" t="str">
        <f t="shared" si="20"/>
        <v>DMLB08M50BT</v>
      </c>
      <c r="D110" s="48">
        <v>0</v>
      </c>
      <c r="E110" s="48">
        <v>0</v>
      </c>
      <c r="F110" s="48">
        <v>2060</v>
      </c>
      <c r="G110" s="48">
        <v>0</v>
      </c>
      <c r="H110" s="48">
        <v>0</v>
      </c>
      <c r="I110" s="48">
        <v>0</v>
      </c>
      <c r="J110" s="48">
        <v>0</v>
      </c>
      <c r="K110" s="48" t="s">
        <v>137</v>
      </c>
      <c r="L110" s="48" t="s">
        <v>157</v>
      </c>
      <c r="M110" s="48" t="s">
        <v>139</v>
      </c>
      <c r="N110" s="48" t="s">
        <v>145</v>
      </c>
      <c r="O110" s="48" t="s">
        <v>248</v>
      </c>
      <c r="Q110" s="52" t="str">
        <f t="shared" si="21"/>
        <v>DML</v>
      </c>
      <c r="R110" s="52" t="str">
        <f t="shared" si="22"/>
        <v>B</v>
      </c>
      <c r="S110" s="52" t="str">
        <f t="shared" si="23"/>
        <v>08</v>
      </c>
      <c r="T110" s="52" t="str">
        <f t="shared" si="24"/>
        <v>M</v>
      </c>
      <c r="U110" s="52" t="str">
        <f t="shared" si="19"/>
        <v>50BT</v>
      </c>
    </row>
    <row r="111" spans="1:21">
      <c r="A111" s="48">
        <v>145567</v>
      </c>
      <c r="B111" s="48" t="s">
        <v>261</v>
      </c>
      <c r="C111" s="51" t="str">
        <f t="shared" si="20"/>
        <v>DMLB08W50BT</v>
      </c>
      <c r="D111" s="48">
        <v>0</v>
      </c>
      <c r="E111" s="48">
        <v>0</v>
      </c>
      <c r="F111" s="48">
        <v>2060</v>
      </c>
      <c r="G111" s="48">
        <v>0</v>
      </c>
      <c r="H111" s="48">
        <v>0</v>
      </c>
      <c r="I111" s="48">
        <v>0</v>
      </c>
      <c r="J111" s="48">
        <v>0</v>
      </c>
      <c r="K111" s="48" t="s">
        <v>137</v>
      </c>
      <c r="L111" s="48" t="s">
        <v>157</v>
      </c>
      <c r="M111" s="48" t="s">
        <v>143</v>
      </c>
      <c r="N111" s="48" t="s">
        <v>145</v>
      </c>
      <c r="O111" s="48" t="s">
        <v>248</v>
      </c>
      <c r="Q111" s="52" t="str">
        <f t="shared" si="21"/>
        <v>DML</v>
      </c>
      <c r="R111" s="52" t="str">
        <f t="shared" si="22"/>
        <v>B</v>
      </c>
      <c r="S111" s="52" t="str">
        <f t="shared" si="23"/>
        <v>08</v>
      </c>
      <c r="T111" s="52" t="str">
        <f t="shared" si="24"/>
        <v>W</v>
      </c>
      <c r="U111" s="52" t="str">
        <f t="shared" si="19"/>
        <v>50BT</v>
      </c>
    </row>
    <row r="112" spans="1:21">
      <c r="A112" s="48">
        <v>145568</v>
      </c>
      <c r="B112" s="48" t="s">
        <v>262</v>
      </c>
      <c r="C112" s="51" t="str">
        <f t="shared" si="20"/>
        <v>DMLB08M40BT</v>
      </c>
      <c r="D112" s="48">
        <v>0</v>
      </c>
      <c r="E112" s="48">
        <v>0</v>
      </c>
      <c r="F112" s="48">
        <v>2060</v>
      </c>
      <c r="G112" s="48">
        <v>0</v>
      </c>
      <c r="H112" s="48">
        <v>0</v>
      </c>
      <c r="I112" s="48">
        <v>0</v>
      </c>
      <c r="J112" s="48">
        <v>0</v>
      </c>
      <c r="K112" s="48" t="s">
        <v>137</v>
      </c>
      <c r="L112" s="48" t="s">
        <v>157</v>
      </c>
      <c r="M112" s="48" t="s">
        <v>139</v>
      </c>
      <c r="N112" s="48" t="s">
        <v>148</v>
      </c>
      <c r="O112" s="48" t="s">
        <v>248</v>
      </c>
      <c r="Q112" s="52" t="str">
        <f t="shared" si="21"/>
        <v>DML</v>
      </c>
      <c r="R112" s="52" t="str">
        <f t="shared" si="22"/>
        <v>B</v>
      </c>
      <c r="S112" s="52" t="str">
        <f t="shared" si="23"/>
        <v>08</v>
      </c>
      <c r="T112" s="52" t="str">
        <f t="shared" si="24"/>
        <v>M</v>
      </c>
      <c r="U112" s="52" t="str">
        <f t="shared" si="19"/>
        <v>40BT</v>
      </c>
    </row>
    <row r="113" spans="1:21">
      <c r="A113" s="48">
        <v>145569</v>
      </c>
      <c r="B113" s="48" t="s">
        <v>263</v>
      </c>
      <c r="C113" s="51" t="str">
        <f t="shared" si="20"/>
        <v>DMLB08W40BT</v>
      </c>
      <c r="D113" s="48">
        <v>0</v>
      </c>
      <c r="E113" s="48">
        <v>0</v>
      </c>
      <c r="F113" s="48">
        <v>2060</v>
      </c>
      <c r="G113" s="48">
        <v>0</v>
      </c>
      <c r="H113" s="48">
        <v>0</v>
      </c>
      <c r="I113" s="48">
        <v>0</v>
      </c>
      <c r="J113" s="48">
        <v>0</v>
      </c>
      <c r="K113" s="48" t="s">
        <v>137</v>
      </c>
      <c r="L113" s="48" t="s">
        <v>157</v>
      </c>
      <c r="M113" s="48" t="s">
        <v>143</v>
      </c>
      <c r="N113" s="48" t="s">
        <v>148</v>
      </c>
      <c r="O113" s="48" t="s">
        <v>248</v>
      </c>
      <c r="Q113" s="52" t="str">
        <f t="shared" si="21"/>
        <v>DML</v>
      </c>
      <c r="R113" s="52" t="str">
        <f t="shared" si="22"/>
        <v>B</v>
      </c>
      <c r="S113" s="52" t="str">
        <f t="shared" si="23"/>
        <v>08</v>
      </c>
      <c r="T113" s="52" t="str">
        <f t="shared" si="24"/>
        <v>W</v>
      </c>
      <c r="U113" s="52" t="str">
        <f t="shared" si="19"/>
        <v>40BT</v>
      </c>
    </row>
    <row r="114" spans="1:21">
      <c r="A114" s="48">
        <v>145570</v>
      </c>
      <c r="B114" s="48" t="s">
        <v>264</v>
      </c>
      <c r="C114" s="51" t="str">
        <f t="shared" si="20"/>
        <v>DMLB08M30BT</v>
      </c>
      <c r="D114" s="48">
        <v>0</v>
      </c>
      <c r="E114" s="48">
        <v>0</v>
      </c>
      <c r="F114" s="48">
        <v>2060</v>
      </c>
      <c r="G114" s="48">
        <v>0</v>
      </c>
      <c r="H114" s="48">
        <v>0</v>
      </c>
      <c r="I114" s="48">
        <v>0</v>
      </c>
      <c r="J114" s="48">
        <v>0</v>
      </c>
      <c r="K114" s="48" t="s">
        <v>137</v>
      </c>
      <c r="L114" s="48" t="s">
        <v>157</v>
      </c>
      <c r="M114" s="48" t="s">
        <v>139</v>
      </c>
      <c r="N114" s="48" t="s">
        <v>151</v>
      </c>
      <c r="O114" s="48" t="s">
        <v>248</v>
      </c>
      <c r="Q114" s="52" t="str">
        <f t="shared" si="21"/>
        <v>DML</v>
      </c>
      <c r="R114" s="52" t="str">
        <f t="shared" si="22"/>
        <v>B</v>
      </c>
      <c r="S114" s="52" t="str">
        <f t="shared" si="23"/>
        <v>08</v>
      </c>
      <c r="T114" s="52" t="str">
        <f t="shared" si="24"/>
        <v>M</v>
      </c>
      <c r="U114" s="52" t="str">
        <f t="shared" si="19"/>
        <v>30BT</v>
      </c>
    </row>
    <row r="115" spans="1:21">
      <c r="A115" s="48">
        <v>145571</v>
      </c>
      <c r="B115" s="48" t="s">
        <v>265</v>
      </c>
      <c r="C115" s="51" t="str">
        <f t="shared" si="20"/>
        <v>DMLB08W30BT</v>
      </c>
      <c r="D115" s="48">
        <v>0</v>
      </c>
      <c r="E115" s="48">
        <v>0</v>
      </c>
      <c r="F115" s="48">
        <v>2060</v>
      </c>
      <c r="G115" s="48">
        <v>0</v>
      </c>
      <c r="H115" s="48">
        <v>0</v>
      </c>
      <c r="I115" s="48">
        <v>0</v>
      </c>
      <c r="J115" s="48">
        <v>0</v>
      </c>
      <c r="K115" s="48" t="s">
        <v>137</v>
      </c>
      <c r="L115" s="48" t="s">
        <v>157</v>
      </c>
      <c r="M115" s="48" t="s">
        <v>143</v>
      </c>
      <c r="N115" s="48" t="s">
        <v>151</v>
      </c>
      <c r="O115" s="48" t="s">
        <v>248</v>
      </c>
      <c r="Q115" s="52" t="str">
        <f t="shared" si="21"/>
        <v>DML</v>
      </c>
      <c r="R115" s="52" t="str">
        <f t="shared" si="22"/>
        <v>B</v>
      </c>
      <c r="S115" s="52" t="str">
        <f t="shared" si="23"/>
        <v>08</v>
      </c>
      <c r="T115" s="52" t="str">
        <f t="shared" si="24"/>
        <v>W</v>
      </c>
      <c r="U115" s="52" t="str">
        <f t="shared" si="19"/>
        <v>30BT</v>
      </c>
    </row>
    <row r="116" spans="1:21">
      <c r="A116" s="48">
        <v>145572</v>
      </c>
      <c r="B116" s="48" t="s">
        <v>266</v>
      </c>
      <c r="C116" s="51" t="str">
        <f t="shared" si="20"/>
        <v>DMLB08M27BT</v>
      </c>
      <c r="D116" s="48">
        <v>0</v>
      </c>
      <c r="E116" s="48">
        <v>0</v>
      </c>
      <c r="F116" s="48">
        <v>2060</v>
      </c>
      <c r="G116" s="48">
        <v>0</v>
      </c>
      <c r="H116" s="48">
        <v>0</v>
      </c>
      <c r="I116" s="48">
        <v>0</v>
      </c>
      <c r="J116" s="48">
        <v>0</v>
      </c>
      <c r="K116" s="48" t="s">
        <v>137</v>
      </c>
      <c r="L116" s="48" t="s">
        <v>157</v>
      </c>
      <c r="M116" s="48" t="s">
        <v>139</v>
      </c>
      <c r="N116" s="48" t="s">
        <v>154</v>
      </c>
      <c r="O116" s="48" t="s">
        <v>248</v>
      </c>
      <c r="Q116" s="52" t="str">
        <f t="shared" si="21"/>
        <v>DML</v>
      </c>
      <c r="R116" s="52" t="str">
        <f t="shared" si="22"/>
        <v>B</v>
      </c>
      <c r="S116" s="52" t="str">
        <f t="shared" si="23"/>
        <v>08</v>
      </c>
      <c r="T116" s="52" t="str">
        <f t="shared" si="24"/>
        <v>M</v>
      </c>
      <c r="U116" s="52" t="str">
        <f t="shared" si="19"/>
        <v>27BT</v>
      </c>
    </row>
    <row r="117" spans="1:21">
      <c r="A117" s="48">
        <v>145573</v>
      </c>
      <c r="B117" s="48" t="s">
        <v>267</v>
      </c>
      <c r="C117" s="51" t="str">
        <f t="shared" si="20"/>
        <v>DMLB08W27BT</v>
      </c>
      <c r="D117" s="48">
        <v>0</v>
      </c>
      <c r="E117" s="48">
        <v>0</v>
      </c>
      <c r="F117" s="48">
        <v>2060</v>
      </c>
      <c r="G117" s="48">
        <v>0</v>
      </c>
      <c r="H117" s="48">
        <v>0</v>
      </c>
      <c r="I117" s="48">
        <v>0</v>
      </c>
      <c r="J117" s="48">
        <v>0</v>
      </c>
      <c r="K117" s="48" t="s">
        <v>137</v>
      </c>
      <c r="L117" s="48" t="s">
        <v>157</v>
      </c>
      <c r="M117" s="48" t="s">
        <v>143</v>
      </c>
      <c r="N117" s="48" t="s">
        <v>154</v>
      </c>
      <c r="O117" s="48" t="s">
        <v>248</v>
      </c>
      <c r="Q117" s="52" t="str">
        <f t="shared" si="21"/>
        <v>DML</v>
      </c>
      <c r="R117" s="52" t="str">
        <f t="shared" si="22"/>
        <v>B</v>
      </c>
      <c r="S117" s="52" t="str">
        <f t="shared" si="23"/>
        <v>08</v>
      </c>
      <c r="T117" s="52" t="str">
        <f t="shared" si="24"/>
        <v>W</v>
      </c>
      <c r="U117" s="52" t="str">
        <f t="shared" si="19"/>
        <v>27BT</v>
      </c>
    </row>
    <row r="118" spans="1:21">
      <c r="A118" s="48">
        <v>145580</v>
      </c>
      <c r="B118" s="48" t="s">
        <v>268</v>
      </c>
      <c r="C118" s="51" t="str">
        <f t="shared" si="20"/>
        <v>DMLT08M60BT</v>
      </c>
      <c r="D118" s="48">
        <v>0</v>
      </c>
      <c r="E118" s="48">
        <v>0</v>
      </c>
      <c r="F118" s="48">
        <v>2121</v>
      </c>
      <c r="G118" s="48">
        <v>0</v>
      </c>
      <c r="H118" s="48">
        <v>0</v>
      </c>
      <c r="I118" s="48">
        <v>0</v>
      </c>
      <c r="J118" s="48">
        <v>0</v>
      </c>
      <c r="K118" s="48" t="s">
        <v>137</v>
      </c>
      <c r="L118" s="48" t="s">
        <v>168</v>
      </c>
      <c r="M118" s="48" t="s">
        <v>139</v>
      </c>
      <c r="N118" s="48" t="s">
        <v>140</v>
      </c>
      <c r="O118" s="48" t="s">
        <v>248</v>
      </c>
      <c r="Q118" s="52" t="str">
        <f t="shared" si="21"/>
        <v>DML</v>
      </c>
      <c r="R118" s="52" t="str">
        <f t="shared" si="22"/>
        <v>T</v>
      </c>
      <c r="S118" s="52" t="str">
        <f t="shared" si="23"/>
        <v>08</v>
      </c>
      <c r="T118" s="52" t="str">
        <f t="shared" si="24"/>
        <v>M</v>
      </c>
      <c r="U118" s="52" t="str">
        <f t="shared" si="19"/>
        <v>60BT</v>
      </c>
    </row>
    <row r="119" spans="1:21">
      <c r="A119" s="48">
        <v>145581</v>
      </c>
      <c r="B119" s="48" t="s">
        <v>269</v>
      </c>
      <c r="C119" s="51" t="str">
        <f t="shared" si="20"/>
        <v>DMLT08W60BT</v>
      </c>
      <c r="D119" s="48">
        <v>0</v>
      </c>
      <c r="E119" s="48">
        <v>0</v>
      </c>
      <c r="F119" s="48">
        <v>2121</v>
      </c>
      <c r="G119" s="48">
        <v>0</v>
      </c>
      <c r="H119" s="48">
        <v>0</v>
      </c>
      <c r="I119" s="48">
        <v>0</v>
      </c>
      <c r="J119" s="48">
        <v>0</v>
      </c>
      <c r="K119" s="48" t="s">
        <v>137</v>
      </c>
      <c r="L119" s="48" t="s">
        <v>168</v>
      </c>
      <c r="M119" s="48" t="s">
        <v>143</v>
      </c>
      <c r="N119" s="48" t="s">
        <v>140</v>
      </c>
      <c r="O119" s="48" t="s">
        <v>248</v>
      </c>
      <c r="Q119" s="52" t="str">
        <f t="shared" si="21"/>
        <v>DML</v>
      </c>
      <c r="R119" s="52" t="str">
        <f t="shared" si="22"/>
        <v>T</v>
      </c>
      <c r="S119" s="52" t="str">
        <f t="shared" si="23"/>
        <v>08</v>
      </c>
      <c r="T119" s="52" t="str">
        <f t="shared" si="24"/>
        <v>W</v>
      </c>
      <c r="U119" s="52" t="str">
        <f t="shared" si="19"/>
        <v>60BT</v>
      </c>
    </row>
    <row r="120" spans="1:21">
      <c r="A120" s="48">
        <v>145582</v>
      </c>
      <c r="B120" s="48" t="s">
        <v>270</v>
      </c>
      <c r="C120" s="51" t="str">
        <f t="shared" si="20"/>
        <v>DMLT08M50BT</v>
      </c>
      <c r="D120" s="48">
        <v>0</v>
      </c>
      <c r="E120" s="48">
        <v>0</v>
      </c>
      <c r="F120" s="48">
        <v>2121</v>
      </c>
      <c r="G120" s="48">
        <v>0</v>
      </c>
      <c r="H120" s="48">
        <v>0</v>
      </c>
      <c r="I120" s="48">
        <v>0</v>
      </c>
      <c r="J120" s="48">
        <v>0</v>
      </c>
      <c r="K120" s="48" t="s">
        <v>137</v>
      </c>
      <c r="L120" s="48" t="s">
        <v>168</v>
      </c>
      <c r="M120" s="48" t="s">
        <v>139</v>
      </c>
      <c r="N120" s="48" t="s">
        <v>145</v>
      </c>
      <c r="O120" s="48" t="s">
        <v>248</v>
      </c>
      <c r="Q120" s="52" t="str">
        <f t="shared" si="21"/>
        <v>DML</v>
      </c>
      <c r="R120" s="52" t="str">
        <f t="shared" si="22"/>
        <v>T</v>
      </c>
      <c r="S120" s="52" t="str">
        <f t="shared" si="23"/>
        <v>08</v>
      </c>
      <c r="T120" s="52" t="str">
        <f t="shared" si="24"/>
        <v>M</v>
      </c>
      <c r="U120" s="52" t="str">
        <f t="shared" si="19"/>
        <v>50BT</v>
      </c>
    </row>
    <row r="121" spans="1:21">
      <c r="A121" s="48">
        <v>145583</v>
      </c>
      <c r="B121" s="48" t="s">
        <v>271</v>
      </c>
      <c r="C121" s="51" t="str">
        <f t="shared" si="20"/>
        <v>DMLT08W50BT</v>
      </c>
      <c r="D121" s="48">
        <v>0</v>
      </c>
      <c r="E121" s="48">
        <v>0</v>
      </c>
      <c r="F121" s="48">
        <v>2121</v>
      </c>
      <c r="G121" s="48">
        <v>0</v>
      </c>
      <c r="H121" s="48">
        <v>0</v>
      </c>
      <c r="I121" s="48">
        <v>0</v>
      </c>
      <c r="J121" s="48">
        <v>0</v>
      </c>
      <c r="K121" s="48" t="s">
        <v>137</v>
      </c>
      <c r="L121" s="48" t="s">
        <v>168</v>
      </c>
      <c r="M121" s="48" t="s">
        <v>143</v>
      </c>
      <c r="N121" s="48" t="s">
        <v>145</v>
      </c>
      <c r="O121" s="48" t="s">
        <v>248</v>
      </c>
      <c r="Q121" s="52" t="str">
        <f t="shared" si="21"/>
        <v>DML</v>
      </c>
      <c r="R121" s="52" t="str">
        <f t="shared" si="22"/>
        <v>T</v>
      </c>
      <c r="S121" s="52" t="str">
        <f t="shared" si="23"/>
        <v>08</v>
      </c>
      <c r="T121" s="52" t="str">
        <f t="shared" si="24"/>
        <v>W</v>
      </c>
      <c r="U121" s="52" t="str">
        <f t="shared" si="19"/>
        <v>50BT</v>
      </c>
    </row>
    <row r="122" spans="1:21">
      <c r="A122" s="48">
        <v>145584</v>
      </c>
      <c r="B122" s="48" t="s">
        <v>272</v>
      </c>
      <c r="C122" s="51" t="str">
        <f t="shared" si="20"/>
        <v>DMLT08M40BT</v>
      </c>
      <c r="D122" s="48">
        <v>0</v>
      </c>
      <c r="E122" s="48">
        <v>0</v>
      </c>
      <c r="F122" s="48">
        <v>2121</v>
      </c>
      <c r="G122" s="48">
        <v>0</v>
      </c>
      <c r="H122" s="48">
        <v>0</v>
      </c>
      <c r="I122" s="48">
        <v>0</v>
      </c>
      <c r="J122" s="48">
        <v>0</v>
      </c>
      <c r="K122" s="48" t="s">
        <v>137</v>
      </c>
      <c r="L122" s="48" t="s">
        <v>168</v>
      </c>
      <c r="M122" s="48" t="s">
        <v>139</v>
      </c>
      <c r="N122" s="48" t="s">
        <v>148</v>
      </c>
      <c r="O122" s="48" t="s">
        <v>248</v>
      </c>
      <c r="Q122" s="52" t="str">
        <f t="shared" si="21"/>
        <v>DML</v>
      </c>
      <c r="R122" s="52" t="str">
        <f t="shared" si="22"/>
        <v>T</v>
      </c>
      <c r="S122" s="52" t="str">
        <f t="shared" si="23"/>
        <v>08</v>
      </c>
      <c r="T122" s="52" t="str">
        <f t="shared" si="24"/>
        <v>M</v>
      </c>
      <c r="U122" s="52" t="str">
        <f t="shared" si="19"/>
        <v>40BT</v>
      </c>
    </row>
    <row r="123" spans="1:21">
      <c r="A123" s="48">
        <v>145585</v>
      </c>
      <c r="B123" s="48" t="s">
        <v>273</v>
      </c>
      <c r="C123" s="51" t="str">
        <f t="shared" si="20"/>
        <v>DMLT08W40BT</v>
      </c>
      <c r="D123" s="48">
        <v>0</v>
      </c>
      <c r="E123" s="48">
        <v>0</v>
      </c>
      <c r="F123" s="48">
        <v>2121</v>
      </c>
      <c r="G123" s="48">
        <v>0</v>
      </c>
      <c r="H123" s="48">
        <v>0</v>
      </c>
      <c r="I123" s="48">
        <v>0</v>
      </c>
      <c r="J123" s="48">
        <v>0</v>
      </c>
      <c r="K123" s="48" t="s">
        <v>137</v>
      </c>
      <c r="L123" s="48" t="s">
        <v>168</v>
      </c>
      <c r="M123" s="48" t="s">
        <v>143</v>
      </c>
      <c r="N123" s="48" t="s">
        <v>148</v>
      </c>
      <c r="O123" s="48" t="s">
        <v>248</v>
      </c>
      <c r="Q123" s="52" t="str">
        <f t="shared" si="21"/>
        <v>DML</v>
      </c>
      <c r="R123" s="52" t="str">
        <f t="shared" si="22"/>
        <v>T</v>
      </c>
      <c r="S123" s="52" t="str">
        <f t="shared" si="23"/>
        <v>08</v>
      </c>
      <c r="T123" s="52" t="str">
        <f t="shared" si="24"/>
        <v>W</v>
      </c>
      <c r="U123" s="52" t="str">
        <f t="shared" si="19"/>
        <v>40BT</v>
      </c>
    </row>
    <row r="124" spans="1:21">
      <c r="A124" s="48">
        <v>145586</v>
      </c>
      <c r="B124" s="48" t="s">
        <v>274</v>
      </c>
      <c r="C124" s="51" t="str">
        <f t="shared" si="20"/>
        <v>DMLT08M30BT</v>
      </c>
      <c r="D124" s="48">
        <v>0</v>
      </c>
      <c r="E124" s="48">
        <v>0</v>
      </c>
      <c r="F124" s="48">
        <v>2121</v>
      </c>
      <c r="G124" s="48">
        <v>0</v>
      </c>
      <c r="H124" s="48">
        <v>0</v>
      </c>
      <c r="I124" s="48">
        <v>0</v>
      </c>
      <c r="J124" s="48">
        <v>0</v>
      </c>
      <c r="K124" s="48" t="s">
        <v>137</v>
      </c>
      <c r="L124" s="48" t="s">
        <v>168</v>
      </c>
      <c r="M124" s="48" t="s">
        <v>139</v>
      </c>
      <c r="N124" s="48" t="s">
        <v>151</v>
      </c>
      <c r="O124" s="48" t="s">
        <v>248</v>
      </c>
      <c r="Q124" s="52" t="str">
        <f t="shared" si="21"/>
        <v>DML</v>
      </c>
      <c r="R124" s="52" t="str">
        <f t="shared" si="22"/>
        <v>T</v>
      </c>
      <c r="S124" s="52" t="str">
        <f t="shared" si="23"/>
        <v>08</v>
      </c>
      <c r="T124" s="52" t="str">
        <f t="shared" si="24"/>
        <v>M</v>
      </c>
      <c r="U124" s="52" t="str">
        <f t="shared" si="19"/>
        <v>30BT</v>
      </c>
    </row>
    <row r="125" spans="1:21">
      <c r="A125" s="48">
        <v>145587</v>
      </c>
      <c r="B125" s="48" t="s">
        <v>275</v>
      </c>
      <c r="C125" s="51" t="str">
        <f t="shared" si="20"/>
        <v>DMLT08W30BT</v>
      </c>
      <c r="D125" s="48">
        <v>0</v>
      </c>
      <c r="E125" s="48">
        <v>0</v>
      </c>
      <c r="F125" s="48">
        <v>2121</v>
      </c>
      <c r="G125" s="48">
        <v>0</v>
      </c>
      <c r="H125" s="48">
        <v>0</v>
      </c>
      <c r="I125" s="48">
        <v>0</v>
      </c>
      <c r="J125" s="48">
        <v>0</v>
      </c>
      <c r="K125" s="48" t="s">
        <v>137</v>
      </c>
      <c r="L125" s="48" t="s">
        <v>168</v>
      </c>
      <c r="M125" s="48" t="s">
        <v>143</v>
      </c>
      <c r="N125" s="48" t="s">
        <v>151</v>
      </c>
      <c r="O125" s="48" t="s">
        <v>248</v>
      </c>
      <c r="Q125" s="52" t="str">
        <f t="shared" si="21"/>
        <v>DML</v>
      </c>
      <c r="R125" s="52" t="str">
        <f t="shared" si="22"/>
        <v>T</v>
      </c>
      <c r="S125" s="52" t="str">
        <f t="shared" si="23"/>
        <v>08</v>
      </c>
      <c r="T125" s="52" t="str">
        <f t="shared" si="24"/>
        <v>W</v>
      </c>
      <c r="U125" s="52" t="str">
        <f t="shared" si="19"/>
        <v>30BT</v>
      </c>
    </row>
    <row r="126" spans="1:21">
      <c r="A126" s="48">
        <v>145588</v>
      </c>
      <c r="B126" s="48" t="s">
        <v>276</v>
      </c>
      <c r="C126" s="51" t="str">
        <f t="shared" si="20"/>
        <v>DMLT08M27BT</v>
      </c>
      <c r="D126" s="48">
        <v>0</v>
      </c>
      <c r="E126" s="48">
        <v>0</v>
      </c>
      <c r="F126" s="48">
        <v>2121</v>
      </c>
      <c r="G126" s="48">
        <v>0</v>
      </c>
      <c r="H126" s="48">
        <v>0</v>
      </c>
      <c r="I126" s="48">
        <v>0</v>
      </c>
      <c r="J126" s="48">
        <v>0</v>
      </c>
      <c r="K126" s="48" t="s">
        <v>137</v>
      </c>
      <c r="L126" s="48" t="s">
        <v>168</v>
      </c>
      <c r="M126" s="48" t="s">
        <v>139</v>
      </c>
      <c r="N126" s="48" t="s">
        <v>154</v>
      </c>
      <c r="O126" s="48" t="s">
        <v>248</v>
      </c>
      <c r="Q126" s="52" t="str">
        <f t="shared" si="21"/>
        <v>DML</v>
      </c>
      <c r="R126" s="52" t="str">
        <f t="shared" si="22"/>
        <v>T</v>
      </c>
      <c r="S126" s="52" t="str">
        <f t="shared" si="23"/>
        <v>08</v>
      </c>
      <c r="T126" s="52" t="str">
        <f t="shared" si="24"/>
        <v>M</v>
      </c>
      <c r="U126" s="52" t="str">
        <f t="shared" si="19"/>
        <v>27BT</v>
      </c>
    </row>
    <row r="127" spans="1:21">
      <c r="A127" s="48">
        <v>145589</v>
      </c>
      <c r="B127" s="48" t="s">
        <v>277</v>
      </c>
      <c r="C127" s="51" t="str">
        <f t="shared" si="20"/>
        <v>DMLT08W27BT</v>
      </c>
      <c r="D127" s="48">
        <v>0</v>
      </c>
      <c r="E127" s="48">
        <v>0</v>
      </c>
      <c r="F127" s="48">
        <v>2121</v>
      </c>
      <c r="G127" s="48">
        <v>0</v>
      </c>
      <c r="H127" s="48">
        <v>0</v>
      </c>
      <c r="I127" s="48">
        <v>0</v>
      </c>
      <c r="J127" s="48">
        <v>0</v>
      </c>
      <c r="K127" s="48" t="s">
        <v>137</v>
      </c>
      <c r="L127" s="48" t="s">
        <v>168</v>
      </c>
      <c r="M127" s="48" t="s">
        <v>143</v>
      </c>
      <c r="N127" s="48" t="s">
        <v>154</v>
      </c>
      <c r="O127" s="48" t="s">
        <v>248</v>
      </c>
      <c r="Q127" s="52" t="str">
        <f t="shared" si="21"/>
        <v>DML</v>
      </c>
      <c r="R127" s="52" t="str">
        <f t="shared" si="22"/>
        <v>T</v>
      </c>
      <c r="S127" s="52" t="str">
        <f t="shared" si="23"/>
        <v>08</v>
      </c>
      <c r="T127" s="52" t="str">
        <f t="shared" si="24"/>
        <v>W</v>
      </c>
      <c r="U127" s="52" t="str">
        <f t="shared" si="19"/>
        <v>27BT</v>
      </c>
    </row>
    <row r="128" spans="1:21">
      <c r="A128" s="48">
        <v>145658</v>
      </c>
      <c r="B128" s="48" t="s">
        <v>278</v>
      </c>
      <c r="C128" s="51" t="str">
        <f t="shared" ref="C128:C133" si="25">_xlfn.CONCAT(Q128,R128,S128,T128,U128)</f>
        <v>DMLR08M25BTD</v>
      </c>
      <c r="D128" s="48">
        <v>0</v>
      </c>
      <c r="E128" s="48">
        <v>0</v>
      </c>
      <c r="F128" s="48">
        <v>2590</v>
      </c>
      <c r="G128" s="48">
        <v>0</v>
      </c>
      <c r="H128" s="48">
        <v>0</v>
      </c>
      <c r="I128" s="48">
        <v>0</v>
      </c>
      <c r="J128" s="48">
        <v>0</v>
      </c>
      <c r="K128" s="48" t="s">
        <v>137</v>
      </c>
      <c r="L128" s="48" t="s">
        <v>138</v>
      </c>
      <c r="M128" s="48" t="s">
        <v>139</v>
      </c>
      <c r="N128" s="48" t="s">
        <v>279</v>
      </c>
      <c r="O128" s="48" t="s">
        <v>280</v>
      </c>
      <c r="Q128" s="52" t="str">
        <f t="shared" ref="Q128:Q133" si="26">MID(B128,1,3)</f>
        <v>DML</v>
      </c>
      <c r="R128" s="52" t="str">
        <f t="shared" ref="R128:R133" si="27">MID(B128,4,1)</f>
        <v>R</v>
      </c>
      <c r="S128" s="52" t="str">
        <f t="shared" ref="S128:S133" si="28">MID(B128,5,2)</f>
        <v>08</v>
      </c>
      <c r="T128" s="52" t="str">
        <f t="shared" ref="T128:T133" si="29">MID(B128,7,1)</f>
        <v>M</v>
      </c>
      <c r="U128" s="52" t="str">
        <f t="shared" ref="U128:U133" si="30">MID(B128,8,5)</f>
        <v>25BTD</v>
      </c>
    </row>
    <row r="129" spans="1:21">
      <c r="A129" s="48">
        <v>145659</v>
      </c>
      <c r="B129" s="48" t="s">
        <v>281</v>
      </c>
      <c r="C129" s="51" t="str">
        <f t="shared" si="25"/>
        <v>DMLR08W25BTD</v>
      </c>
      <c r="D129" s="48">
        <v>0</v>
      </c>
      <c r="E129" s="48">
        <v>0</v>
      </c>
      <c r="F129" s="48">
        <v>2590</v>
      </c>
      <c r="G129" s="48">
        <v>0</v>
      </c>
      <c r="H129" s="48">
        <v>0</v>
      </c>
      <c r="I129" s="48">
        <v>0</v>
      </c>
      <c r="J129" s="48">
        <v>0</v>
      </c>
      <c r="K129" s="48" t="s">
        <v>137</v>
      </c>
      <c r="L129" s="48" t="s">
        <v>138</v>
      </c>
      <c r="M129" s="48" t="s">
        <v>143</v>
      </c>
      <c r="N129" s="48" t="s">
        <v>279</v>
      </c>
      <c r="O129" s="48" t="s">
        <v>280</v>
      </c>
      <c r="Q129" s="52" t="str">
        <f t="shared" si="26"/>
        <v>DML</v>
      </c>
      <c r="R129" s="52" t="str">
        <f t="shared" si="27"/>
        <v>R</v>
      </c>
      <c r="S129" s="52" t="str">
        <f t="shared" si="28"/>
        <v>08</v>
      </c>
      <c r="T129" s="52" t="str">
        <f t="shared" si="29"/>
        <v>W</v>
      </c>
      <c r="U129" s="52" t="str">
        <f t="shared" si="30"/>
        <v>25BTD</v>
      </c>
    </row>
    <row r="130" spans="1:21">
      <c r="A130" s="48">
        <v>145674</v>
      </c>
      <c r="B130" s="48" t="s">
        <v>282</v>
      </c>
      <c r="C130" s="51" t="str">
        <f t="shared" si="25"/>
        <v>DMLB08M25BTD</v>
      </c>
      <c r="D130" s="48">
        <v>0</v>
      </c>
      <c r="E130" s="48">
        <v>0</v>
      </c>
      <c r="F130" s="48">
        <v>2646</v>
      </c>
      <c r="G130" s="48">
        <v>0</v>
      </c>
      <c r="H130" s="48">
        <v>0</v>
      </c>
      <c r="I130" s="48">
        <v>0</v>
      </c>
      <c r="J130" s="48">
        <v>0</v>
      </c>
      <c r="K130" s="48" t="s">
        <v>137</v>
      </c>
      <c r="L130" s="48" t="s">
        <v>157</v>
      </c>
      <c r="M130" s="48" t="s">
        <v>139</v>
      </c>
      <c r="N130" s="48" t="s">
        <v>279</v>
      </c>
      <c r="O130" s="48" t="s">
        <v>280</v>
      </c>
      <c r="Q130" s="52" t="str">
        <f t="shared" si="26"/>
        <v>DML</v>
      </c>
      <c r="R130" s="52" t="str">
        <f t="shared" si="27"/>
        <v>B</v>
      </c>
      <c r="S130" s="52" t="str">
        <f t="shared" si="28"/>
        <v>08</v>
      </c>
      <c r="T130" s="52" t="str">
        <f t="shared" si="29"/>
        <v>M</v>
      </c>
      <c r="U130" s="52" t="str">
        <f t="shared" si="30"/>
        <v>25BTD</v>
      </c>
    </row>
    <row r="131" spans="1:21">
      <c r="A131" s="48">
        <v>145675</v>
      </c>
      <c r="B131" s="48" t="s">
        <v>283</v>
      </c>
      <c r="C131" s="51" t="str">
        <f t="shared" si="25"/>
        <v>DMLB08W25BTD</v>
      </c>
      <c r="D131" s="48">
        <v>0</v>
      </c>
      <c r="E131" s="48">
        <v>0</v>
      </c>
      <c r="F131" s="48">
        <v>2646</v>
      </c>
      <c r="G131" s="48">
        <v>0</v>
      </c>
      <c r="H131" s="48">
        <v>0</v>
      </c>
      <c r="I131" s="48">
        <v>0</v>
      </c>
      <c r="J131" s="48">
        <v>0</v>
      </c>
      <c r="K131" s="48" t="s">
        <v>137</v>
      </c>
      <c r="L131" s="48" t="s">
        <v>157</v>
      </c>
      <c r="M131" s="48" t="s">
        <v>143</v>
      </c>
      <c r="N131" s="48" t="s">
        <v>279</v>
      </c>
      <c r="O131" s="48" t="s">
        <v>280</v>
      </c>
      <c r="Q131" s="52" t="str">
        <f t="shared" si="26"/>
        <v>DML</v>
      </c>
      <c r="R131" s="52" t="str">
        <f t="shared" si="27"/>
        <v>B</v>
      </c>
      <c r="S131" s="52" t="str">
        <f t="shared" si="28"/>
        <v>08</v>
      </c>
      <c r="T131" s="52" t="str">
        <f t="shared" si="29"/>
        <v>W</v>
      </c>
      <c r="U131" s="52" t="str">
        <f t="shared" si="30"/>
        <v>25BTD</v>
      </c>
    </row>
    <row r="132" spans="1:21">
      <c r="A132" s="48">
        <v>145690</v>
      </c>
      <c r="B132" s="48" t="s">
        <v>284</v>
      </c>
      <c r="C132" s="51" t="str">
        <f t="shared" si="25"/>
        <v>DMLT08M25BTD</v>
      </c>
      <c r="D132" s="48">
        <v>0</v>
      </c>
      <c r="E132" s="48">
        <v>0</v>
      </c>
      <c r="F132" s="48">
        <v>2709</v>
      </c>
      <c r="G132" s="48">
        <v>0</v>
      </c>
      <c r="H132" s="48">
        <v>0</v>
      </c>
      <c r="I132" s="48">
        <v>0</v>
      </c>
      <c r="J132" s="48">
        <v>0</v>
      </c>
      <c r="K132" s="48" t="s">
        <v>137</v>
      </c>
      <c r="L132" s="48" t="s">
        <v>168</v>
      </c>
      <c r="M132" s="48" t="s">
        <v>139</v>
      </c>
      <c r="N132" s="48" t="s">
        <v>279</v>
      </c>
      <c r="O132" s="48" t="s">
        <v>280</v>
      </c>
      <c r="Q132" s="52" t="str">
        <f t="shared" si="26"/>
        <v>DML</v>
      </c>
      <c r="R132" s="52" t="str">
        <f t="shared" si="27"/>
        <v>T</v>
      </c>
      <c r="S132" s="52" t="str">
        <f t="shared" si="28"/>
        <v>08</v>
      </c>
      <c r="T132" s="52" t="str">
        <f t="shared" si="29"/>
        <v>M</v>
      </c>
      <c r="U132" s="52" t="str">
        <f t="shared" si="30"/>
        <v>25BTD</v>
      </c>
    </row>
    <row r="133" spans="1:21">
      <c r="A133" s="48">
        <v>145691</v>
      </c>
      <c r="B133" s="48" t="s">
        <v>285</v>
      </c>
      <c r="C133" s="51" t="str">
        <f t="shared" si="25"/>
        <v>DMLT08W25BTD</v>
      </c>
      <c r="D133" s="48">
        <v>0</v>
      </c>
      <c r="E133" s="48">
        <v>0</v>
      </c>
      <c r="F133" s="48">
        <v>2709</v>
      </c>
      <c r="G133" s="48">
        <v>0</v>
      </c>
      <c r="H133" s="48">
        <v>0</v>
      </c>
      <c r="I133" s="48">
        <v>0</v>
      </c>
      <c r="J133" s="48">
        <v>0</v>
      </c>
      <c r="K133" s="48" t="s">
        <v>137</v>
      </c>
      <c r="L133" s="48" t="s">
        <v>168</v>
      </c>
      <c r="M133" s="48" t="s">
        <v>143</v>
      </c>
      <c r="N133" s="48" t="s">
        <v>279</v>
      </c>
      <c r="O133" s="48" t="s">
        <v>280</v>
      </c>
      <c r="Q133" s="52" t="str">
        <f t="shared" si="26"/>
        <v>DML</v>
      </c>
      <c r="R133" s="52" t="str">
        <f t="shared" si="27"/>
        <v>T</v>
      </c>
      <c r="S133" s="52" t="str">
        <f t="shared" si="28"/>
        <v>08</v>
      </c>
      <c r="T133" s="52" t="str">
        <f t="shared" si="29"/>
        <v>W</v>
      </c>
      <c r="U133" s="52" t="str">
        <f t="shared" si="30"/>
        <v>25BTD</v>
      </c>
    </row>
  </sheetData>
  <autoFilter ref="A1:O13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F23" sqref="F23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286</v>
      </c>
      <c r="B1" s="3" t="s">
        <v>287</v>
      </c>
      <c r="C1" s="3" t="s">
        <v>288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289</v>
      </c>
      <c r="B2" s="7"/>
      <c r="C2" s="8" t="s">
        <v>290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291</v>
      </c>
      <c r="C3" s="13"/>
      <c r="E3" s="14" t="s">
        <v>292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</v>
      </c>
      <c r="B4" s="12" t="s">
        <v>291</v>
      </c>
      <c r="C4" s="13"/>
      <c r="E4" s="17" t="s">
        <v>293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46</v>
      </c>
      <c r="B5" s="12" t="s">
        <v>291</v>
      </c>
      <c r="C5" s="13"/>
      <c r="E5" s="160" t="s">
        <v>294</v>
      </c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2"/>
    </row>
    <row r="6" spans="1:17" ht="12.6" customHeight="1">
      <c r="A6" s="16" t="s">
        <v>295</v>
      </c>
      <c r="B6" s="12" t="s">
        <v>291</v>
      </c>
      <c r="C6" s="13"/>
      <c r="E6" s="160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2"/>
    </row>
    <row r="7" spans="1:17" ht="12.6" customHeight="1">
      <c r="A7" s="16" t="s">
        <v>296</v>
      </c>
      <c r="B7" s="12" t="s">
        <v>291</v>
      </c>
      <c r="C7" s="13"/>
      <c r="E7" s="160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2"/>
    </row>
    <row r="8" spans="1:17" ht="12.6" customHeight="1">
      <c r="A8" s="16" t="s">
        <v>297</v>
      </c>
      <c r="B8" s="12" t="s">
        <v>291</v>
      </c>
      <c r="C8" s="13"/>
      <c r="E8" s="160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2"/>
    </row>
    <row r="9" spans="1:17" ht="12.95" customHeight="1">
      <c r="A9" s="16" t="s">
        <v>298</v>
      </c>
      <c r="B9" s="12" t="s">
        <v>291</v>
      </c>
      <c r="C9" s="13"/>
      <c r="E9" s="160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2"/>
    </row>
    <row r="10" spans="1:17">
      <c r="A10" s="16" t="s">
        <v>299</v>
      </c>
      <c r="B10" s="12" t="s">
        <v>291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</v>
      </c>
      <c r="B11" s="12" t="s">
        <v>291</v>
      </c>
      <c r="C11" s="13"/>
      <c r="E11" s="17" t="s">
        <v>300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301</v>
      </c>
      <c r="B12" s="12" t="s">
        <v>291</v>
      </c>
      <c r="C12" s="13"/>
      <c r="E12" s="19" t="s">
        <v>302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303</v>
      </c>
      <c r="B13" s="12" t="s">
        <v>291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304</v>
      </c>
      <c r="B14" s="12" t="s">
        <v>291</v>
      </c>
      <c r="C14" s="13"/>
      <c r="E14" s="22" t="s">
        <v>305</v>
      </c>
      <c r="F14" s="23"/>
      <c r="G14" s="23"/>
      <c r="H14" s="23"/>
      <c r="I14" s="23"/>
      <c r="J14" s="23"/>
      <c r="K14" s="23"/>
      <c r="L14" s="23"/>
      <c r="M14" s="38" t="s">
        <v>306</v>
      </c>
      <c r="N14" s="15"/>
      <c r="O14" s="15"/>
      <c r="P14" s="15"/>
      <c r="Q14" s="41"/>
    </row>
    <row r="15" spans="1:17" ht="15">
      <c r="A15" s="16" t="s">
        <v>307</v>
      </c>
      <c r="B15" s="12" t="s">
        <v>291</v>
      </c>
      <c r="C15" s="24" t="s">
        <v>308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309</v>
      </c>
      <c r="B16" s="12" t="s">
        <v>291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310</v>
      </c>
      <c r="B17" s="12" t="s">
        <v>291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311</v>
      </c>
      <c r="B18" s="12" t="s">
        <v>291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312</v>
      </c>
      <c r="B19" s="12" t="s">
        <v>291</v>
      </c>
      <c r="C19" s="13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</row>
    <row r="20" spans="1:17" ht="25.5">
      <c r="A20" s="16" t="s">
        <v>313</v>
      </c>
      <c r="B20" s="12" t="s">
        <v>291</v>
      </c>
      <c r="C20" s="13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</row>
    <row r="21" spans="1:17">
      <c r="A21" s="16" t="s">
        <v>314</v>
      </c>
      <c r="B21" s="12" t="s">
        <v>291</v>
      </c>
      <c r="C21" s="13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</row>
    <row r="22" spans="1:17">
      <c r="A22" s="6" t="s">
        <v>315</v>
      </c>
      <c r="B22" s="30"/>
      <c r="C22" s="31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</row>
    <row r="23" spans="1:17" ht="38.25">
      <c r="A23" s="16" t="s">
        <v>316</v>
      </c>
      <c r="B23" s="12" t="s">
        <v>317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318</v>
      </c>
      <c r="B24" s="12" t="s">
        <v>291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319</v>
      </c>
      <c r="B25" s="12" t="s">
        <v>291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320</v>
      </c>
      <c r="B26" s="12" t="s">
        <v>291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321</v>
      </c>
      <c r="B27" s="12" t="s">
        <v>291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322</v>
      </c>
      <c r="B28" s="12" t="s">
        <v>291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323</v>
      </c>
      <c r="B29" s="12" t="s">
        <v>291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324</v>
      </c>
      <c r="B30" s="12" t="s">
        <v>291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325</v>
      </c>
      <c r="B31" s="12" t="s">
        <v>326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327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328</v>
      </c>
      <c r="B33" s="12" t="s">
        <v>291</v>
      </c>
      <c r="C33" s="13"/>
    </row>
    <row r="34" spans="1:3">
      <c r="A34" s="16" t="s">
        <v>329</v>
      </c>
      <c r="B34" s="12" t="s">
        <v>291</v>
      </c>
      <c r="C34" s="13"/>
    </row>
    <row r="35" spans="1:3">
      <c r="A35" s="16" t="s">
        <v>330</v>
      </c>
      <c r="B35" s="12" t="s">
        <v>291</v>
      </c>
      <c r="C35" s="13"/>
    </row>
    <row r="36" spans="1:3">
      <c r="A36" s="16" t="s">
        <v>331</v>
      </c>
      <c r="B36" s="12" t="s">
        <v>291</v>
      </c>
      <c r="C36" s="13"/>
    </row>
    <row r="37" spans="1:3" ht="76.5">
      <c r="A37" s="16" t="s">
        <v>332</v>
      </c>
      <c r="B37" s="12" t="s">
        <v>291</v>
      </c>
      <c r="C37" s="24" t="s">
        <v>333</v>
      </c>
    </row>
    <row r="38" spans="1:3" ht="38.25">
      <c r="A38" s="16" t="s">
        <v>334</v>
      </c>
      <c r="B38" s="12" t="s">
        <v>291</v>
      </c>
      <c r="C38" s="24" t="s">
        <v>335</v>
      </c>
    </row>
    <row r="39" spans="1:3">
      <c r="A39" s="6" t="s">
        <v>336</v>
      </c>
      <c r="B39" s="30"/>
      <c r="C39" s="31"/>
    </row>
    <row r="40" spans="1:3" ht="25.5">
      <c r="A40" s="16" t="s">
        <v>337</v>
      </c>
      <c r="B40" s="12" t="s">
        <v>291</v>
      </c>
      <c r="C40" s="13"/>
    </row>
    <row r="41" spans="1:3">
      <c r="A41" s="16" t="s">
        <v>338</v>
      </c>
      <c r="B41" s="12" t="s">
        <v>291</v>
      </c>
      <c r="C41" s="13"/>
    </row>
    <row r="42" spans="1:3" ht="25.5">
      <c r="A42" s="16" t="s">
        <v>339</v>
      </c>
      <c r="B42" s="12" t="s">
        <v>291</v>
      </c>
      <c r="C42" s="13"/>
    </row>
    <row r="43" spans="1:3" ht="25.5">
      <c r="A43" s="16" t="s">
        <v>340</v>
      </c>
      <c r="B43" s="12" t="s">
        <v>291</v>
      </c>
      <c r="C43" s="13"/>
    </row>
    <row r="44" spans="1:3">
      <c r="A44" s="16" t="s">
        <v>341</v>
      </c>
      <c r="B44" s="12" t="s">
        <v>291</v>
      </c>
      <c r="C44" s="13"/>
    </row>
    <row r="45" spans="1:3" ht="25.5">
      <c r="A45" s="16" t="s">
        <v>342</v>
      </c>
      <c r="B45" s="12" t="s">
        <v>291</v>
      </c>
      <c r="C45" s="13"/>
    </row>
    <row r="46" spans="1:3">
      <c r="A46" s="6" t="s">
        <v>343</v>
      </c>
      <c r="B46" s="30"/>
      <c r="C46" s="31"/>
    </row>
    <row r="47" spans="1:3">
      <c r="A47" s="16" t="s">
        <v>3</v>
      </c>
      <c r="B47" s="12" t="s">
        <v>291</v>
      </c>
      <c r="C47" s="13"/>
    </row>
    <row r="48" spans="1:3">
      <c r="A48" s="16" t="s">
        <v>4</v>
      </c>
      <c r="B48" s="12" t="s">
        <v>291</v>
      </c>
      <c r="C48" s="13"/>
    </row>
    <row r="49" spans="1:3">
      <c r="A49" s="16" t="s">
        <v>5</v>
      </c>
      <c r="B49" s="12" t="s">
        <v>291</v>
      </c>
      <c r="C49" s="13"/>
    </row>
    <row r="50" spans="1:3">
      <c r="A50" s="16" t="s">
        <v>6</v>
      </c>
      <c r="B50" s="12" t="s">
        <v>291</v>
      </c>
      <c r="C50" s="13"/>
    </row>
    <row r="51" spans="1:3" ht="38.25">
      <c r="A51" s="16" t="s">
        <v>7</v>
      </c>
      <c r="B51" s="12" t="s">
        <v>317</v>
      </c>
      <c r="C51" s="13"/>
    </row>
    <row r="52" spans="1:3" ht="25.5">
      <c r="A52" s="16" t="s">
        <v>8</v>
      </c>
      <c r="B52" s="12" t="s">
        <v>291</v>
      </c>
      <c r="C52" s="36" t="s">
        <v>344</v>
      </c>
    </row>
    <row r="53" spans="1:3">
      <c r="A53" s="16" t="s">
        <v>345</v>
      </c>
      <c r="B53" s="12" t="s">
        <v>291</v>
      </c>
      <c r="C53" s="13"/>
    </row>
    <row r="54" spans="1:3" ht="38.25">
      <c r="A54" s="16" t="s">
        <v>346</v>
      </c>
      <c r="B54" s="12" t="s">
        <v>326</v>
      </c>
      <c r="C54" s="13"/>
    </row>
    <row r="55" spans="1:3" ht="25.5">
      <c r="A55" s="6" t="s">
        <v>347</v>
      </c>
      <c r="B55" s="30"/>
      <c r="C55" s="31"/>
    </row>
    <row r="56" spans="1:3" ht="25.5">
      <c r="A56" s="16" t="s">
        <v>348</v>
      </c>
      <c r="B56" s="12" t="s">
        <v>291</v>
      </c>
      <c r="C56" s="13"/>
    </row>
    <row r="57" spans="1:3" ht="25.5">
      <c r="A57" s="16" t="s">
        <v>349</v>
      </c>
      <c r="B57" s="12" t="s">
        <v>291</v>
      </c>
      <c r="C57" s="13"/>
    </row>
    <row r="58" spans="1:3" ht="25.5">
      <c r="A58" s="16" t="s">
        <v>350</v>
      </c>
      <c r="B58" s="12" t="s">
        <v>291</v>
      </c>
      <c r="C58" s="13"/>
    </row>
    <row r="59" spans="1:3" ht="25.5">
      <c r="A59" s="16" t="s">
        <v>351</v>
      </c>
      <c r="B59" s="12" t="s">
        <v>291</v>
      </c>
      <c r="C59" s="13"/>
    </row>
    <row r="60" spans="1:3">
      <c r="A60" s="16" t="s">
        <v>352</v>
      </c>
      <c r="B60" s="12" t="s">
        <v>353</v>
      </c>
      <c r="C60" s="13"/>
    </row>
    <row r="61" spans="1:3">
      <c r="A61" s="16" t="s">
        <v>354</v>
      </c>
      <c r="B61" s="12" t="s">
        <v>353</v>
      </c>
      <c r="C61" s="13"/>
    </row>
    <row r="62" spans="1:3" ht="63.75">
      <c r="A62" s="16" t="s">
        <v>355</v>
      </c>
      <c r="B62" s="12" t="s">
        <v>356</v>
      </c>
      <c r="C62" s="13"/>
    </row>
    <row r="63" spans="1:3" ht="25.5">
      <c r="A63" s="16" t="s">
        <v>357</v>
      </c>
      <c r="B63" s="12" t="s">
        <v>291</v>
      </c>
      <c r="C63" s="13"/>
    </row>
    <row r="64" spans="1:3" ht="25.5">
      <c r="A64" s="6" t="s">
        <v>358</v>
      </c>
      <c r="B64" s="30"/>
      <c r="C64" s="31"/>
    </row>
    <row r="65" spans="1:3" ht="25.5">
      <c r="A65" s="16" t="s">
        <v>359</v>
      </c>
      <c r="B65" s="12" t="s">
        <v>291</v>
      </c>
      <c r="C65" s="13"/>
    </row>
    <row r="66" spans="1:3" ht="25.5">
      <c r="A66" s="16" t="s">
        <v>360</v>
      </c>
      <c r="B66" s="12" t="s">
        <v>291</v>
      </c>
      <c r="C66" s="13"/>
    </row>
    <row r="67" spans="1:3" ht="25.5">
      <c r="A67" s="16" t="s">
        <v>361</v>
      </c>
      <c r="B67" s="12" t="s">
        <v>291</v>
      </c>
      <c r="C67" s="13"/>
    </row>
    <row r="68" spans="1:3" ht="25.5">
      <c r="A68" s="16" t="s">
        <v>362</v>
      </c>
      <c r="B68" s="12" t="s">
        <v>291</v>
      </c>
      <c r="C68" s="13"/>
    </row>
    <row r="69" spans="1:3">
      <c r="A69" s="16" t="s">
        <v>363</v>
      </c>
      <c r="B69" s="12" t="s">
        <v>353</v>
      </c>
      <c r="C69" s="13"/>
    </row>
    <row r="70" spans="1:3">
      <c r="A70" s="16" t="s">
        <v>364</v>
      </c>
      <c r="B70" s="12" t="s">
        <v>353</v>
      </c>
      <c r="C70" s="13"/>
    </row>
    <row r="71" spans="1:3" ht="63.75">
      <c r="A71" s="16" t="s">
        <v>365</v>
      </c>
      <c r="B71" s="12" t="s">
        <v>356</v>
      </c>
      <c r="C71" s="13"/>
    </row>
    <row r="72" spans="1:3" ht="25.5">
      <c r="A72" s="16" t="s">
        <v>366</v>
      </c>
      <c r="B72" s="12" t="s">
        <v>291</v>
      </c>
      <c r="C72" s="13"/>
    </row>
    <row r="73" spans="1:3">
      <c r="A73" s="6" t="s">
        <v>367</v>
      </c>
      <c r="B73" s="30"/>
      <c r="C73" s="31"/>
    </row>
    <row r="74" spans="1:3">
      <c r="A74" s="16" t="s">
        <v>368</v>
      </c>
      <c r="B74" s="12" t="s">
        <v>353</v>
      </c>
      <c r="C74" s="13"/>
    </row>
    <row r="75" spans="1:3" ht="51">
      <c r="A75" s="16" t="s">
        <v>369</v>
      </c>
      <c r="B75" s="12" t="s">
        <v>353</v>
      </c>
      <c r="C75" s="24" t="s">
        <v>370</v>
      </c>
    </row>
    <row r="76" spans="1:3">
      <c r="A76" s="16" t="s">
        <v>371</v>
      </c>
      <c r="B76" s="12" t="s">
        <v>353</v>
      </c>
      <c r="C76" s="13"/>
    </row>
    <row r="77" spans="1:3">
      <c r="A77" s="16" t="s">
        <v>372</v>
      </c>
      <c r="B77" s="12" t="s">
        <v>353</v>
      </c>
      <c r="C77" s="13"/>
    </row>
    <row r="78" spans="1:3">
      <c r="A78" s="16" t="s">
        <v>373</v>
      </c>
      <c r="B78" s="12" t="s">
        <v>353</v>
      </c>
      <c r="C78" s="13"/>
    </row>
    <row r="79" spans="1:3">
      <c r="A79" s="6" t="s">
        <v>374</v>
      </c>
      <c r="B79" s="30"/>
      <c r="C79" s="31"/>
    </row>
    <row r="80" spans="1:3">
      <c r="A80" s="16" t="s">
        <v>375</v>
      </c>
      <c r="B80" s="12" t="s">
        <v>353</v>
      </c>
      <c r="C80" s="13"/>
    </row>
    <row r="81" spans="1:3" ht="63.75">
      <c r="A81" s="16" t="s">
        <v>376</v>
      </c>
      <c r="B81" s="12" t="s">
        <v>353</v>
      </c>
      <c r="C81" s="24" t="s">
        <v>377</v>
      </c>
    </row>
    <row r="82" spans="1:3">
      <c r="A82" s="16" t="s">
        <v>378</v>
      </c>
      <c r="B82" s="12" t="s">
        <v>353</v>
      </c>
      <c r="C82" s="13"/>
    </row>
    <row r="83" spans="1:3" ht="25.5">
      <c r="A83" s="16" t="s">
        <v>379</v>
      </c>
      <c r="B83" s="12" t="s">
        <v>353</v>
      </c>
      <c r="C83" s="24" t="s">
        <v>380</v>
      </c>
    </row>
    <row r="84" spans="1:3">
      <c r="A84" s="16" t="s">
        <v>381</v>
      </c>
      <c r="B84" s="12" t="s">
        <v>353</v>
      </c>
      <c r="C84" s="13"/>
    </row>
    <row r="85" spans="1:3">
      <c r="A85" s="16" t="s">
        <v>382</v>
      </c>
      <c r="B85" s="12" t="s">
        <v>353</v>
      </c>
      <c r="C85" s="13"/>
    </row>
    <row r="86" spans="1:3">
      <c r="A86" s="16" t="s">
        <v>383</v>
      </c>
      <c r="B86" s="12" t="s">
        <v>353</v>
      </c>
      <c r="C86" s="13"/>
    </row>
    <row r="87" spans="1:3">
      <c r="A87" s="16" t="s">
        <v>384</v>
      </c>
      <c r="B87" s="12" t="s">
        <v>353</v>
      </c>
      <c r="C87" s="13"/>
    </row>
    <row r="88" spans="1:3">
      <c r="A88" s="16" t="s">
        <v>385</v>
      </c>
      <c r="B88" s="12" t="s">
        <v>353</v>
      </c>
      <c r="C88" s="13"/>
    </row>
    <row r="89" spans="1:3">
      <c r="A89" s="16" t="s">
        <v>386</v>
      </c>
      <c r="B89" s="12" t="s">
        <v>353</v>
      </c>
      <c r="C89" s="13"/>
    </row>
    <row r="90" spans="1:3">
      <c r="A90" s="16" t="s">
        <v>387</v>
      </c>
      <c r="B90" s="12" t="s">
        <v>353</v>
      </c>
      <c r="C90" s="13"/>
    </row>
    <row r="91" spans="1:3">
      <c r="A91" s="16" t="s">
        <v>388</v>
      </c>
      <c r="B91" s="12" t="s">
        <v>353</v>
      </c>
      <c r="C91" s="13"/>
    </row>
    <row r="92" spans="1:3">
      <c r="A92" s="16" t="s">
        <v>389</v>
      </c>
      <c r="B92" s="12" t="s">
        <v>353</v>
      </c>
      <c r="C92" s="13"/>
    </row>
    <row r="93" spans="1:3" ht="25.5">
      <c r="A93" s="16" t="s">
        <v>390</v>
      </c>
      <c r="B93" s="12" t="s">
        <v>353</v>
      </c>
      <c r="C93" s="13"/>
    </row>
    <row r="94" spans="1:3" ht="25.5">
      <c r="A94" s="16" t="s">
        <v>391</v>
      </c>
      <c r="B94" s="12" t="s">
        <v>353</v>
      </c>
      <c r="C94" s="13"/>
    </row>
    <row r="95" spans="1:3" ht="25.5">
      <c r="A95" s="16" t="s">
        <v>392</v>
      </c>
      <c r="B95" s="12" t="s">
        <v>353</v>
      </c>
      <c r="C95" s="24" t="s">
        <v>393</v>
      </c>
    </row>
    <row r="96" spans="1:3">
      <c r="A96" s="6" t="s">
        <v>394</v>
      </c>
      <c r="B96" s="30"/>
      <c r="C96" s="31"/>
    </row>
    <row r="97" spans="1:3">
      <c r="A97" s="16" t="s">
        <v>395</v>
      </c>
      <c r="B97" s="12" t="s">
        <v>353</v>
      </c>
      <c r="C97" s="13"/>
    </row>
    <row r="98" spans="1:3">
      <c r="A98" s="16" t="s">
        <v>396</v>
      </c>
      <c r="B98" s="12" t="s">
        <v>353</v>
      </c>
      <c r="C98" s="13"/>
    </row>
    <row r="99" spans="1:3">
      <c r="A99" s="16" t="s">
        <v>397</v>
      </c>
      <c r="B99" s="12" t="s">
        <v>353</v>
      </c>
      <c r="C99" s="13"/>
    </row>
    <row r="100" spans="1:3">
      <c r="A100" s="16" t="s">
        <v>398</v>
      </c>
      <c r="B100" s="12" t="s">
        <v>353</v>
      </c>
      <c r="C100" s="13"/>
    </row>
    <row r="101" spans="1:3">
      <c r="A101" s="16" t="s">
        <v>399</v>
      </c>
      <c r="B101" s="12" t="s">
        <v>353</v>
      </c>
      <c r="C101" s="13"/>
    </row>
    <row r="102" spans="1:3">
      <c r="A102" s="6" t="s">
        <v>400</v>
      </c>
      <c r="B102" s="30"/>
      <c r="C102" s="31"/>
    </row>
    <row r="103" spans="1:3">
      <c r="A103" s="16" t="s">
        <v>401</v>
      </c>
      <c r="B103" s="12" t="s">
        <v>353</v>
      </c>
      <c r="C103" s="13"/>
    </row>
    <row r="104" spans="1:3">
      <c r="A104" s="16" t="s">
        <v>402</v>
      </c>
      <c r="B104" s="12" t="s">
        <v>291</v>
      </c>
      <c r="C104" s="13"/>
    </row>
    <row r="105" spans="1:3">
      <c r="A105" s="6" t="s">
        <v>403</v>
      </c>
      <c r="B105" s="30"/>
      <c r="C105" s="31"/>
    </row>
    <row r="106" spans="1:3">
      <c r="A106" s="16" t="s">
        <v>404</v>
      </c>
      <c r="B106" s="12" t="s">
        <v>291</v>
      </c>
      <c r="C106" s="13"/>
    </row>
    <row r="107" spans="1:3">
      <c r="A107" s="16" t="s">
        <v>405</v>
      </c>
      <c r="B107" s="12" t="s">
        <v>291</v>
      </c>
      <c r="C107" s="13"/>
    </row>
    <row r="108" spans="1:3">
      <c r="A108" s="16" t="s">
        <v>406</v>
      </c>
      <c r="B108" s="12" t="s">
        <v>291</v>
      </c>
      <c r="C108" s="13"/>
    </row>
    <row r="109" spans="1:3">
      <c r="A109" s="16" t="s">
        <v>407</v>
      </c>
      <c r="B109" s="12" t="s">
        <v>291</v>
      </c>
      <c r="C109" s="13"/>
    </row>
    <row r="110" spans="1:3">
      <c r="A110" s="16" t="s">
        <v>408</v>
      </c>
      <c r="B110" s="12" t="s">
        <v>291</v>
      </c>
      <c r="C110" s="13"/>
    </row>
    <row r="111" spans="1:3">
      <c r="A111" s="16" t="s">
        <v>409</v>
      </c>
      <c r="B111" s="12" t="s">
        <v>291</v>
      </c>
      <c r="C111" s="13"/>
    </row>
    <row r="112" spans="1:3">
      <c r="A112" s="6" t="s">
        <v>410</v>
      </c>
      <c r="B112" s="30"/>
      <c r="C112" s="31"/>
    </row>
    <row r="113" spans="1:3">
      <c r="A113" s="16" t="s">
        <v>411</v>
      </c>
      <c r="B113" s="12" t="s">
        <v>291</v>
      </c>
      <c r="C113" s="13"/>
    </row>
    <row r="114" spans="1:3">
      <c r="A114" s="16" t="s">
        <v>412</v>
      </c>
      <c r="B114" s="12" t="s">
        <v>291</v>
      </c>
      <c r="C114" s="13"/>
    </row>
    <row r="115" spans="1:3">
      <c r="A115" s="16" t="s">
        <v>413</v>
      </c>
      <c r="B115" s="12" t="s">
        <v>291</v>
      </c>
      <c r="C115" s="13"/>
    </row>
    <row r="116" spans="1:3">
      <c r="A116" s="6" t="s">
        <v>414</v>
      </c>
      <c r="B116" s="30"/>
      <c r="C116" s="31"/>
    </row>
    <row r="117" spans="1:3" ht="25.5">
      <c r="A117" s="16" t="s">
        <v>415</v>
      </c>
      <c r="B117" s="12" t="s">
        <v>291</v>
      </c>
      <c r="C117" s="13"/>
    </row>
    <row r="118" spans="1:3">
      <c r="A118" s="16" t="s">
        <v>416</v>
      </c>
      <c r="B118" s="12" t="s">
        <v>291</v>
      </c>
      <c r="C118" s="13"/>
    </row>
    <row r="119" spans="1:3">
      <c r="A119" s="16" t="s">
        <v>417</v>
      </c>
      <c r="B119" s="12" t="s">
        <v>291</v>
      </c>
      <c r="C119" s="13"/>
    </row>
    <row r="120" spans="1:3">
      <c r="A120" s="6" t="s">
        <v>418</v>
      </c>
      <c r="B120" s="30"/>
      <c r="C120" s="31"/>
    </row>
    <row r="121" spans="1:3">
      <c r="A121" s="16" t="s">
        <v>419</v>
      </c>
      <c r="B121" s="12" t="s">
        <v>420</v>
      </c>
      <c r="C121" s="13"/>
    </row>
    <row r="122" spans="1:3">
      <c r="A122" s="16" t="s">
        <v>421</v>
      </c>
      <c r="B122" s="12" t="s">
        <v>422</v>
      </c>
      <c r="C122" s="13"/>
    </row>
    <row r="123" spans="1:3">
      <c r="A123" s="6" t="s">
        <v>423</v>
      </c>
      <c r="B123" s="30"/>
      <c r="C123" s="31"/>
    </row>
    <row r="124" spans="1:3">
      <c r="A124" s="16" t="s">
        <v>424</v>
      </c>
      <c r="B124" s="12" t="s">
        <v>353</v>
      </c>
      <c r="C124" s="13"/>
    </row>
    <row r="125" spans="1:3">
      <c r="A125" s="16" t="s">
        <v>425</v>
      </c>
      <c r="B125" s="12" t="s">
        <v>353</v>
      </c>
      <c r="C125" s="13"/>
    </row>
    <row r="126" spans="1:3" ht="25.5">
      <c r="A126" s="6" t="s">
        <v>426</v>
      </c>
      <c r="B126" s="30"/>
      <c r="C126" s="31"/>
    </row>
    <row r="127" spans="1:3">
      <c r="A127" s="16" t="s">
        <v>427</v>
      </c>
      <c r="B127" s="12" t="s">
        <v>353</v>
      </c>
      <c r="C127" s="13"/>
    </row>
    <row r="128" spans="1:3">
      <c r="A128" s="16" t="s">
        <v>428</v>
      </c>
      <c r="B128" s="12" t="s">
        <v>353</v>
      </c>
      <c r="C128" s="13"/>
    </row>
    <row r="129" spans="1:3">
      <c r="A129" s="6" t="s">
        <v>429</v>
      </c>
      <c r="B129" s="30"/>
      <c r="C129" s="31"/>
    </row>
    <row r="130" spans="1:3" ht="51">
      <c r="A130" s="16" t="s">
        <v>430</v>
      </c>
      <c r="B130" s="45" t="s">
        <v>431</v>
      </c>
      <c r="C130" s="13"/>
    </row>
    <row r="131" spans="1:3" ht="51">
      <c r="A131" s="16" t="s">
        <v>432</v>
      </c>
      <c r="B131" s="45" t="s">
        <v>431</v>
      </c>
      <c r="C131" s="13"/>
    </row>
    <row r="132" spans="1:3" ht="51">
      <c r="A132" s="16" t="s">
        <v>433</v>
      </c>
      <c r="B132" s="45" t="s">
        <v>431</v>
      </c>
      <c r="C132" s="13"/>
    </row>
    <row r="133" spans="1:3" ht="38.25">
      <c r="A133" s="16" t="s">
        <v>434</v>
      </c>
      <c r="B133" s="45" t="s">
        <v>435</v>
      </c>
      <c r="C133" s="13"/>
    </row>
    <row r="134" spans="1:3">
      <c r="A134" s="16" t="s">
        <v>436</v>
      </c>
      <c r="B134" s="45" t="s">
        <v>437</v>
      </c>
      <c r="C134" s="13"/>
    </row>
    <row r="135" spans="1:3">
      <c r="A135" s="16" t="s">
        <v>438</v>
      </c>
      <c r="B135" s="45" t="s">
        <v>439</v>
      </c>
      <c r="C135" s="13"/>
    </row>
    <row r="136" spans="1:3">
      <c r="A136" s="16" t="s">
        <v>440</v>
      </c>
      <c r="B136" s="45" t="s">
        <v>441</v>
      </c>
      <c r="C136" s="13"/>
    </row>
    <row r="137" spans="1:3">
      <c r="A137" s="16" t="s">
        <v>442</v>
      </c>
      <c r="B137" s="45" t="s">
        <v>443</v>
      </c>
      <c r="C137" s="13"/>
    </row>
    <row r="138" spans="1:3">
      <c r="A138" s="16" t="s">
        <v>444</v>
      </c>
      <c r="B138" s="45" t="s">
        <v>445</v>
      </c>
      <c r="C138" s="13"/>
    </row>
    <row r="139" spans="1:3">
      <c r="A139" s="16" t="s">
        <v>446</v>
      </c>
      <c r="B139" s="45" t="s">
        <v>445</v>
      </c>
      <c r="C139" s="13"/>
    </row>
    <row r="140" spans="1:3">
      <c r="A140" s="16" t="s">
        <v>447</v>
      </c>
      <c r="B140" s="45" t="s">
        <v>445</v>
      </c>
      <c r="C140" s="13"/>
    </row>
    <row r="141" spans="1:3">
      <c r="A141" s="6" t="s">
        <v>448</v>
      </c>
      <c r="B141" s="30"/>
      <c r="C141" s="31"/>
    </row>
    <row r="142" spans="1:3">
      <c r="A142" s="16" t="s">
        <v>449</v>
      </c>
      <c r="B142" s="12" t="s">
        <v>291</v>
      </c>
      <c r="C142" s="13"/>
    </row>
    <row r="143" spans="1:3">
      <c r="A143" s="16" t="s">
        <v>450</v>
      </c>
      <c r="B143" s="12" t="s">
        <v>291</v>
      </c>
      <c r="C143" s="13"/>
    </row>
    <row r="144" spans="1:3">
      <c r="A144" s="6" t="s">
        <v>451</v>
      </c>
      <c r="B144" s="30"/>
      <c r="C144" s="31"/>
    </row>
    <row r="145" spans="1:3">
      <c r="A145" s="16" t="s">
        <v>452</v>
      </c>
      <c r="B145" s="12" t="s">
        <v>291</v>
      </c>
      <c r="C145" s="13"/>
    </row>
    <row r="146" spans="1:3">
      <c r="A146" s="16" t="s">
        <v>453</v>
      </c>
      <c r="B146" s="12" t="s">
        <v>291</v>
      </c>
      <c r="C146" s="13"/>
    </row>
    <row r="147" spans="1:3">
      <c r="A147" s="16" t="s">
        <v>454</v>
      </c>
      <c r="B147" s="12" t="s">
        <v>291</v>
      </c>
      <c r="C147" s="13"/>
    </row>
    <row r="148" spans="1:3">
      <c r="A148" s="16" t="s">
        <v>455</v>
      </c>
      <c r="B148" s="12" t="s">
        <v>291</v>
      </c>
      <c r="C148" s="13"/>
    </row>
    <row r="149" spans="1:3">
      <c r="A149" s="16" t="s">
        <v>456</v>
      </c>
      <c r="B149" s="12" t="s">
        <v>291</v>
      </c>
      <c r="C149" s="13"/>
    </row>
    <row r="150" spans="1:3">
      <c r="A150" s="16" t="s">
        <v>457</v>
      </c>
      <c r="B150" s="12" t="s">
        <v>291</v>
      </c>
      <c r="C150" s="13"/>
    </row>
    <row r="151" spans="1:3">
      <c r="A151" s="16" t="s">
        <v>458</v>
      </c>
      <c r="B151" s="12" t="s">
        <v>291</v>
      </c>
      <c r="C151" s="13"/>
    </row>
    <row r="152" spans="1:3">
      <c r="A152" s="16" t="s">
        <v>459</v>
      </c>
      <c r="B152" s="12" t="s">
        <v>291</v>
      </c>
      <c r="C152" s="13"/>
    </row>
    <row r="153" spans="1:3">
      <c r="A153" s="16" t="s">
        <v>460</v>
      </c>
      <c r="B153" s="12" t="s">
        <v>291</v>
      </c>
      <c r="C153" s="13"/>
    </row>
    <row r="154" spans="1:3">
      <c r="A154" s="16" t="s">
        <v>461</v>
      </c>
      <c r="B154" s="12" t="s">
        <v>291</v>
      </c>
      <c r="C154" s="13"/>
    </row>
    <row r="155" spans="1:3" ht="25.5">
      <c r="A155" s="16" t="s">
        <v>462</v>
      </c>
      <c r="B155" s="12" t="s">
        <v>291</v>
      </c>
      <c r="C155" s="13"/>
    </row>
    <row r="156" spans="1:3">
      <c r="A156" s="16" t="s">
        <v>463</v>
      </c>
      <c r="B156" s="12" t="s">
        <v>291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02797C48-CC81-4B8D-8032-B370D450D1ED}">
  <ds:schemaRefs/>
</ds:datastoreItem>
</file>

<file path=customXml/itemProps3.xml><?xml version="1.0" encoding="utf-8"?>
<ds:datastoreItem xmlns:ds="http://schemas.openxmlformats.org/officeDocument/2006/customXml" ds:itemID="{E0CA5442-C2DA-43F1-A162-45733585A7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DMLR08-12W-DATA</vt:lpstr>
      <vt:lpstr>DMLR08-12W-SKU</vt:lpstr>
      <vt:lpstr>Stock Item (Read Me)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2025-03-31T05:36:44Z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
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/>
  </bookViews>
  <sheets>
    <sheet name="Stock Item" sheetId="23" r:id="rId1"/>
    <sheet name="NLBS-DATA" sheetId="24" r:id="rId2"/>
    <sheet name="Result" sheetId="25" r:id="rId3"/>
    <sheet name="Stock Item (Read Me)" sheetId="10" r:id="rId4"/>
  </sheets>
  <definedNames>
    <definedName name="_xlnm._FilterDatabase" localSheetId="2" hidden="1">Result!$A$1:$O$9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2" i="23" l="1"/>
  <c r="Q23" i="23"/>
  <c r="P23" i="23"/>
  <c r="L23" i="23"/>
  <c r="L12" i="23"/>
  <c r="L14" i="23"/>
  <c r="L17" i="23"/>
  <c r="L18" i="23"/>
  <c r="L19" i="23"/>
  <c r="K14" i="23"/>
  <c r="K18" i="23"/>
  <c r="P11" i="23"/>
  <c r="P10" i="23"/>
  <c r="P9" i="23"/>
  <c r="P8" i="23"/>
  <c r="P7" i="23"/>
  <c r="P6" i="23"/>
  <c r="P5" i="23"/>
  <c r="P4" i="23"/>
  <c r="P3" i="23"/>
  <c r="P2" i="23"/>
  <c r="K2" i="23" s="1"/>
  <c r="L2" i="23" s="1"/>
  <c r="L20" i="23" s="1"/>
  <c r="AZ6" i="24" l="1"/>
  <c r="AY3" i="24" l="1"/>
  <c r="AX5" i="24" l="1"/>
  <c r="AX4" i="24"/>
  <c r="F13" i="23"/>
  <c r="A18" i="23"/>
  <c r="D18" i="23"/>
  <c r="AY4" i="24" l="1"/>
  <c r="AW4" i="24"/>
  <c r="AW15" i="24" s="1"/>
  <c r="G19" i="23" s="1"/>
  <c r="AV3" i="24"/>
  <c r="AV5" i="24" l="1"/>
  <c r="AY6" i="24"/>
  <c r="AW12" i="24" s="1"/>
  <c r="A2" i="23"/>
  <c r="AX10" i="24" l="1"/>
  <c r="F11" i="23"/>
  <c r="G11" i="23"/>
  <c r="AY10" i="24"/>
  <c r="G6" i="23"/>
  <c r="G5" i="23"/>
  <c r="AW10" i="24"/>
  <c r="AW9" i="24"/>
  <c r="G3" i="23"/>
  <c r="AW11" i="24"/>
  <c r="G4" i="23"/>
  <c r="F3" i="23"/>
  <c r="F2" i="23"/>
  <c r="F4" i="23"/>
  <c r="F15" i="23"/>
  <c r="F18" i="23" l="1"/>
  <c r="F16" i="23"/>
  <c r="BB2" i="24"/>
  <c r="AX3" i="24" l="1"/>
  <c r="AX6" i="24" s="1"/>
  <c r="AW3" i="24"/>
  <c r="AW5" i="24" s="1"/>
  <c r="AZ3" i="24"/>
  <c r="AZ5" i="24" l="1"/>
  <c r="AZ7" i="24"/>
  <c r="AW13" i="24" l="1"/>
  <c r="F19" i="23" s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<sst xmlns="http://schemas.openxmlformats.org/spreadsheetml/2006/main" count="656" uniqueCount="344">
  <si>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</si>
  <si>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</si>
  <si>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</si>
  <si>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</si>
  <si>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</si>
  <si>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</si>
  <si>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</si>
  <si>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</si>
  <si>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</si>
  <si>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</si>
  <si>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</si>
  <si>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</si>
  <si>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</si>
  <si>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</si>
  <si>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</si>
  <si>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</si>
  <si>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</si>
  <si>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</si>
  <si>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</si>
  <si>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</si>
  <si>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</si>
  <si>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</si>
  <si>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</si>
  <si>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</si>
  <si>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</si>
  <si>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</si>
  <si>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</si>
  <si>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</si>
  <si>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</si>
  <si>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</si>
  <si>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</si>
  <si>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</si>
  <si>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</si>
  <si>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</si>
  <si>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</si>
  <si>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</si>
  <si>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</si>
  <si>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</si>
  <si>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</si>
  <si>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</si>
  <si>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</si>
  <si>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</si>
  <si>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</si>
  <si>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</si>
  <si>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</si>
  <si>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</si>
  <si>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</si>
  <si>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</si>
  <si>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</si>
  <si>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</si>
  <si>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</si>
  <si>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</si>
  <si>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</si>
  <si>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</si>
  <si>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</si>
  <si>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</si>
  <si>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</si>
  <si>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</si>
  <si>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</si>
  <si>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</si>
  <si>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</si>
  <si>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</si>
  <si>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</si>
  <si>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</si>
  <si>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</si>
  <si>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</si>
  <si>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</si>
  <si>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</si>
  <si>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</si>
  <si>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</si>
  <si>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</si>
  <si>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</si>
  <si>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</si>
  <si>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</si>
  <si>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</si>
  <si>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</si>
  <si>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</si>
  <si>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</si>
  <si>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</si>
  <si>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</si>
  <si>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</si>
  <si>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</si>
  <si>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</si>
  <si>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</si>
  <si>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</si>
  <si>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</si>
  <si>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</si>
  <si>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</si>
  <si>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</si>
  <si>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</si>
  <si>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</si>
  <si>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</si>
  <si>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</si>
  <si>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</si>
  <si>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</si>
  <si>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</si>
  <si>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</si>
  <si>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</si>
  <si>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</si>
  <si>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</si>
  <si>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</si>
  <si>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</si>
  <si>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</si>
  <si>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</si>
  <si>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</si>
  <si>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</si>
  <si>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</si>
  <si>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</si>
  <si>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</si>
  <si>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</si>
  <si>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</si>
  <si>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</si>
  <si>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</si>
  <si>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</si>
  <si>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</si>
  <si>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</si>
  <si>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</si>
  <si>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</si>
  <si>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</si>
  <si>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</si>
  <si>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</si>
  <si>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</si>
  <si>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</si>
  <si>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</si>
  <si>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</si>
  <si>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</si>
  <si>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</si>
  <si>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</si>
  <si>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</si>
  <si>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</si>
  <si>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</si>
  <si>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</si>
  <si>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</si>
  <si>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</si>
  <si>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</si>
  <si>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</si>
  <si>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</si>
  <si>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</si>
  <si>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</si>
  <si>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</si>
  <si>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</si>
  <si>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</si>
  <si>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</si>
  <si>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</si>
  <si>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</si>
  <si>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</si>
  <si>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</si>
  <si>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</si>
  <si>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</si>
  <si>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</si>
  <si>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</si>
  <si>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</si>
  <si>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</si>
  <si>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</si>
  <si>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</si>
  <si>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</si>
  <si>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</si>
  <si>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</si>
  <si>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</si>
  <si>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</si>
  <si>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</si>
  <si>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</si>
  <si>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</si>
  <si>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</si>
  <si>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</si>
  <si>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</si>
  <si>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</si>
  <si>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</si>
  <si>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</si>
  <si>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</si>
  <si>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</si>
  <si>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</si>
  <si>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</si>
  <si>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</si>
  <si>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</si>
  <si>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</si>
  <si>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</si>
  <si>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</si>
  <si>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</si>
  <si>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</si>
  <si>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</si>
  <si>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</si>
  <si>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</si>
  <si>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</si>
  <si>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</si>
  <si>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</si>
  <si>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</si>
  <si>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</si>
  <si>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</si>
  <si>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</si>
  <si>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</si>
  <si>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</si>
  <si>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Screw-M3X14mm- Pan + Head-MS</t>
  </si>
  <si>
    <t>Sleeve-25X30mm-Polyolefin Black</t>
  </si>
  <si>
    <t>Reflector Holder</t>
  </si>
  <si>
    <t>Driver</t>
  </si>
  <si>
    <t>Reflector</t>
  </si>
  <si>
    <t>Housing</t>
  </si>
  <si>
    <t>S20</t>
  </si>
  <si>
    <t>S10</t>
  </si>
  <si>
    <t>PS-5W  9V 500mA-DALI DC</t>
  </si>
  <si>
    <t>S05</t>
  </si>
  <si>
    <t>COST</t>
  </si>
  <si>
    <t>CODE</t>
  </si>
  <si>
    <t xml:space="preserve">CODE </t>
  </si>
  <si>
    <t>DRIVER</t>
  </si>
  <si>
    <t>REFLECTOR</t>
  </si>
  <si>
    <t>05-</t>
  </si>
  <si>
    <t>Temperature</t>
  </si>
  <si>
    <t>-</t>
  </si>
  <si>
    <t>10-</t>
  </si>
  <si>
    <t>20-</t>
  </si>
  <si>
    <t>10-ID</t>
  </si>
  <si>
    <t>20-ID</t>
  </si>
  <si>
    <t>05-ID</t>
  </si>
  <si>
    <t>LED Temperature</t>
  </si>
  <si>
    <t>30S</t>
  </si>
  <si>
    <t>40S</t>
  </si>
  <si>
    <t>60S</t>
  </si>
  <si>
    <t>25S</t>
  </si>
  <si>
    <t>QTY</t>
  </si>
  <si>
    <t>05Watt</t>
  </si>
  <si>
    <t>Lens</t>
  </si>
  <si>
    <t>Diffuser</t>
  </si>
  <si>
    <t>Screw</t>
  </si>
  <si>
    <t>LED Tem. QTY</t>
  </si>
  <si>
    <t>05M</t>
  </si>
  <si>
    <t>10M</t>
  </si>
  <si>
    <t>20M</t>
  </si>
  <si>
    <t>CC</t>
  </si>
  <si>
    <t>T</t>
  </si>
  <si>
    <t>I</t>
  </si>
  <si>
    <t>BT</t>
  </si>
  <si>
    <t>ID</t>
  </si>
  <si>
    <t>BTD</t>
  </si>
  <si>
    <t>MODEL NAME</t>
  </si>
  <si>
    <t>NLBS05M40</t>
  </si>
  <si>
    <t>HOUSING</t>
  </si>
  <si>
    <t>BOX</t>
  </si>
  <si>
    <t>PBX-NLBS10W</t>
  </si>
  <si>
    <t>Housing-L-78.5 W-28.5 H-38mm White NLBS5W (FAFA)</t>
  </si>
  <si>
    <t>NLBS05M30</t>
  </si>
  <si>
    <t>NLBS10M40</t>
  </si>
  <si>
    <t>Housing-L-78.5 W-28.5 H-38mm Black NLBS5W (FAFA)</t>
  </si>
  <si>
    <t>Housing-L-120 W -28.5 H-38mm White  NLBS10W (FAFA)</t>
  </si>
  <si>
    <t>Housing-L-120 W -28.5 H-38mm Black  NLBS10W (FAFA)</t>
  </si>
  <si>
    <t>Housing-L-230 W-28 H-38mm Black NLBS20W (FAFA)</t>
  </si>
  <si>
    <t>Housing-L-230 W-28 H-38mm White NLBS20W (FAFA)</t>
  </si>
  <si>
    <t>Refl-L-68 W-18 H-11.5 LES ID-13.5mm-PC NLBS5W (FAFA)</t>
  </si>
  <si>
    <t>Refl-L-110 W-18 H-11.5 LES ID-13.5mm-PC NLBS20W (FAFA)</t>
  </si>
  <si>
    <t>Refl-L-110 W-18 H-11.5 LES ID-13.5mm-PC NLBS10W (FAFA)</t>
  </si>
  <si>
    <t>SKUs</t>
  </si>
  <si>
    <t>NLBS05M60</t>
  </si>
  <si>
    <t>NLBB05M60</t>
  </si>
  <si>
    <t>NLBB05M40</t>
  </si>
  <si>
    <t>NLBB05M30</t>
  </si>
  <si>
    <t>NLBS10M60</t>
  </si>
  <si>
    <t>NLBS10M30</t>
  </si>
  <si>
    <t>NLBB10M60</t>
  </si>
  <si>
    <t>NLBB10M40</t>
  </si>
  <si>
    <t>NLBB10M30</t>
  </si>
  <si>
    <t>NLBS20M60</t>
  </si>
  <si>
    <t>NLBS20M40</t>
  </si>
  <si>
    <t>NLBS20M30</t>
  </si>
  <si>
    <t>NLBB20M60</t>
  </si>
  <si>
    <t>NLBB20M40</t>
  </si>
  <si>
    <t>NLBB20M30</t>
  </si>
  <si>
    <t>NLBS05M25ID</t>
  </si>
  <si>
    <t>NLBB05M25ID</t>
  </si>
  <si>
    <t>NLBS10M25ID</t>
  </si>
  <si>
    <t>NLBB10M25ID</t>
  </si>
  <si>
    <t>NLBS20M25ID</t>
  </si>
  <si>
    <t>NLBB20M25ID</t>
  </si>
  <si>
    <t>B05</t>
  </si>
  <si>
    <t>B10</t>
  </si>
  <si>
    <t>B20</t>
  </si>
  <si>
    <t>30B</t>
  </si>
  <si>
    <t>40B</t>
  </si>
  <si>
    <t>60B</t>
  </si>
  <si>
    <t>25B</t>
  </si>
  <si>
    <t>Refl Holder-L-68 W-18 H-12mm-PC NLBS5W (FAFA)</t>
  </si>
  <si>
    <t>Refl Holder-L-110 W-18 H-12mm-PC NLBS10W (FAFA)</t>
  </si>
  <si>
    <t>Refl Holder-L-110 W-18 H-12mm-PC NLBS20W (FAFA)</t>
  </si>
  <si>
    <t>LED SMD 3535 3000K WW</t>
  </si>
  <si>
    <t>LED SMD 3535 3V 4000K 1500mA</t>
  </si>
  <si>
    <t>LED SMD 3535 6000K CW</t>
  </si>
  <si>
    <t>LED SMD 3535 Dual Colour - 2700K - 5000K</t>
  </si>
  <si>
    <t>Diff flim-16X0.10mm-PC NLBS5/10/12W (FAFA)</t>
  </si>
  <si>
    <t>Lens-O-16 L-3.5X3.5 H-10mm 31°-PC NLBS5/10/20 (FAFA</t>
  </si>
  <si>
    <t>Cost</t>
  </si>
  <si>
    <t>PBX-NLBS05W</t>
  </si>
  <si>
    <t xml:space="preserve">Sleeve-O-20 L-21 T-0.20mm-Polyolefin Black </t>
  </si>
  <si>
    <t>Spring-L-45 W-16 Coil Dia.-1 D-7.5mm-MS NLBS5/10/20</t>
  </si>
  <si>
    <t>Screw M4x4mm , SS , Allen grub screw</t>
  </si>
  <si>
    <t>PCB 3LED L63 W-16 T-1.5mm NLBS5W (FAFA)</t>
  </si>
  <si>
    <t>PCB 5LED L-128 W-28 H-38 NLBS10W (FAFA)</t>
  </si>
  <si>
    <t>PCB 10LED L-230 W-28 H-24 NLBS20W (FAFA)</t>
  </si>
  <si>
    <t>PCB</t>
  </si>
  <si>
    <t>PS 10W 250MA 36V LPF</t>
  </si>
  <si>
    <t>Dali Driver DC-10W PE694R4230(AI-Dimming)-25-40V</t>
  </si>
  <si>
    <t>Dali Driver DC-20W PE69R4240 (AI-Dimming)-25-40V</t>
  </si>
  <si>
    <t>PBX-NLBS20W</t>
  </si>
  <si>
    <t>PS 5W 300mA 15V LPF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</si>
  <si>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</si>
  <si>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</si>
  <si>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</si>
  <si>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</si>
  <si>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</si>
  <si>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</si>
  <si>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</si>
  <si>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</si>
  <si>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</si>
  <si>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</si>
  <si>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</si>
  <si>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Input Power / Size</t>
  </si>
  <si>
    <t>Beam Angle</t>
  </si>
  <si>
    <t>Color Temp</t>
  </si>
  <si>
    <t>Driving System</t>
  </si>
  <si>
    <t/>
  </si>
  <si>
    <t>Square White Trim</t>
  </si>
  <si>
    <t>20 Watt / L230 X W28 X H38mm</t>
  </si>
  <si>
    <t>Medium - 31°</t>
  </si>
  <si>
    <t>6000K</t>
  </si>
  <si>
    <t>Constant Current</t>
  </si>
  <si>
    <t>4000k</t>
  </si>
  <si>
    <t>3000k</t>
  </si>
  <si>
    <t>Square Black Trim</t>
  </si>
  <si>
    <t>2700K - 5000K Dali + Dual Color (Driving System)</t>
  </si>
  <si>
    <t>Dali + Dual Color (2700K - 5000K)</t>
  </si>
  <si>
    <t>Electronics Store</t>
  </si>
  <si>
    <t>Connector Cable Green Male 15mm</t>
  </si>
  <si>
    <t>Sleeve M4mm Fiber Glass White</t>
  </si>
  <si>
    <t>PS 15W 225mA 60V Maxic(PCB LT-MX-20W-V2)</t>
  </si>
  <si>
    <t>SBX - COB 8-18W (12Nos)</t>
  </si>
  <si>
    <t>Unit Price</t>
  </si>
  <si>
    <t>USD</t>
  </si>
  <si>
    <t>INS&amp;FRED</t>
  </si>
  <si>
    <t>BCD</t>
  </si>
  <si>
    <t>Total Cost</t>
  </si>
  <si>
    <t>PS Rate Mention with Total Amt</t>
  </si>
  <si>
    <t>PBX Rate Including in Fitting</t>
  </si>
  <si>
    <t>PCB Rate Including in Fitting</t>
  </si>
  <si>
    <t>NLBS00W-CC</t>
  </si>
  <si>
    <t>NLBS20W  Dali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</si>
</sst>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$-409]* #,##0.00_ ;_-[$$-409]* \-#,##0.00\ ;_-[$$-409]* &quot;-&quot;??_ ;_-@_ "/>
    <numFmt numFmtId="168" formatCode="_-[$Rs-420]* #,##0.00_-;_-[$Rs-420]* #,##0.00\-;_-[$Rs-420]* &quot;-&quot;??_-;_-@_-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0" fontId="23" fillId="0" borderId="0"/>
    <xf numFmtId="0" fontId="25" fillId="0" borderId="0"/>
  </cellStyleXfs>
  <cellXfs count="190">
    <xf numFmtId="0" fontId="0" fillId="0" borderId="0" xfId="0"/>
    <xf numFmtId="0" fontId="9" fillId="0" borderId="0" xfId="0" applyFont="1"/>
    <xf numFmtId="0" fontId="10" fillId="2" borderId="0" xfId="0" applyFont="1" applyFill="1"/>
    <xf numFmtId="0" fontId="11" fillId="3" borderId="1" xfId="0" applyFont="1" applyFill="1" applyBorder="1" applyAlignment="1">
      <alignment horizontal="center" wrapText="1"/>
    </xf>
    <xf numFmtId="0" fontId="12" fillId="2" borderId="0" xfId="0" applyFont="1" applyFill="1"/>
    <xf numFmtId="0" fontId="0" fillId="2" borderId="0" xfId="0" applyFill="1"/>
    <xf numFmtId="0" fontId="11" fillId="4" borderId="1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wrapText="1"/>
    </xf>
    <xf numFmtId="0" fontId="13" fillId="2" borderId="4" xfId="0" applyFont="1" applyFill="1" applyBorder="1"/>
    <xf numFmtId="0" fontId="9" fillId="2" borderId="5" xfId="0" applyFont="1" applyFill="1" applyBorder="1"/>
    <xf numFmtId="0" fontId="11" fillId="0" borderId="6" xfId="0" applyFont="1" applyBorder="1" applyAlignment="1">
      <alignment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/>
    <xf numFmtId="0" fontId="14" fillId="2" borderId="7" xfId="0" applyFont="1" applyFill="1" applyBorder="1" applyAlignment="1">
      <alignment horizontal="left" indent="2"/>
    </xf>
    <xf numFmtId="0" fontId="9" fillId="2" borderId="0" xfId="0" applyFont="1" applyFill="1" applyAlignment="1">
      <alignment horizontal="left" indent="2"/>
    </xf>
    <xf numFmtId="0" fontId="9" fillId="0" borderId="1" xfId="0" applyFont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indent="2"/>
    </xf>
    <xf numFmtId="0" fontId="9" fillId="2" borderId="7" xfId="0" applyFont="1" applyFill="1" applyBorder="1" applyAlignment="1">
      <alignment horizontal="left" indent="2"/>
    </xf>
    <xf numFmtId="0" fontId="15" fillId="2" borderId="7" xfId="0" applyFont="1" applyFill="1" applyBorder="1" applyAlignment="1">
      <alignment horizontal="left" indent="2"/>
    </xf>
    <xf numFmtId="0" fontId="15" fillId="2" borderId="0" xfId="0" applyFont="1" applyFill="1" applyAlignment="1">
      <alignment horizontal="left" indent="2"/>
    </xf>
    <xf numFmtId="0" fontId="15" fillId="2" borderId="7" xfId="0" applyFont="1" applyFill="1" applyBorder="1" applyAlignment="1">
      <alignment horizontal="left" indent="3"/>
    </xf>
    <xf numFmtId="0" fontId="16" fillId="2" borderId="7" xfId="0" applyFont="1" applyFill="1" applyBorder="1" applyAlignment="1">
      <alignment horizontal="left" indent="3"/>
    </xf>
    <xf numFmtId="0" fontId="17" fillId="2" borderId="0" xfId="0" applyFont="1" applyFill="1" applyAlignment="1">
      <alignment horizontal="left" indent="3"/>
    </xf>
    <xf numFmtId="0" fontId="18" fillId="0" borderId="3" xfId="0" applyFont="1" applyBorder="1" applyAlignment="1">
      <alignment wrapText="1"/>
    </xf>
    <xf numFmtId="0" fontId="9" fillId="2" borderId="7" xfId="0" applyFont="1" applyFill="1" applyBorder="1"/>
    <xf numFmtId="0" fontId="9" fillId="2" borderId="8" xfId="0" applyFont="1" applyFill="1" applyBorder="1"/>
    <xf numFmtId="0" fontId="9" fillId="2" borderId="9" xfId="0" applyFont="1" applyFill="1" applyBorder="1"/>
    <xf numFmtId="0" fontId="14" fillId="2" borderId="0" xfId="0" applyFont="1" applyFill="1"/>
    <xf numFmtId="0" fontId="11" fillId="2" borderId="0" xfId="0" applyFont="1" applyFill="1"/>
    <xf numFmtId="0" fontId="11" fillId="4" borderId="2" xfId="0" applyFont="1" applyFill="1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left" indent="1"/>
    </xf>
    <xf numFmtId="0" fontId="17" fillId="2" borderId="0" xfId="0" applyFont="1" applyFill="1" applyAlignment="1">
      <alignment horizontal="left" indent="1"/>
    </xf>
    <xf numFmtId="0" fontId="9" fillId="0" borderId="3" xfId="0" applyFont="1" applyBorder="1" applyAlignment="1">
      <alignment wrapText="1"/>
    </xf>
    <xf numFmtId="0" fontId="13" fillId="2" borderId="5" xfId="0" applyFont="1" applyFill="1" applyBorder="1"/>
    <xf numFmtId="0" fontId="19" fillId="2" borderId="0" xfId="1" applyFill="1" applyBorder="1" applyAlignment="1"/>
    <xf numFmtId="0" fontId="19" fillId="2" borderId="0" xfId="1" applyFill="1" applyBorder="1"/>
    <xf numFmtId="0" fontId="13" fillId="2" borderId="10" xfId="0" applyFont="1" applyFill="1" applyBorder="1"/>
    <xf numFmtId="0" fontId="9" fillId="2" borderId="11" xfId="0" applyFont="1" applyFill="1" applyBorder="1" applyAlignment="1">
      <alignment horizontal="left" indent="2"/>
    </xf>
    <xf numFmtId="0" fontId="15" fillId="2" borderId="11" xfId="0" applyFont="1" applyFill="1" applyBorder="1" applyAlignment="1">
      <alignment horizontal="left" indent="2"/>
    </xf>
    <xf numFmtId="0" fontId="9" fillId="2" borderId="11" xfId="0" applyFont="1" applyFill="1" applyBorder="1"/>
    <xf numFmtId="0" fontId="9" fillId="2" borderId="12" xfId="0" applyFont="1" applyFill="1" applyBorder="1"/>
    <xf numFmtId="0" fontId="10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20" fillId="5" borderId="1" xfId="0" applyFont="1" applyFill="1" applyBorder="1" applyAlignment="1">
      <alignment horizontal="center" vertical="center"/>
    </xf>
    <xf numFmtId="0" fontId="22" fillId="6" borderId="1" xfId="0" applyFont="1" applyFill="1" applyBorder="1"/>
    <xf numFmtId="0" fontId="0" fillId="0" borderId="1" xfId="0" applyBorder="1"/>
    <xf numFmtId="0" fontId="22" fillId="0" borderId="1" xfId="0" applyFont="1" applyBorder="1"/>
    <xf numFmtId="0" fontId="24" fillId="0" borderId="1" xfId="0" applyFont="1" applyBorder="1" applyAlignment="1">
      <alignment horizontal="left" vertical="center" wrapText="1"/>
    </xf>
    <xf numFmtId="0" fontId="0" fillId="6" borderId="13" xfId="0" applyFill="1" applyBorder="1"/>
    <xf numFmtId="0" fontId="22" fillId="0" borderId="0" xfId="0" applyFont="1" applyAlignment="1">
      <alignment horizontal="left"/>
    </xf>
    <xf numFmtId="0" fontId="22" fillId="0" borderId="0" xfId="0" applyFont="1"/>
    <xf numFmtId="0" fontId="0" fillId="0" borderId="2" xfId="0" applyBorder="1"/>
    <xf numFmtId="0" fontId="22" fillId="0" borderId="14" xfId="0" applyFont="1" applyBorder="1"/>
    <xf numFmtId="0" fontId="22" fillId="0" borderId="2" xfId="0" applyFont="1" applyBorder="1"/>
    <xf numFmtId="0" fontId="22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17" xfId="0" applyFill="1" applyBorder="1"/>
    <xf numFmtId="0" fontId="0" fillId="0" borderId="19" xfId="0" applyBorder="1"/>
    <xf numFmtId="0" fontId="0" fillId="7" borderId="2" xfId="0" applyFill="1" applyBorder="1"/>
    <xf numFmtId="0" fontId="22" fillId="0" borderId="14" xfId="0" applyFont="1" applyBorder="1" applyAlignment="1">
      <alignment horizontal="left"/>
    </xf>
    <xf numFmtId="0" fontId="0" fillId="0" borderId="15" xfId="0" applyBorder="1"/>
    <xf numFmtId="0" fontId="0" fillId="0" borderId="2" xfId="0" applyBorder="1" applyAlignment="1">
      <alignment wrapText="1"/>
    </xf>
    <xf numFmtId="0" fontId="0" fillId="0" borderId="6" xfId="0" applyBorder="1"/>
    <xf numFmtId="0" fontId="0" fillId="8" borderId="20" xfId="0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49" fontId="22" fillId="0" borderId="14" xfId="0" applyNumberFormat="1" applyFont="1" applyBorder="1" applyAlignment="1">
      <alignment horizontal="left"/>
    </xf>
    <xf numFmtId="0" fontId="22" fillId="8" borderId="21" xfId="0" applyFont="1" applyFill="1" applyBorder="1"/>
    <xf numFmtId="0" fontId="22" fillId="9" borderId="21" xfId="0" applyFont="1" applyFill="1" applyBorder="1"/>
    <xf numFmtId="0" fontId="22" fillId="9" borderId="31" xfId="0" applyFont="1" applyFill="1" applyBorder="1"/>
    <xf numFmtId="0" fontId="22" fillId="8" borderId="19" xfId="0" applyFont="1" applyFill="1" applyBorder="1"/>
    <xf numFmtId="0" fontId="0" fillId="10" borderId="2" xfId="0" applyFill="1" applyBorder="1"/>
    <xf numFmtId="0" fontId="22" fillId="0" borderId="22" xfId="0" applyFont="1" applyBorder="1"/>
    <xf numFmtId="0" fontId="22" fillId="0" borderId="32" xfId="0" applyFont="1" applyBorder="1"/>
    <xf numFmtId="49" fontId="22" fillId="0" borderId="14" xfId="0" applyNumberFormat="1" applyFont="1" applyBorder="1"/>
    <xf numFmtId="0" fontId="22" fillId="6" borderId="24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 wrapText="1"/>
    </xf>
    <xf numFmtId="0" fontId="22" fillId="0" borderId="0" xfId="0" applyFont="1" applyBorder="1"/>
    <xf numFmtId="0" fontId="0" fillId="0" borderId="0" xfId="0" applyBorder="1"/>
    <xf numFmtId="0" fontId="22" fillId="6" borderId="25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0" fontId="22" fillId="0" borderId="34" xfId="0" applyFont="1" applyFill="1" applyBorder="1" applyAlignment="1">
      <alignment horizontal="center" vertical="center"/>
    </xf>
    <xf numFmtId="0" fontId="0" fillId="0" borderId="34" xfId="0" applyBorder="1"/>
    <xf numFmtId="0" fontId="0" fillId="6" borderId="0" xfId="0" applyFill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0" fillId="0" borderId="14" xfId="0" applyBorder="1"/>
    <xf numFmtId="0" fontId="22" fillId="6" borderId="13" xfId="0" applyFont="1" applyFill="1" applyBorder="1"/>
    <xf numFmtId="0" fontId="22" fillId="6" borderId="13" xfId="0" applyFont="1" applyFill="1" applyBorder="1" applyAlignment="1">
      <alignment horizontal="center" vertical="center"/>
    </xf>
    <xf numFmtId="0" fontId="22" fillId="0" borderId="32" xfId="0" applyFont="1" applyFill="1" applyBorder="1"/>
    <xf numFmtId="0" fontId="22" fillId="0" borderId="33" xfId="0" applyFont="1" applyFill="1" applyBorder="1"/>
    <xf numFmtId="0" fontId="0" fillId="7" borderId="20" xfId="0" applyFill="1" applyBorder="1"/>
    <xf numFmtId="0" fontId="0" fillId="7" borderId="19" xfId="0" applyFill="1" applyBorder="1"/>
    <xf numFmtId="0" fontId="0" fillId="7" borderId="16" xfId="0" applyFill="1" applyBorder="1"/>
    <xf numFmtId="0" fontId="23" fillId="0" borderId="1" xfId="2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5" xfId="0" applyFont="1" applyBorder="1"/>
    <xf numFmtId="0" fontId="8" fillId="0" borderId="0" xfId="0" applyFont="1" applyFill="1" applyBorder="1"/>
    <xf numFmtId="0" fontId="23" fillId="0" borderId="0" xfId="0" applyFont="1"/>
    <xf numFmtId="0" fontId="8" fillId="0" borderId="14" xfId="0" applyFont="1" applyBorder="1"/>
    <xf numFmtId="0" fontId="7" fillId="0" borderId="1" xfId="0" applyFont="1" applyBorder="1"/>
    <xf numFmtId="0" fontId="7" fillId="0" borderId="2" xfId="0" applyFont="1" applyBorder="1"/>
    <xf numFmtId="0" fontId="6" fillId="6" borderId="0" xfId="0" applyFont="1" applyFill="1" applyBorder="1" applyAlignment="1">
      <alignment horizontal="center" vertical="center"/>
    </xf>
    <xf numFmtId="0" fontId="22" fillId="6" borderId="36" xfId="0" applyFont="1" applyFill="1" applyBorder="1"/>
    <xf numFmtId="0" fontId="0" fillId="6" borderId="36" xfId="0" applyFill="1" applyBorder="1"/>
    <xf numFmtId="0" fontId="22" fillId="0" borderId="35" xfId="0" applyFont="1" applyBorder="1" applyAlignment="1"/>
    <xf numFmtId="0" fontId="22" fillId="0" borderId="15" xfId="0" applyFont="1" applyBorder="1" applyAlignment="1"/>
    <xf numFmtId="0" fontId="22" fillId="0" borderId="14" xfId="0" applyFont="1" applyBorder="1" applyAlignment="1"/>
    <xf numFmtId="0" fontId="0" fillId="6" borderId="0" xfId="0" applyFill="1" applyBorder="1" applyAlignment="1">
      <alignment horizontal="center" vertical="center"/>
    </xf>
    <xf numFmtId="0" fontId="6" fillId="0" borderId="1" xfId="0" applyFont="1" applyBorder="1"/>
    <xf numFmtId="0" fontId="22" fillId="8" borderId="22" xfId="0" applyFont="1" applyFill="1" applyBorder="1"/>
    <xf numFmtId="0" fontId="0" fillId="0" borderId="32" xfId="0" applyBorder="1"/>
    <xf numFmtId="0" fontId="0" fillId="7" borderId="32" xfId="0" applyFill="1" applyBorder="1"/>
    <xf numFmtId="0" fontId="0" fillId="0" borderId="33" xfId="0" applyBorder="1"/>
    <xf numFmtId="0" fontId="7" fillId="0" borderId="15" xfId="0" applyFont="1" applyBorder="1"/>
    <xf numFmtId="0" fontId="6" fillId="6" borderId="1" xfId="0" applyFont="1" applyFill="1" applyBorder="1" applyAlignment="1">
      <alignment horizontal="center" vertical="center"/>
    </xf>
    <xf numFmtId="0" fontId="22" fillId="6" borderId="37" xfId="0" applyFont="1" applyFill="1" applyBorder="1"/>
    <xf numFmtId="0" fontId="0" fillId="6" borderId="37" xfId="0" applyFill="1" applyBorder="1"/>
    <xf numFmtId="0" fontId="5" fillId="0" borderId="1" xfId="0" applyFont="1" applyFill="1" applyBorder="1"/>
    <xf numFmtId="0" fontId="0" fillId="6" borderId="0" xfId="0" applyFill="1" applyBorder="1"/>
    <xf numFmtId="0" fontId="0" fillId="6" borderId="0" xfId="0" applyFill="1"/>
    <xf numFmtId="0" fontId="5" fillId="6" borderId="0" xfId="0" applyFont="1" applyFill="1" applyBorder="1" applyAlignment="1">
      <alignment horizontal="center" vertical="center"/>
    </xf>
    <xf numFmtId="0" fontId="5" fillId="6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25" fillId="0" borderId="0" xfId="3"/>
    <xf numFmtId="0" fontId="26" fillId="0" borderId="38" xfId="0" applyNumberFormat="1" applyFont="1" applyFill="1" applyBorder="1" applyAlignment="1" applyProtection="1"/>
    <xf numFmtId="0" fontId="26" fillId="0" borderId="39" xfId="0" applyNumberFormat="1" applyFont="1" applyFill="1" applyBorder="1" applyAlignment="1" applyProtection="1"/>
    <xf numFmtId="0" fontId="26" fillId="0" borderId="40" xfId="0" applyNumberFormat="1" applyFont="1" applyFill="1" applyBorder="1" applyAlignment="1" applyProtection="1"/>
    <xf numFmtId="0" fontId="23" fillId="6" borderId="1" xfId="2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6" fillId="0" borderId="41" xfId="0" applyNumberFormat="1" applyFont="1" applyFill="1" applyBorder="1" applyAlignment="1" applyProtection="1"/>
    <xf numFmtId="0" fontId="0" fillId="11" borderId="1" xfId="0" applyFill="1" applyBorder="1"/>
    <xf numFmtId="0" fontId="26" fillId="9" borderId="38" xfId="0" applyNumberFormat="1" applyFont="1" applyFill="1" applyBorder="1" applyAlignment="1" applyProtection="1"/>
    <xf numFmtId="0" fontId="0" fillId="0" borderId="0" xfId="0" applyAlignment="1">
      <alignment horizontal="center"/>
    </xf>
    <xf numFmtId="0" fontId="15" fillId="2" borderId="0" xfId="0" applyFont="1" applyFill="1" applyAlignment="1">
      <alignment horizontal="left" wrapText="1"/>
    </xf>
    <xf numFmtId="0" fontId="15" fillId="2" borderId="7" xfId="0" applyFont="1" applyFill="1" applyBorder="1" applyAlignment="1">
      <alignment horizontal="left" wrapText="1" indent="2"/>
    </xf>
    <xf numFmtId="0" fontId="15" fillId="2" borderId="0" xfId="0" applyFont="1" applyFill="1" applyAlignment="1">
      <alignment horizontal="left" wrapText="1" indent="2"/>
    </xf>
    <xf numFmtId="0" fontId="15" fillId="2" borderId="11" xfId="0" applyFont="1" applyFill="1" applyBorder="1" applyAlignment="1">
      <alignment horizontal="left" wrapText="1" indent="2"/>
    </xf>
    <xf numFmtId="0" fontId="26" fillId="12" borderId="41" xfId="0" applyNumberFormat="1" applyFont="1" applyFill="1" applyBorder="1" applyAlignment="1" applyProtection="1"/>
    <xf numFmtId="0" fontId="0" fillId="0" borderId="1" xfId="0" applyFill="1" applyBorder="1"/>
    <xf numFmtId="0" fontId="27" fillId="0" borderId="41" xfId="0" applyNumberFormat="1" applyFont="1" applyBorder="1" applyAlignment="1">
      <alignment horizontal="center" vertical="center"/>
    </xf>
    <xf numFmtId="164" fontId="27" fillId="0" borderId="41" xfId="0" applyNumberFormat="1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8" fillId="0" borderId="0" xfId="0" applyFont="1"/>
    <xf numFmtId="168" fontId="27" fillId="0" borderId="41" xfId="0" applyNumberFormat="1" applyFont="1" applyFill="1" applyBorder="1" applyAlignment="1">
      <alignment horizontal="right" vertical="center"/>
    </xf>
    <xf numFmtId="166" fontId="28" fillId="0" borderId="0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164" fontId="28" fillId="0" borderId="0" xfId="0" applyNumberFormat="1" applyFont="1" applyBorder="1" applyAlignment="1">
      <alignment horizontal="right" vertical="center"/>
    </xf>
    <xf numFmtId="0" fontId="1" fillId="0" borderId="1" xfId="0" applyFont="1" applyBorder="1"/>
    <xf numFmtId="168" fontId="0" fillId="0" borderId="0" xfId="0" applyNumberFormat="1"/>
    <xf numFmtId="165" fontId="29" fillId="0" borderId="41" xfId="0" applyNumberFormat="1" applyFont="1" applyBorder="1" applyAlignment="1">
      <alignment horizontal="center" vertical="center"/>
    </xf>
    <xf numFmtId="165" fontId="29" fillId="0" borderId="42" xfId="0" applyNumberFormat="1" applyFont="1" applyBorder="1" applyAlignment="1">
      <alignment horizontal="center" vertical="center"/>
    </xf>
    <xf numFmtId="165" fontId="29" fillId="0" borderId="43" xfId="0" applyNumberFormat="1" applyFont="1" applyBorder="1" applyAlignment="1">
      <alignment horizontal="center" vertical="center"/>
    </xf>
    <xf numFmtId="165" fontId="29" fillId="0" borderId="6" xfId="0" applyNumberFormat="1" applyFont="1" applyBorder="1" applyAlignment="1">
      <alignment horizontal="center" vertical="center"/>
    </xf>
    <xf numFmtId="165" fontId="29" fillId="0" borderId="41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horizontal="center" vertical="center"/>
    </xf>
    <xf numFmtId="0" fontId="29" fillId="0" borderId="0" xfId="0" applyFont="1"/>
    <xf numFmtId="165" fontId="30" fillId="11" borderId="44" xfId="0" applyNumberFormat="1" applyFont="1" applyFill="1" applyBorder="1" applyAlignment="1">
      <alignment horizontal="center" vertical="center"/>
    </xf>
    <xf numFmtId="167" fontId="29" fillId="0" borderId="42" xfId="0" applyNumberFormat="1" applyFont="1" applyBorder="1" applyAlignment="1">
      <alignment horizontal="center" vertical="center"/>
    </xf>
    <xf numFmtId="9" fontId="29" fillId="0" borderId="41" xfId="0" applyNumberFormat="1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67" fontId="29" fillId="0" borderId="41" xfId="0" applyNumberFormat="1" applyFont="1" applyBorder="1" applyAlignment="1">
      <alignment horizontal="center" vertical="center"/>
    </xf>
    <xf numFmtId="167" fontId="29" fillId="0" borderId="43" xfId="0" applyNumberFormat="1" applyFont="1" applyBorder="1" applyAlignment="1">
      <alignment horizontal="center" vertical="center"/>
    </xf>
    <xf numFmtId="167" fontId="29" fillId="0" borderId="6" xfId="0" applyNumberFormat="1" applyFont="1" applyBorder="1" applyAlignment="1">
      <alignment horizontal="center" vertical="center"/>
    </xf>
    <xf numFmtId="0" fontId="30" fillId="13" borderId="40" xfId="0" applyFont="1" applyFill="1" applyBorder="1" applyAlignment="1">
      <alignment horizontal="right" vertical="center"/>
    </xf>
    <xf numFmtId="0" fontId="30" fillId="13" borderId="39" xfId="0" applyFont="1" applyFill="1" applyBorder="1" applyAlignment="1">
      <alignment horizontal="right" vertical="center"/>
    </xf>
    <xf numFmtId="0" fontId="30" fillId="14" borderId="40" xfId="0" applyFont="1" applyFill="1" applyBorder="1" applyAlignment="1">
      <alignment horizontal="right" vertical="center"/>
    </xf>
    <xf numFmtId="0" fontId="30" fillId="14" borderId="39" xfId="0" applyFont="1" applyFill="1" applyBorder="1" applyAlignment="1">
      <alignment horizontal="right" vertical="center"/>
    </xf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G1" workbookViewId="0">
      <selection activeCell="N22" sqref="N22"/>
    </sheetView>
  </sheetViews>
  <sheetFormatPr defaultColWidth="9" defaultRowHeight="15"/>
  <cols>
    <col min="1" max="1" width="23.7109375" bestFit="1" customWidth="1"/>
    <col min="2" max="2" width="17" customWidth="1"/>
    <col min="3" max="3" width="8.7109375" customWidth="1"/>
    <col min="4" max="4" width="14" customWidth="1"/>
    <col min="5" max="5" width="20.42578125" customWidth="1"/>
    <col min="6" max="6" width="51.28515625" customWidth="1"/>
    <col min="7" max="7" width="27.28515625" customWidth="1"/>
    <col min="8" max="8" width="32.7109375" hidden="1" customWidth="1"/>
    <col min="9" max="9" width="23.28515625" hidden="1" customWidth="1"/>
    <col min="10" max="10" width="14.42578125" customWidth="1"/>
    <col min="11" max="12" width="12" customWidth="1"/>
    <col min="14" max="14" width="11.710937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235</v>
      </c>
      <c r="K1" s="162" t="s">
        <v>334</v>
      </c>
      <c r="L1" s="162" t="s">
        <v>289</v>
      </c>
      <c r="M1" s="163" t="s">
        <v>335</v>
      </c>
      <c r="N1" s="164" t="s">
        <v>336</v>
      </c>
      <c r="O1" s="164" t="s">
        <v>337</v>
      </c>
      <c r="P1" s="163" t="s">
        <v>338</v>
      </c>
    </row>
    <row r="2" spans="1:16">
      <c r="A2" s="52" t="str">
        <f>CONCATENATE(D2)</f>
        <v>NLBS20M30</v>
      </c>
      <c r="B2" s="50" t="s">
        <v>190</v>
      </c>
      <c r="C2" s="50" t="s">
        <v>191</v>
      </c>
      <c r="D2" s="90" t="s">
        <v>263</v>
      </c>
      <c r="E2" s="50">
        <v>1</v>
      </c>
      <c r="F2" s="49" t="str">
        <f>VLOOKUP('NLBS-DATA'!$AV$5,'NLBS-DATA'!A2:B9,2,0)</f>
        <v>Housing-L-230 W-28 H-38mm White NLBS20W (FAFA)</v>
      </c>
      <c r="G2" s="149">
        <v>1</v>
      </c>
      <c r="H2" s="50" t="s">
        <v>189</v>
      </c>
      <c r="I2" s="50" t="s">
        <v>9</v>
      </c>
      <c r="J2" s="50"/>
      <c r="K2" s="172">
        <f>P2*87</f>
        <v>812.23199999999997</v>
      </c>
      <c r="L2" s="173">
        <f>K2*G2</f>
        <v>812.23199999999997</v>
      </c>
      <c r="M2" s="180">
        <v>6.2240000000000002</v>
      </c>
      <c r="N2" s="181">
        <v>0.5</v>
      </c>
      <c r="O2" s="182"/>
      <c r="P2" s="183">
        <f t="shared" ref="P2:P11" si="0">M2+(M2*(N2+O2))</f>
        <v>9.3360000000000003</v>
      </c>
    </row>
    <row r="3" spans="1:16">
      <c r="A3" s="50"/>
      <c r="B3" s="50"/>
      <c r="C3" s="50"/>
      <c r="D3" s="50"/>
      <c r="E3" s="50"/>
      <c r="F3" s="49" t="str">
        <f>VLOOKUP('NLBS-DATA'!$AV$5,'NLBS-DATA'!$E$2:$G$9,2,0)</f>
        <v>Refl-L-110 W-18 H-11.5 LES ID-13.5mm-PC NLBS20W (FAFA)</v>
      </c>
      <c r="G3" s="112">
        <f>VLOOKUP('NLBS-DATA'!$AV$5,'NLBS-DATA'!E2:G9,3,0)</f>
        <v>2</v>
      </c>
      <c r="H3" s="50" t="s">
        <v>189</v>
      </c>
      <c r="I3" s="50" t="s">
        <v>9</v>
      </c>
      <c r="J3" s="50"/>
      <c r="K3" s="172"/>
      <c r="L3" s="174"/>
      <c r="M3" s="184">
        <v>0</v>
      </c>
      <c r="N3" s="182">
        <v>0.5</v>
      </c>
      <c r="O3" s="182"/>
      <c r="P3" s="183">
        <f t="shared" si="0"/>
        <v>0</v>
      </c>
    </row>
    <row r="4" spans="1:16">
      <c r="A4" s="50"/>
      <c r="B4" s="50"/>
      <c r="C4" s="50"/>
      <c r="D4" s="50"/>
      <c r="E4" s="50"/>
      <c r="F4" s="49" t="str">
        <f>VLOOKUP('NLBS-DATA'!$AV$5,'NLBS-DATA'!$N$2:$P$9,2,0)</f>
        <v>Refl Holder-L-110 W-18 H-12mm-PC NLBS20W (FAFA)</v>
      </c>
      <c r="G4" s="112">
        <f>VLOOKUP('NLBS-DATA'!$AV$5,'NLBS-DATA'!$N$2:$P$9,3,0)</f>
        <v>2</v>
      </c>
      <c r="H4" s="50" t="s">
        <v>189</v>
      </c>
      <c r="I4" s="50" t="s">
        <v>9</v>
      </c>
      <c r="J4" s="50"/>
      <c r="K4" s="172"/>
      <c r="L4" s="174"/>
      <c r="M4" s="184">
        <v>0</v>
      </c>
      <c r="N4" s="182">
        <v>0.5</v>
      </c>
      <c r="O4" s="182"/>
      <c r="P4" s="183">
        <f t="shared" si="0"/>
        <v>0</v>
      </c>
    </row>
    <row r="5" spans="1:16">
      <c r="A5" s="50"/>
      <c r="B5" s="50"/>
      <c r="C5" s="50"/>
      <c r="D5" s="50"/>
      <c r="E5" s="50"/>
      <c r="F5" t="s">
        <v>288</v>
      </c>
      <c r="G5" s="150">
        <f>VLOOKUP('NLBS-DATA'!$AV$5,'NLBS-DATA'!$Y$3:$AB$9,3,0)</f>
        <v>10</v>
      </c>
      <c r="H5" s="50" t="s">
        <v>189</v>
      </c>
      <c r="I5" s="50" t="s">
        <v>9</v>
      </c>
      <c r="J5" s="50"/>
      <c r="K5" s="172"/>
      <c r="L5" s="174"/>
      <c r="M5" s="184">
        <v>0</v>
      </c>
      <c r="N5" s="182">
        <v>0.5</v>
      </c>
      <c r="O5" s="182"/>
      <c r="P5" s="183">
        <f t="shared" si="0"/>
        <v>0</v>
      </c>
    </row>
    <row r="6" spans="1:16">
      <c r="A6" s="50"/>
      <c r="B6" s="50"/>
      <c r="C6" s="50"/>
      <c r="D6" s="50"/>
      <c r="E6" s="50"/>
      <c r="F6" s="152" t="s">
        <v>287</v>
      </c>
      <c r="G6" s="110">
        <f>VLOOKUP('NLBS-DATA'!$AV$5,'NLBS-DATA'!$AD$3:$AF$9,3,0)</f>
        <v>10</v>
      </c>
      <c r="H6" s="50" t="s">
        <v>189</v>
      </c>
      <c r="I6" s="50" t="s">
        <v>9</v>
      </c>
      <c r="J6" s="50"/>
      <c r="K6" s="172"/>
      <c r="L6" s="174"/>
      <c r="M6" s="184">
        <v>0</v>
      </c>
      <c r="N6" s="182">
        <v>0.5</v>
      </c>
      <c r="O6" s="182"/>
      <c r="P6" s="183">
        <f t="shared" si="0"/>
        <v>0</v>
      </c>
    </row>
    <row r="7" spans="1:16">
      <c r="A7" s="50"/>
      <c r="B7" s="50"/>
      <c r="C7" s="50"/>
      <c r="D7" s="50"/>
      <c r="E7" s="50"/>
      <c r="F7" s="50" t="s">
        <v>292</v>
      </c>
      <c r="G7" s="110">
        <v>2</v>
      </c>
      <c r="H7" s="50" t="s">
        <v>189</v>
      </c>
      <c r="I7" s="50" t="s">
        <v>9</v>
      </c>
      <c r="J7" s="50"/>
      <c r="K7" s="172"/>
      <c r="L7" s="174"/>
      <c r="M7" s="184">
        <v>0</v>
      </c>
      <c r="N7" s="182">
        <v>0.5</v>
      </c>
      <c r="O7" s="182"/>
      <c r="P7" s="183">
        <f t="shared" si="0"/>
        <v>0</v>
      </c>
    </row>
    <row r="8" spans="1:16">
      <c r="A8" s="50"/>
      <c r="B8" s="50"/>
      <c r="C8" s="50"/>
      <c r="D8" s="50"/>
      <c r="E8" s="50"/>
      <c r="F8" s="153" t="s">
        <v>291</v>
      </c>
      <c r="G8" s="110">
        <v>2</v>
      </c>
      <c r="H8" s="50" t="s">
        <v>189</v>
      </c>
      <c r="I8" s="50" t="s">
        <v>9</v>
      </c>
      <c r="J8" s="50"/>
      <c r="K8" s="172"/>
      <c r="L8" s="174"/>
      <c r="M8" s="184">
        <v>0</v>
      </c>
      <c r="N8" s="182">
        <v>0.5</v>
      </c>
      <c r="O8" s="182"/>
      <c r="P8" s="183">
        <f t="shared" si="0"/>
        <v>0</v>
      </c>
    </row>
    <row r="9" spans="1:16">
      <c r="A9" s="50"/>
      <c r="B9" s="50"/>
      <c r="C9" s="50"/>
      <c r="D9" s="50"/>
      <c r="E9" s="50"/>
      <c r="F9" s="160" t="s">
        <v>330</v>
      </c>
      <c r="G9" s="110">
        <v>1</v>
      </c>
      <c r="H9" s="50" t="s">
        <v>189</v>
      </c>
      <c r="I9" s="50" t="s">
        <v>9</v>
      </c>
      <c r="J9" s="50"/>
      <c r="K9" s="172"/>
      <c r="L9" s="174"/>
      <c r="M9" s="184">
        <v>0</v>
      </c>
      <c r="N9" s="182">
        <v>0.5</v>
      </c>
      <c r="O9" s="182"/>
      <c r="P9" s="183">
        <f t="shared" si="0"/>
        <v>0</v>
      </c>
    </row>
    <row r="10" spans="1:16">
      <c r="A10" s="50"/>
      <c r="B10" s="50"/>
      <c r="C10" s="50"/>
      <c r="D10" s="50"/>
      <c r="E10" s="161"/>
      <c r="F10" s="153" t="s">
        <v>193</v>
      </c>
      <c r="G10" s="110">
        <v>1</v>
      </c>
      <c r="H10" s="50" t="s">
        <v>189</v>
      </c>
      <c r="I10" s="50" t="s">
        <v>9</v>
      </c>
      <c r="J10" s="50"/>
      <c r="K10" s="172"/>
      <c r="L10" s="174"/>
      <c r="M10" s="184">
        <v>0</v>
      </c>
      <c r="N10" s="182">
        <v>0.5</v>
      </c>
      <c r="O10" s="182"/>
      <c r="P10" s="183">
        <f t="shared" si="0"/>
        <v>0</v>
      </c>
    </row>
    <row r="11" spans="1:16">
      <c r="A11" s="50"/>
      <c r="B11" s="50"/>
      <c r="C11" s="50"/>
      <c r="D11" s="50"/>
      <c r="E11" s="161"/>
      <c r="F11" s="49" t="str">
        <f>VLOOKUP('NLBS-DATA'!$AV$5,'NLBS-DATA'!$AI$3:$AK$9,2,0)</f>
        <v>Screw-M3X14mm- Pan + Head-MS</v>
      </c>
      <c r="G11" s="112">
        <f>VLOOKUP('NLBS-DATA'!$AV$5,'NLBS-DATA'!$AI$3:$AK$9,3,0)</f>
        <v>8</v>
      </c>
      <c r="H11" s="50" t="s">
        <v>189</v>
      </c>
      <c r="I11" s="50" t="s">
        <v>9</v>
      </c>
      <c r="J11" s="50"/>
      <c r="K11" s="172"/>
      <c r="L11" s="175"/>
      <c r="M11" s="185">
        <v>0</v>
      </c>
      <c r="N11" s="182">
        <v>0.5</v>
      </c>
      <c r="O11" s="182"/>
      <c r="P11" s="183">
        <f t="shared" si="0"/>
        <v>0</v>
      </c>
    </row>
    <row r="12" spans="1:16">
      <c r="A12" s="50"/>
      <c r="B12" s="50"/>
      <c r="C12" s="50"/>
      <c r="D12" s="50"/>
      <c r="E12" s="50"/>
      <c r="F12" s="50" t="s">
        <v>293</v>
      </c>
      <c r="G12" s="110">
        <v>1</v>
      </c>
      <c r="H12" s="50" t="s">
        <v>189</v>
      </c>
      <c r="I12" s="50" t="s">
        <v>9</v>
      </c>
      <c r="J12" s="50"/>
      <c r="K12" s="176">
        <v>0.7</v>
      </c>
      <c r="L12" s="176">
        <f>K12*G12</f>
        <v>0.7</v>
      </c>
    </row>
    <row r="13" spans="1:16">
      <c r="A13" s="50"/>
      <c r="B13" s="50"/>
      <c r="C13" s="50"/>
      <c r="D13" s="50"/>
      <c r="E13" s="50"/>
      <c r="F13" t="str">
        <f>CONCATENATE($D$2," ", "BOM LED PCB")</f>
        <v>NLBS20M30 BOM LED PCB</v>
      </c>
      <c r="G13" s="110">
        <v>1</v>
      </c>
      <c r="H13" s="50" t="s">
        <v>189</v>
      </c>
      <c r="I13" s="50" t="s">
        <v>9</v>
      </c>
      <c r="J13" s="50"/>
      <c r="K13" s="176"/>
      <c r="L13" s="176"/>
    </row>
    <row r="14" spans="1:16">
      <c r="A14" s="50"/>
      <c r="B14" s="50"/>
      <c r="C14" s="50"/>
      <c r="D14" s="50"/>
      <c r="E14" s="50"/>
      <c r="F14" s="152" t="s">
        <v>331</v>
      </c>
      <c r="G14" s="110">
        <v>0.12</v>
      </c>
      <c r="H14" s="50" t="s">
        <v>189</v>
      </c>
      <c r="I14" s="50" t="s">
        <v>9</v>
      </c>
      <c r="J14" s="50"/>
      <c r="K14" s="177">
        <f>5.7/1000*120</f>
        <v>0.68400000000000005</v>
      </c>
      <c r="L14" s="176">
        <f t="shared" ref="L13:L19" si="1">K14*G14</f>
        <v>8.208E-2</v>
      </c>
    </row>
    <row r="15" spans="1:16">
      <c r="A15" s="50"/>
      <c r="B15" s="50"/>
      <c r="C15" s="50"/>
      <c r="D15" s="50"/>
      <c r="E15" s="50"/>
      <c r="F15" s="49" t="str">
        <f>VLOOKUP('NLBS-DATA'!$AY$6,'NLBS-DATA'!$J$2:$K$9,2,0)</f>
        <v>PS 15W 225mA 60V Maxic(PCB LT-MX-20W-V2)</v>
      </c>
      <c r="G15" s="149">
        <v>1</v>
      </c>
      <c r="H15" s="50" t="s">
        <v>189</v>
      </c>
      <c r="I15" s="50" t="s">
        <v>9</v>
      </c>
      <c r="J15" s="50"/>
      <c r="K15" s="176"/>
      <c r="L15" s="176"/>
      <c r="M15" s="165" t="s">
        <v>339</v>
      </c>
    </row>
    <row r="16" spans="1:16">
      <c r="A16" s="50"/>
      <c r="B16" s="50"/>
      <c r="C16" s="50"/>
      <c r="D16" s="50"/>
      <c r="E16" s="50"/>
      <c r="F16" s="141" t="str">
        <f>VLOOKUP('NLBS-DATA'!AW9,'NLBS-DATA'!AR2:AS17,2,0)</f>
        <v>PBX-NLBS20W</v>
      </c>
      <c r="G16" s="111">
        <v>1</v>
      </c>
      <c r="H16" s="50" t="s">
        <v>189</v>
      </c>
      <c r="I16" s="50" t="s">
        <v>9</v>
      </c>
      <c r="J16" s="50"/>
      <c r="K16" s="176"/>
      <c r="L16" s="176"/>
      <c r="M16" s="165" t="s">
        <v>340</v>
      </c>
    </row>
    <row r="17" spans="1:17">
      <c r="A17" s="50"/>
      <c r="B17" s="50"/>
      <c r="C17" s="50"/>
      <c r="D17" s="50"/>
      <c r="E17" s="50"/>
      <c r="F17" s="154" t="s">
        <v>333</v>
      </c>
      <c r="G17" s="111">
        <v>0.08</v>
      </c>
      <c r="H17" s="50" t="s">
        <v>189</v>
      </c>
      <c r="I17" s="50" t="s">
        <v>9</v>
      </c>
      <c r="J17" s="50"/>
      <c r="K17" s="176">
        <v>27</v>
      </c>
      <c r="L17" s="176">
        <f t="shared" si="1"/>
        <v>2.16</v>
      </c>
    </row>
    <row r="18" spans="1:17">
      <c r="A18" s="50" t="str">
        <f>CONCATENATE($D$2," ", "BOM LED PCB")</f>
        <v>NLBS20M30 BOM LED PCB</v>
      </c>
      <c r="B18" s="50" t="s">
        <v>190</v>
      </c>
      <c r="C18" s="50" t="s">
        <v>191</v>
      </c>
      <c r="D18" s="50" t="str">
        <f>CONCATENATE($D$2," ", "BOM LED PCB")</f>
        <v>NLBS20M30 BOM LED PCB</v>
      </c>
      <c r="E18" s="50">
        <v>1</v>
      </c>
      <c r="F18" s="140" t="str">
        <f>VLOOKUP('NLBS-DATA'!$AW$9,'NLBS-DATA'!AN2:AO8,2,0)</f>
        <v>PCB 10LED L-230 W-28 H-24 NLBS20W (FAFA)</v>
      </c>
      <c r="G18" s="151">
        <v>1</v>
      </c>
      <c r="H18" s="147" t="s">
        <v>329</v>
      </c>
      <c r="I18" s="148" t="s">
        <v>9</v>
      </c>
      <c r="J18" s="50"/>
      <c r="K18" s="176">
        <f t="shared" ref="K13:K19" si="2">P18*87</f>
        <v>0</v>
      </c>
      <c r="L18" s="176">
        <f t="shared" si="1"/>
        <v>0</v>
      </c>
      <c r="M18" s="165" t="s">
        <v>341</v>
      </c>
    </row>
    <row r="19" spans="1:17">
      <c r="F19" s="49" t="str">
        <f>VLOOKUP('NLBS-DATA'!$AW$13,'NLBS-DATA'!$S$3:$T$12,2,0)</f>
        <v>LED SMD 3535 3000K WW</v>
      </c>
      <c r="G19" s="112">
        <f>VLOOKUP('NLBS-DATA'!$AW$15,'NLBS-DATA'!$V$3:$W$5,2,0)</f>
        <v>10</v>
      </c>
      <c r="H19" s="146" t="s">
        <v>329</v>
      </c>
      <c r="I19" s="148" t="s">
        <v>9</v>
      </c>
      <c r="J19" s="50"/>
      <c r="K19" s="176">
        <v>11.5</v>
      </c>
      <c r="L19" s="176">
        <f t="shared" si="1"/>
        <v>115</v>
      </c>
    </row>
    <row r="20" spans="1:17" ht="19.5" customHeight="1" thickBot="1">
      <c r="K20" s="178"/>
      <c r="L20" s="179">
        <f>SUM(L2:L19)</f>
        <v>930.17408</v>
      </c>
    </row>
    <row r="21" spans="1:17" ht="15.75" thickTop="1"/>
    <row r="22" spans="1:17" s="178" customFormat="1">
      <c r="J22" s="186" t="s">
        <v>342</v>
      </c>
      <c r="K22" s="187"/>
      <c r="L22" s="166">
        <f>L20+98</f>
        <v>1028.17408</v>
      </c>
    </row>
    <row r="23" spans="1:17" s="178" customFormat="1">
      <c r="J23" s="188" t="s">
        <v>343</v>
      </c>
      <c r="K23" s="189"/>
      <c r="L23" s="166">
        <f>((L20)+(P23*87))</f>
        <v>1644.66158</v>
      </c>
      <c r="M23" s="167">
        <v>5.4749999999999996</v>
      </c>
      <c r="N23" s="168">
        <v>0.5</v>
      </c>
      <c r="O23" s="168"/>
      <c r="P23" s="169">
        <f>M23+(M23*(N23+O23))</f>
        <v>8.2124999999999986</v>
      </c>
      <c r="Q23" s="178">
        <f>P23*87</f>
        <v>714.48749999999984</v>
      </c>
    </row>
    <row r="26" spans="1:17">
      <c r="L26" s="171"/>
    </row>
    <row r="31" spans="1:17">
      <c r="G31" s="92"/>
    </row>
  </sheetData>
  <mergeCells count="8">
    <mergeCell ref="P2:P11"/>
    <mergeCell ref="J22:K22"/>
    <mergeCell ref="J23:K23"/>
    <mergeCell ref="K2:K11"/>
    <mergeCell ref="L2:L11"/>
    <mergeCell ref="M2:M11"/>
    <mergeCell ref="N2:N11"/>
    <mergeCell ref="O2:O11"/>
  </mergeCells>
  <pageMargins left="0.69930555555555995" right="0.69930555555555995" top="0.75" bottom="0.75" header="0.3" footer="0.3"/>
  <pageSetup orientation="portrait" verticalDpi="0" r:id="rId1"/>
  <ignoredErrors>
    <ignoredError sqref="K1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Result!$B$2:$B$9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C41"/>
  <sheetViews>
    <sheetView topLeftCell="G1" zoomScaleNormal="100" workbookViewId="0">
      <selection activeCell="K9" sqref="K9"/>
    </sheetView>
  </sheetViews>
  <sheetFormatPr defaultRowHeight="15"/>
  <cols>
    <col min="2" max="2" width="59" customWidth="1"/>
    <col min="4" max="4" width="9.140625" style="53"/>
    <col min="6" max="6" width="57.28515625" bestFit="1" customWidth="1"/>
    <col min="7" max="7" width="11" customWidth="1"/>
    <col min="9" max="9" width="9.140625" style="53"/>
    <col min="11" max="11" width="31" bestFit="1" customWidth="1"/>
    <col min="13" max="13" width="9.140625" style="53"/>
    <col min="15" max="15" width="48.5703125" bestFit="1" customWidth="1"/>
    <col min="16" max="16" width="16.140625" customWidth="1"/>
    <col min="17" max="17" width="17.140625" customWidth="1"/>
    <col min="18" max="18" width="9.140625" style="53"/>
    <col min="20" max="20" width="56.85546875" bestFit="1" customWidth="1"/>
    <col min="21" max="21" width="13.5703125" customWidth="1"/>
    <col min="23" max="23" width="8.85546875" style="99" customWidth="1"/>
    <col min="24" max="24" width="8.85546875" style="53" customWidth="1"/>
    <col min="25" max="25" width="8.85546875" style="92" customWidth="1"/>
    <col min="26" max="26" width="50.85546875" style="92" bestFit="1" customWidth="1"/>
    <col min="27" max="28" width="8.85546875" style="92" customWidth="1"/>
    <col min="29" max="29" width="8.85546875" style="53" customWidth="1"/>
    <col min="30" max="30" width="8.85546875" style="92" customWidth="1"/>
    <col min="31" max="31" width="43.140625" style="92" bestFit="1" customWidth="1"/>
    <col min="32" max="33" width="12.140625" style="92" customWidth="1"/>
    <col min="34" max="34" width="12.140625" style="53" customWidth="1"/>
    <col min="35" max="35" width="12.140625" style="92" customWidth="1"/>
    <col min="36" max="36" width="41.7109375" style="92" customWidth="1"/>
    <col min="37" max="37" width="7.28515625" style="92" customWidth="1"/>
    <col min="38" max="38" width="8.28515625" style="92" customWidth="1"/>
    <col min="39" max="39" width="8.28515625" style="137" customWidth="1"/>
    <col min="40" max="40" width="10" style="92" customWidth="1"/>
    <col min="41" max="41" width="42.42578125" style="92" customWidth="1"/>
    <col min="42" max="42" width="10" style="92" customWidth="1"/>
    <col min="43" max="43" width="6.7109375" style="137" customWidth="1"/>
    <col min="44" max="44" width="12.42578125" style="92" customWidth="1"/>
    <col min="45" max="45" width="25.5703125" style="92" customWidth="1"/>
    <col min="46" max="46" width="12.42578125" style="92" customWidth="1"/>
    <col min="48" max="48" width="15.7109375" bestFit="1" customWidth="1"/>
    <col min="49" max="49" width="11.140625" customWidth="1"/>
    <col min="50" max="50" width="21.42578125" customWidth="1"/>
    <col min="51" max="51" width="13.28515625" bestFit="1" customWidth="1"/>
    <col min="52" max="52" width="13.28515625" customWidth="1"/>
    <col min="54" max="54" width="15.42578125" customWidth="1"/>
  </cols>
  <sheetData>
    <row r="1" spans="1:55" s="71" customFormat="1" ht="15.75" thickBot="1">
      <c r="A1" s="79" t="s">
        <v>203</v>
      </c>
      <c r="B1" s="78" t="s">
        <v>237</v>
      </c>
      <c r="C1" s="75" t="s">
        <v>202</v>
      </c>
      <c r="D1" s="74"/>
      <c r="E1" s="77" t="s">
        <v>203</v>
      </c>
      <c r="F1" s="78" t="s">
        <v>206</v>
      </c>
      <c r="G1" s="75" t="s">
        <v>220</v>
      </c>
      <c r="H1" s="75" t="s">
        <v>202</v>
      </c>
      <c r="I1" s="74"/>
      <c r="J1" s="77" t="s">
        <v>203</v>
      </c>
      <c r="K1" s="78" t="s">
        <v>205</v>
      </c>
      <c r="L1" s="75" t="s">
        <v>202</v>
      </c>
      <c r="M1" s="74"/>
      <c r="N1" s="77" t="s">
        <v>204</v>
      </c>
      <c r="O1" s="76" t="s">
        <v>194</v>
      </c>
      <c r="P1" s="95" t="s">
        <v>220</v>
      </c>
      <c r="Q1" s="75" t="s">
        <v>202</v>
      </c>
      <c r="R1" s="74"/>
      <c r="S1" s="73" t="s">
        <v>203</v>
      </c>
      <c r="T1" s="89" t="s">
        <v>215</v>
      </c>
      <c r="U1" s="133" t="s">
        <v>202</v>
      </c>
      <c r="V1" s="73" t="s">
        <v>203</v>
      </c>
      <c r="W1" s="97" t="s">
        <v>220</v>
      </c>
      <c r="X1" s="93"/>
      <c r="Y1" s="94"/>
      <c r="Z1" s="94" t="s">
        <v>222</v>
      </c>
      <c r="AA1" s="94" t="s">
        <v>220</v>
      </c>
      <c r="AB1" s="120" t="s">
        <v>289</v>
      </c>
      <c r="AC1" s="93"/>
      <c r="AD1" s="94"/>
      <c r="AE1" s="94" t="s">
        <v>223</v>
      </c>
      <c r="AF1" s="97" t="s">
        <v>220</v>
      </c>
      <c r="AG1" s="120" t="s">
        <v>202</v>
      </c>
      <c r="AH1" s="93"/>
      <c r="AI1" s="94"/>
      <c r="AJ1" s="94" t="s">
        <v>224</v>
      </c>
      <c r="AK1" s="97" t="s">
        <v>220</v>
      </c>
      <c r="AL1" s="126" t="s">
        <v>202</v>
      </c>
      <c r="AM1" s="126"/>
      <c r="AN1" s="139" t="s">
        <v>203</v>
      </c>
      <c r="AO1" s="139" t="s">
        <v>297</v>
      </c>
      <c r="AP1" s="139" t="s">
        <v>202</v>
      </c>
      <c r="AQ1" s="139"/>
      <c r="AR1" s="89" t="s">
        <v>203</v>
      </c>
      <c r="AS1" s="89" t="s">
        <v>238</v>
      </c>
      <c r="AT1" s="89" t="s">
        <v>202</v>
      </c>
      <c r="AU1" s="72"/>
      <c r="AV1" s="72"/>
      <c r="AW1" s="72"/>
      <c r="AX1" s="72"/>
      <c r="AY1" s="72"/>
      <c r="AZ1" s="72"/>
      <c r="BA1" s="72"/>
      <c r="BC1"/>
    </row>
    <row r="2" spans="1:55">
      <c r="A2" s="51" t="s">
        <v>201</v>
      </c>
      <c r="B2" s="113" t="s">
        <v>240</v>
      </c>
      <c r="C2" s="56"/>
      <c r="E2" s="57" t="s">
        <v>201</v>
      </c>
      <c r="F2" s="113" t="s">
        <v>248</v>
      </c>
      <c r="G2" s="58">
        <v>1</v>
      </c>
      <c r="H2" s="56"/>
      <c r="J2" s="80" t="s">
        <v>207</v>
      </c>
      <c r="K2" s="143" t="s">
        <v>302</v>
      </c>
      <c r="L2" s="56"/>
      <c r="N2" s="117" t="s">
        <v>201</v>
      </c>
      <c r="O2" s="118" t="s">
        <v>280</v>
      </c>
      <c r="P2" s="58">
        <v>1</v>
      </c>
      <c r="Q2" s="58"/>
      <c r="S2" s="96"/>
      <c r="T2" s="101" t="s">
        <v>221</v>
      </c>
      <c r="U2" s="94"/>
      <c r="V2" s="96"/>
      <c r="W2" s="98"/>
      <c r="X2" s="104"/>
      <c r="Y2" s="91"/>
      <c r="Z2" s="91"/>
      <c r="AA2" s="91"/>
      <c r="AB2" s="91"/>
      <c r="AC2" s="103"/>
      <c r="AD2" s="91"/>
      <c r="AE2" s="91"/>
      <c r="AF2" s="91"/>
      <c r="AG2" s="91"/>
      <c r="AH2" s="103"/>
      <c r="AI2" s="91"/>
      <c r="AJ2" s="91"/>
      <c r="AK2" s="91"/>
      <c r="AN2" s="51" t="s">
        <v>201</v>
      </c>
      <c r="AO2" s="51" t="s">
        <v>294</v>
      </c>
      <c r="AP2" s="51"/>
      <c r="AQ2" s="49"/>
      <c r="AR2" s="144" t="s">
        <v>201</v>
      </c>
      <c r="AS2" s="143" t="s">
        <v>290</v>
      </c>
      <c r="AT2" s="50"/>
      <c r="AU2" s="92"/>
      <c r="AV2" s="128" t="s">
        <v>197</v>
      </c>
      <c r="AW2" s="81" t="s">
        <v>196</v>
      </c>
      <c r="AX2" s="81" t="s">
        <v>208</v>
      </c>
      <c r="AY2" s="82" t="s">
        <v>195</v>
      </c>
      <c r="AZ2" s="83"/>
      <c r="BA2" s="70"/>
      <c r="BB2" t="str">
        <f>MID('Stock Item'!D2,1,9)</f>
        <v>NLBS20M30</v>
      </c>
      <c r="BC2" t="s">
        <v>229</v>
      </c>
    </row>
    <row r="3" spans="1:55">
      <c r="A3" s="113" t="s">
        <v>273</v>
      </c>
      <c r="B3" s="113" t="s">
        <v>243</v>
      </c>
      <c r="C3" s="56"/>
      <c r="E3" s="117" t="s">
        <v>273</v>
      </c>
      <c r="F3" s="113" t="s">
        <v>248</v>
      </c>
      <c r="G3" s="58">
        <v>1</v>
      </c>
      <c r="H3" s="56"/>
      <c r="J3" s="88" t="s">
        <v>214</v>
      </c>
      <c r="K3" s="51" t="s">
        <v>200</v>
      </c>
      <c r="L3" s="56"/>
      <c r="N3" s="117" t="s">
        <v>273</v>
      </c>
      <c r="O3" s="118" t="s">
        <v>280</v>
      </c>
      <c r="P3" s="58">
        <v>1</v>
      </c>
      <c r="Q3" s="58"/>
      <c r="S3" s="88" t="s">
        <v>216</v>
      </c>
      <c r="T3" s="58" t="s">
        <v>283</v>
      </c>
      <c r="U3" s="59"/>
      <c r="V3" s="57" t="s">
        <v>226</v>
      </c>
      <c r="W3" s="58">
        <v>3</v>
      </c>
      <c r="X3" s="103"/>
      <c r="Y3" s="57" t="s">
        <v>201</v>
      </c>
      <c r="Z3" s="118" t="s">
        <v>288</v>
      </c>
      <c r="AA3" s="58">
        <v>3</v>
      </c>
      <c r="AB3" s="51"/>
      <c r="AC3" s="121"/>
      <c r="AD3" s="57" t="s">
        <v>201</v>
      </c>
      <c r="AE3" s="50" t="s">
        <v>287</v>
      </c>
      <c r="AF3" s="58">
        <v>3</v>
      </c>
      <c r="AG3" s="91"/>
      <c r="AH3" s="103"/>
      <c r="AI3" s="57" t="s">
        <v>201</v>
      </c>
      <c r="AJ3" s="50" t="s">
        <v>192</v>
      </c>
      <c r="AK3" s="58">
        <v>2</v>
      </c>
      <c r="AL3" s="50"/>
      <c r="AN3" s="113" t="s">
        <v>273</v>
      </c>
      <c r="AO3" s="51" t="s">
        <v>294</v>
      </c>
      <c r="AP3" s="136"/>
      <c r="AQ3" s="140"/>
      <c r="AR3" s="144" t="s">
        <v>199</v>
      </c>
      <c r="AS3" s="143" t="s">
        <v>239</v>
      </c>
      <c r="AT3" s="50"/>
      <c r="AU3" s="92"/>
      <c r="AV3" s="129" t="str">
        <f>MID('Stock Item'!$D$2,4,1)</f>
        <v>S</v>
      </c>
      <c r="AW3" s="69" t="str">
        <f>LEFT('Stock Item'!D2,6)</f>
        <v>NLBS20</v>
      </c>
      <c r="AX3" s="69" t="str">
        <f>LEFT('Stock Item'!D2,9)</f>
        <v>NLBS20M30</v>
      </c>
      <c r="AY3" s="56" t="str">
        <f>MID('Stock Item'!$D$2,5,2)</f>
        <v>20</v>
      </c>
      <c r="AZ3" s="56" t="e">
        <f ca="1">_xlfn.CONCAT(AY3)</f>
        <v>#NAME?</v>
      </c>
      <c r="BA3" s="84" t="s">
        <v>209</v>
      </c>
      <c r="BC3" t="s">
        <v>230</v>
      </c>
    </row>
    <row r="4" spans="1:55">
      <c r="J4" s="55"/>
      <c r="K4" s="55"/>
      <c r="S4" s="57" t="s">
        <v>217</v>
      </c>
      <c r="T4" s="119" t="s">
        <v>284</v>
      </c>
      <c r="U4" s="132"/>
      <c r="V4" s="57" t="s">
        <v>227</v>
      </c>
      <c r="W4" s="58">
        <v>5</v>
      </c>
      <c r="X4" s="103"/>
      <c r="Y4" s="57" t="s">
        <v>199</v>
      </c>
      <c r="Z4" s="118" t="s">
        <v>288</v>
      </c>
      <c r="AA4" s="58">
        <v>5</v>
      </c>
      <c r="AB4" s="51"/>
      <c r="AC4" s="121"/>
      <c r="AD4" s="57" t="s">
        <v>199</v>
      </c>
      <c r="AE4" s="50" t="s">
        <v>287</v>
      </c>
      <c r="AF4" s="58">
        <v>5</v>
      </c>
      <c r="AG4" s="91"/>
      <c r="AH4" s="103"/>
      <c r="AI4" s="57" t="s">
        <v>199</v>
      </c>
      <c r="AJ4" s="50" t="s">
        <v>192</v>
      </c>
      <c r="AK4" s="58">
        <v>4</v>
      </c>
      <c r="AL4" s="50"/>
      <c r="AN4" s="51" t="s">
        <v>199</v>
      </c>
      <c r="AO4" s="50" t="s">
        <v>295</v>
      </c>
      <c r="AP4" s="136"/>
      <c r="AQ4" s="140"/>
      <c r="AR4" s="50" t="s">
        <v>198</v>
      </c>
      <c r="AS4" s="143" t="s">
        <v>301</v>
      </c>
      <c r="AT4" s="50"/>
      <c r="AU4" s="92"/>
      <c r="AV4" s="129"/>
      <c r="AW4" s="50" t="str">
        <f>MID('Stock Item'!$D$2,5,2)</f>
        <v>20</v>
      </c>
      <c r="AX4" s="50" t="str">
        <f>MID('Stock Item'!$D$2,7,1)</f>
        <v>M</v>
      </c>
      <c r="AY4" s="56" t="str">
        <f>MID('Stock Item'!$D$2,10,2)</f>
        <v/>
      </c>
      <c r="AZ4" s="56"/>
      <c r="BA4" s="64"/>
      <c r="BC4" t="s">
        <v>231</v>
      </c>
    </row>
    <row r="5" spans="1:55">
      <c r="A5" s="51" t="s">
        <v>199</v>
      </c>
      <c r="B5" s="114" t="s">
        <v>244</v>
      </c>
      <c r="C5" s="68"/>
      <c r="E5" s="57" t="s">
        <v>199</v>
      </c>
      <c r="F5" s="113" t="s">
        <v>250</v>
      </c>
      <c r="G5" s="51">
        <v>1</v>
      </c>
      <c r="H5" s="67"/>
      <c r="J5" s="66" t="s">
        <v>210</v>
      </c>
      <c r="K5" s="51" t="s">
        <v>298</v>
      </c>
      <c r="L5" s="56"/>
      <c r="N5" s="57" t="s">
        <v>199</v>
      </c>
      <c r="O5" s="118" t="s">
        <v>281</v>
      </c>
      <c r="P5" s="58">
        <v>1</v>
      </c>
      <c r="Q5" s="58"/>
      <c r="S5" s="57" t="s">
        <v>218</v>
      </c>
      <c r="T5" s="58" t="s">
        <v>285</v>
      </c>
      <c r="U5" s="59"/>
      <c r="V5" s="57" t="s">
        <v>228</v>
      </c>
      <c r="W5" s="58">
        <v>10</v>
      </c>
      <c r="X5" s="103"/>
      <c r="Y5" s="102" t="s">
        <v>198</v>
      </c>
      <c r="Z5" s="118" t="s">
        <v>288</v>
      </c>
      <c r="AA5" s="56">
        <v>10</v>
      </c>
      <c r="AB5" s="50"/>
      <c r="AC5" s="122"/>
      <c r="AD5" s="102" t="s">
        <v>198</v>
      </c>
      <c r="AE5" s="50" t="s">
        <v>287</v>
      </c>
      <c r="AF5" s="56">
        <v>10</v>
      </c>
      <c r="AI5" s="102" t="s">
        <v>198</v>
      </c>
      <c r="AJ5" s="50" t="s">
        <v>192</v>
      </c>
      <c r="AK5" s="56">
        <v>8</v>
      </c>
      <c r="AL5" s="50"/>
      <c r="AN5" s="113" t="s">
        <v>274</v>
      </c>
      <c r="AO5" s="50" t="s">
        <v>295</v>
      </c>
      <c r="AP5" s="50"/>
      <c r="AU5" s="92"/>
      <c r="AV5" s="130" t="str">
        <f>CONCATENATE($AV$3,$AW$4,)</f>
        <v>S20</v>
      </c>
      <c r="AW5" s="65" t="str">
        <f>RIGHT(AW4,1)</f>
        <v>0</v>
      </c>
      <c r="AX5" s="50" t="str">
        <f>MID('Stock Item'!$D$2,8,2)</f>
        <v>30</v>
      </c>
      <c r="AY5" s="56"/>
      <c r="AZ5" s="56" t="e">
        <f ca="1">MID(AZ3,10,1)</f>
        <v>#NAME?</v>
      </c>
      <c r="BA5" s="64"/>
      <c r="BC5" t="s">
        <v>232</v>
      </c>
    </row>
    <row r="6" spans="1:55">
      <c r="A6" s="113" t="s">
        <v>274</v>
      </c>
      <c r="B6" s="114" t="s">
        <v>245</v>
      </c>
      <c r="C6" s="56"/>
      <c r="E6" s="117" t="s">
        <v>274</v>
      </c>
      <c r="F6" s="113" t="s">
        <v>250</v>
      </c>
      <c r="G6" s="58">
        <v>1</v>
      </c>
      <c r="H6" s="56"/>
      <c r="J6" s="57" t="s">
        <v>212</v>
      </c>
      <c r="K6" s="51" t="s">
        <v>299</v>
      </c>
      <c r="L6" s="56"/>
      <c r="N6" s="117" t="s">
        <v>274</v>
      </c>
      <c r="O6" s="51" t="s">
        <v>281</v>
      </c>
      <c r="P6" s="58">
        <v>1</v>
      </c>
      <c r="Q6" s="58"/>
      <c r="S6" s="92"/>
      <c r="T6" s="92"/>
      <c r="U6" s="92"/>
      <c r="V6" s="92"/>
      <c r="Y6" s="123"/>
      <c r="Z6" s="124"/>
      <c r="AA6" s="124"/>
      <c r="AB6" s="125"/>
      <c r="AC6" s="121"/>
      <c r="AD6" s="91"/>
      <c r="AE6" s="91"/>
      <c r="AF6" s="91"/>
      <c r="AG6" s="91"/>
      <c r="AH6" s="103"/>
      <c r="AI6" s="91"/>
      <c r="AJ6" s="91"/>
      <c r="AK6" s="91"/>
      <c r="AN6" s="50" t="s">
        <v>198</v>
      </c>
      <c r="AO6" s="50" t="s">
        <v>296</v>
      </c>
      <c r="AP6" s="51"/>
      <c r="AQ6" s="49"/>
      <c r="AR6" s="144" t="s">
        <v>273</v>
      </c>
      <c r="AS6" s="143" t="s">
        <v>290</v>
      </c>
      <c r="AT6" s="50"/>
      <c r="AU6" s="92"/>
      <c r="AV6" s="129"/>
      <c r="AW6" s="50"/>
      <c r="AX6" s="50" t="str">
        <f>MID(AX3,5,2)</f>
        <v>20</v>
      </c>
      <c r="AY6" s="65" t="str">
        <f>CONCATENATE($AY$3,$BA$3,$AY$4 )</f>
        <v>20-</v>
      </c>
      <c r="AZ6" s="85" t="str">
        <f>MID('Stock Item'!D2,11,2)</f>
        <v/>
      </c>
      <c r="BA6" s="64"/>
      <c r="BC6" t="s">
        <v>233</v>
      </c>
    </row>
    <row r="7" spans="1:55" ht="15.75" thickBot="1">
      <c r="F7" s="51"/>
      <c r="G7" s="91"/>
      <c r="J7" s="55"/>
      <c r="K7" s="55"/>
      <c r="N7" s="57"/>
      <c r="O7" s="51"/>
      <c r="P7" s="58"/>
      <c r="Q7" s="58"/>
      <c r="S7" s="117" t="s">
        <v>276</v>
      </c>
      <c r="T7" s="58" t="s">
        <v>283</v>
      </c>
      <c r="U7" s="59"/>
      <c r="V7" s="57"/>
      <c r="W7" s="58"/>
      <c r="X7" s="103"/>
      <c r="Y7" s="117" t="s">
        <v>273</v>
      </c>
      <c r="Z7" s="51" t="s">
        <v>288</v>
      </c>
      <c r="AA7" s="58">
        <v>3</v>
      </c>
      <c r="AB7" s="51"/>
      <c r="AC7" s="121"/>
      <c r="AD7" s="117" t="s">
        <v>273</v>
      </c>
      <c r="AE7" s="50" t="s">
        <v>287</v>
      </c>
      <c r="AF7" s="58">
        <v>3</v>
      </c>
      <c r="AG7" s="91"/>
      <c r="AH7" s="103"/>
      <c r="AI7" s="117" t="s">
        <v>273</v>
      </c>
      <c r="AJ7" s="50" t="s">
        <v>192</v>
      </c>
      <c r="AK7" s="58">
        <v>2</v>
      </c>
      <c r="AL7" s="50"/>
      <c r="AN7" s="50" t="s">
        <v>275</v>
      </c>
      <c r="AO7" s="50" t="s">
        <v>296</v>
      </c>
      <c r="AP7" s="136"/>
      <c r="AQ7" s="140"/>
      <c r="AR7" s="144" t="s">
        <v>274</v>
      </c>
      <c r="AS7" s="143" t="s">
        <v>239</v>
      </c>
      <c r="AT7" s="50"/>
      <c r="AU7" s="92"/>
      <c r="AV7" s="131"/>
      <c r="AW7" s="62"/>
      <c r="AX7" s="63"/>
      <c r="AY7" s="61"/>
      <c r="AZ7" s="61" t="e">
        <f ca="1">_xlfn.CONCAT(BA3,AZ5,AZ6)</f>
        <v>#NAME?</v>
      </c>
      <c r="BA7" s="60"/>
      <c r="BC7" t="s">
        <v>234</v>
      </c>
    </row>
    <row r="8" spans="1:55" ht="15.75" thickBot="1">
      <c r="A8" s="51" t="s">
        <v>198</v>
      </c>
      <c r="B8" s="114" t="s">
        <v>247</v>
      </c>
      <c r="C8" s="56"/>
      <c r="E8" s="57" t="s">
        <v>198</v>
      </c>
      <c r="F8" s="113" t="s">
        <v>249</v>
      </c>
      <c r="G8" s="58">
        <v>2</v>
      </c>
      <c r="H8" s="56"/>
      <c r="J8" s="66" t="s">
        <v>211</v>
      </c>
      <c r="K8" s="170" t="s">
        <v>332</v>
      </c>
      <c r="L8" s="56"/>
      <c r="N8" s="57" t="s">
        <v>198</v>
      </c>
      <c r="O8" s="118" t="s">
        <v>282</v>
      </c>
      <c r="P8" s="58">
        <v>2</v>
      </c>
      <c r="Q8" s="58"/>
      <c r="S8" s="117" t="s">
        <v>277</v>
      </c>
      <c r="T8" s="119" t="s">
        <v>284</v>
      </c>
      <c r="U8" s="132"/>
      <c r="V8" s="57"/>
      <c r="W8" s="58"/>
      <c r="X8" s="103"/>
      <c r="Y8" s="117" t="s">
        <v>274</v>
      </c>
      <c r="Z8" s="51" t="s">
        <v>288</v>
      </c>
      <c r="AA8" s="58">
        <v>5</v>
      </c>
      <c r="AB8" s="51"/>
      <c r="AC8" s="121"/>
      <c r="AD8" s="117" t="s">
        <v>274</v>
      </c>
      <c r="AE8" s="50" t="s">
        <v>287</v>
      </c>
      <c r="AF8" s="58">
        <v>5</v>
      </c>
      <c r="AG8" s="91"/>
      <c r="AH8" s="103"/>
      <c r="AI8" s="117" t="s">
        <v>274</v>
      </c>
      <c r="AJ8" s="50" t="s">
        <v>192</v>
      </c>
      <c r="AK8" s="58">
        <v>4</v>
      </c>
      <c r="AL8" s="50"/>
      <c r="AR8" s="50" t="s">
        <v>275</v>
      </c>
      <c r="AS8" s="143" t="s">
        <v>301</v>
      </c>
      <c r="AT8" s="50"/>
    </row>
    <row r="9" spans="1:55" ht="15.75" thickBot="1">
      <c r="A9" s="113" t="s">
        <v>275</v>
      </c>
      <c r="B9" s="59" t="s">
        <v>246</v>
      </c>
      <c r="C9" s="56"/>
      <c r="E9" s="117" t="s">
        <v>275</v>
      </c>
      <c r="F9" s="113" t="s">
        <v>249</v>
      </c>
      <c r="G9" s="58">
        <v>2</v>
      </c>
      <c r="H9" s="56"/>
      <c r="J9" s="57" t="s">
        <v>213</v>
      </c>
      <c r="K9" s="170" t="s">
        <v>300</v>
      </c>
      <c r="L9" s="56"/>
      <c r="N9" s="117" t="s">
        <v>275</v>
      </c>
      <c r="O9" s="51" t="s">
        <v>282</v>
      </c>
      <c r="P9" s="58">
        <v>2</v>
      </c>
      <c r="Q9" s="58"/>
      <c r="S9" s="117" t="s">
        <v>278</v>
      </c>
      <c r="T9" s="58" t="s">
        <v>285</v>
      </c>
      <c r="U9" s="59"/>
      <c r="V9" s="57"/>
      <c r="W9" s="58"/>
      <c r="X9" s="103"/>
      <c r="Y9" s="102" t="s">
        <v>275</v>
      </c>
      <c r="Z9" s="51" t="s">
        <v>288</v>
      </c>
      <c r="AA9" s="56">
        <v>10</v>
      </c>
      <c r="AB9" s="50"/>
      <c r="AC9" s="122"/>
      <c r="AD9" s="102" t="s">
        <v>275</v>
      </c>
      <c r="AE9" s="50" t="s">
        <v>287</v>
      </c>
      <c r="AF9" s="56">
        <v>10</v>
      </c>
      <c r="AI9" s="102" t="s">
        <v>275</v>
      </c>
      <c r="AJ9" s="50" t="s">
        <v>192</v>
      </c>
      <c r="AK9" s="56">
        <v>8</v>
      </c>
      <c r="AL9" s="50"/>
      <c r="AV9" s="86" t="s">
        <v>197</v>
      </c>
      <c r="AW9" s="107" t="str">
        <f>$AV$5</f>
        <v>S20</v>
      </c>
    </row>
    <row r="10" spans="1:55" ht="15.75" thickBot="1">
      <c r="J10" s="55"/>
      <c r="K10" s="55"/>
      <c r="N10" s="57"/>
      <c r="O10" s="51"/>
      <c r="P10" s="58"/>
      <c r="Q10" s="56"/>
      <c r="S10" s="92"/>
      <c r="T10" s="92"/>
      <c r="U10" s="92"/>
      <c r="V10" s="92"/>
      <c r="Y10" s="91"/>
      <c r="Z10" s="91"/>
      <c r="AA10" s="91"/>
      <c r="AB10" s="91"/>
      <c r="AC10" s="103"/>
      <c r="AD10" s="91"/>
      <c r="AE10" s="91"/>
      <c r="AF10" s="91"/>
      <c r="AG10" s="91"/>
      <c r="AH10" s="103"/>
      <c r="AI10" s="91"/>
      <c r="AJ10" s="91"/>
      <c r="AK10" s="91"/>
      <c r="AV10" s="87" t="s">
        <v>196</v>
      </c>
      <c r="AW10" s="107" t="str">
        <f t="shared" ref="AW10:AW11" si="0">$AV$5</f>
        <v>S20</v>
      </c>
      <c r="AX10" t="str">
        <f>CONCATENATE(AV5,AZ6,AY4)</f>
        <v>S20</v>
      </c>
      <c r="AY10" t="str">
        <f>CONCATENATE(AV3,AY6)</f>
        <v>S20-</v>
      </c>
    </row>
    <row r="11" spans="1:55">
      <c r="J11" s="55"/>
      <c r="K11" s="55"/>
      <c r="S11" s="57" t="s">
        <v>219</v>
      </c>
      <c r="T11" s="58" t="s">
        <v>286</v>
      </c>
      <c r="U11" s="59"/>
      <c r="V11" s="57"/>
      <c r="W11" s="58"/>
      <c r="X11" s="103"/>
      <c r="Y11" s="91"/>
      <c r="Z11" s="91"/>
      <c r="AA11" s="91"/>
      <c r="AB11" s="91"/>
      <c r="AC11" s="103"/>
      <c r="AD11" s="91"/>
      <c r="AE11" s="91"/>
      <c r="AF11" s="91"/>
      <c r="AG11" s="91"/>
      <c r="AH11" s="103"/>
      <c r="AI11" s="91"/>
      <c r="AJ11" s="91"/>
      <c r="AK11" s="91"/>
      <c r="AL11"/>
      <c r="AT11" s="50"/>
      <c r="AV11" s="87" t="s">
        <v>194</v>
      </c>
      <c r="AW11" s="107" t="str">
        <f t="shared" si="0"/>
        <v>S20</v>
      </c>
    </row>
    <row r="12" spans="1:55">
      <c r="O12" s="155"/>
      <c r="P12" s="155"/>
      <c r="Q12" s="155"/>
      <c r="S12" s="117" t="s">
        <v>279</v>
      </c>
      <c r="T12" s="58" t="s">
        <v>286</v>
      </c>
      <c r="U12" s="59"/>
      <c r="V12" s="57"/>
      <c r="W12" s="58"/>
      <c r="X12" s="103"/>
      <c r="Y12" s="91"/>
      <c r="Z12" s="91"/>
      <c r="AA12" s="91"/>
      <c r="AB12" s="91"/>
      <c r="AC12" s="103"/>
      <c r="AD12" s="91"/>
      <c r="AE12" s="91"/>
      <c r="AF12" s="91"/>
      <c r="AG12" s="91"/>
      <c r="AH12" s="134"/>
      <c r="AL12"/>
      <c r="AT12" s="50"/>
      <c r="AV12" s="87" t="s">
        <v>195</v>
      </c>
      <c r="AW12" s="108" t="str">
        <f>$AY$6</f>
        <v>20-</v>
      </c>
    </row>
    <row r="13" spans="1:55">
      <c r="N13" s="54"/>
      <c r="AH13" s="135"/>
      <c r="AL13"/>
      <c r="AT13" s="50"/>
      <c r="AV13" s="87" t="s">
        <v>215</v>
      </c>
      <c r="AW13" s="108" t="str">
        <f>CONCATENATE($AX$5,$AV$3)</f>
        <v>30S</v>
      </c>
    </row>
    <row r="14" spans="1:55">
      <c r="N14" s="54"/>
      <c r="T14" s="100"/>
      <c r="U14" s="100"/>
      <c r="AH14" s="135"/>
      <c r="AL14"/>
      <c r="AV14" s="105" t="s">
        <v>222</v>
      </c>
      <c r="AW14" s="108"/>
    </row>
    <row r="15" spans="1:55" ht="15.75" thickBot="1">
      <c r="N15" s="54"/>
      <c r="S15" s="57"/>
      <c r="T15" s="58"/>
      <c r="U15" s="59"/>
      <c r="V15" s="57"/>
      <c r="W15" s="58"/>
      <c r="X15" s="103"/>
      <c r="AH15" s="135"/>
      <c r="AL15"/>
      <c r="AR15" s="144"/>
      <c r="AS15" s="127"/>
      <c r="AT15" s="50"/>
      <c r="AV15" s="106" t="s">
        <v>225</v>
      </c>
      <c r="AW15" s="109" t="str">
        <f>CONCATENATE($AW$4,$AX$4)</f>
        <v>20M</v>
      </c>
    </row>
    <row r="16" spans="1:55">
      <c r="N16" s="54"/>
      <c r="S16" s="57"/>
      <c r="T16" s="58"/>
      <c r="U16" s="59"/>
      <c r="V16" s="57"/>
      <c r="W16" s="58"/>
      <c r="X16" s="103"/>
      <c r="AH16" s="135"/>
      <c r="AL16"/>
      <c r="AR16" s="144"/>
      <c r="AS16" s="127"/>
      <c r="AT16" s="50"/>
    </row>
    <row r="17" spans="11:48">
      <c r="K17" s="55"/>
      <c r="S17" s="57"/>
      <c r="T17" s="58"/>
      <c r="U17" s="59"/>
      <c r="V17" s="57"/>
      <c r="W17" s="58"/>
      <c r="X17" s="103"/>
      <c r="AH17" s="135"/>
      <c r="AL17"/>
      <c r="AR17" s="50"/>
      <c r="AS17" s="142"/>
      <c r="AT17" s="50"/>
      <c r="AV17" s="115" t="s">
        <v>251</v>
      </c>
    </row>
    <row r="18" spans="11:48">
      <c r="S18" s="92"/>
      <c r="T18" s="92"/>
      <c r="U18" s="92"/>
      <c r="V18" s="92"/>
      <c r="AH18" s="135"/>
      <c r="AK18"/>
      <c r="AL18"/>
      <c r="AM18" s="138"/>
      <c r="AN18"/>
      <c r="AO18"/>
      <c r="AR18" s="50"/>
      <c r="AS18" s="127"/>
      <c r="AV18" s="116" t="s">
        <v>252</v>
      </c>
    </row>
    <row r="19" spans="11:48">
      <c r="N19" s="54"/>
      <c r="S19" s="57"/>
      <c r="T19" s="58"/>
      <c r="U19" s="59"/>
      <c r="V19" s="57"/>
      <c r="W19" s="58"/>
      <c r="X19" s="103"/>
      <c r="AL19"/>
      <c r="AV19" s="116" t="s">
        <v>236</v>
      </c>
    </row>
    <row r="20" spans="11:48">
      <c r="N20" s="54"/>
      <c r="S20" s="57"/>
      <c r="T20" s="58"/>
      <c r="U20" s="59"/>
      <c r="V20" s="57"/>
      <c r="W20" s="58"/>
      <c r="X20" s="103"/>
      <c r="AV20" s="116" t="s">
        <v>241</v>
      </c>
    </row>
    <row r="21" spans="11:48">
      <c r="N21" s="54"/>
      <c r="S21" s="57"/>
      <c r="T21" s="58"/>
      <c r="U21" s="59"/>
      <c r="V21" s="57"/>
      <c r="W21" s="58"/>
      <c r="X21" s="103"/>
      <c r="AV21" s="116" t="s">
        <v>253</v>
      </c>
    </row>
    <row r="22" spans="11:48">
      <c r="N22" s="54"/>
      <c r="S22" s="92"/>
      <c r="T22" s="92"/>
      <c r="U22" s="92"/>
      <c r="V22" s="92"/>
      <c r="AV22" s="116" t="s">
        <v>254</v>
      </c>
    </row>
    <row r="23" spans="11:48">
      <c r="S23" s="57"/>
      <c r="T23" s="58"/>
      <c r="U23" s="59"/>
      <c r="V23" s="57"/>
      <c r="W23" s="58"/>
      <c r="X23" s="103"/>
      <c r="AV23" s="116" t="s">
        <v>255</v>
      </c>
    </row>
    <row r="24" spans="11:48">
      <c r="S24" s="57"/>
      <c r="T24" s="58"/>
      <c r="U24" s="59"/>
      <c r="V24" s="57"/>
      <c r="W24" s="58"/>
      <c r="X24" s="103"/>
      <c r="AV24" s="116" t="s">
        <v>256</v>
      </c>
    </row>
    <row r="25" spans="11:48">
      <c r="AV25" s="116" t="s">
        <v>242</v>
      </c>
    </row>
    <row r="26" spans="11:48">
      <c r="T26" s="94"/>
      <c r="U26" s="94"/>
      <c r="AV26" s="116" t="s">
        <v>257</v>
      </c>
    </row>
    <row r="27" spans="11:48">
      <c r="S27" s="57"/>
      <c r="T27" s="58"/>
      <c r="U27" s="59"/>
      <c r="V27" s="57"/>
      <c r="W27" s="58"/>
      <c r="X27" s="103"/>
      <c r="AV27" s="116" t="s">
        <v>258</v>
      </c>
    </row>
    <row r="28" spans="11:48">
      <c r="S28" s="57"/>
      <c r="T28" s="58"/>
      <c r="U28" s="59"/>
      <c r="V28" s="57"/>
      <c r="W28" s="58"/>
      <c r="X28" s="103"/>
      <c r="AV28" s="116" t="s">
        <v>259</v>
      </c>
    </row>
    <row r="29" spans="11:48">
      <c r="S29" s="57"/>
      <c r="T29" s="58"/>
      <c r="U29" s="59"/>
      <c r="V29" s="57"/>
      <c r="W29" s="58"/>
      <c r="X29" s="103"/>
      <c r="AV29" s="116" t="s">
        <v>260</v>
      </c>
    </row>
    <row r="30" spans="11:48">
      <c r="S30" s="92"/>
      <c r="T30" s="92"/>
      <c r="U30" s="92"/>
      <c r="V30" s="92"/>
      <c r="AV30" s="116" t="s">
        <v>261</v>
      </c>
    </row>
    <row r="31" spans="11:48">
      <c r="S31" s="57"/>
      <c r="T31" s="58"/>
      <c r="U31" s="59"/>
      <c r="V31" s="57"/>
      <c r="W31" s="58"/>
      <c r="X31" s="103"/>
      <c r="AV31" s="116" t="s">
        <v>262</v>
      </c>
    </row>
    <row r="32" spans="11:48">
      <c r="S32" s="57"/>
      <c r="T32" s="58"/>
      <c r="U32" s="59"/>
      <c r="V32" s="57"/>
      <c r="W32" s="58"/>
      <c r="X32" s="103"/>
      <c r="AV32" s="116" t="s">
        <v>263</v>
      </c>
    </row>
    <row r="33" spans="19:48">
      <c r="S33" s="57"/>
      <c r="T33" s="58"/>
      <c r="U33" s="59"/>
      <c r="V33" s="57"/>
      <c r="W33" s="58"/>
      <c r="X33" s="103"/>
      <c r="AV33" s="116" t="s">
        <v>264</v>
      </c>
    </row>
    <row r="34" spans="19:48">
      <c r="S34" s="92"/>
      <c r="T34" s="92"/>
      <c r="U34" s="92"/>
      <c r="V34" s="92"/>
      <c r="AV34" s="116" t="s">
        <v>265</v>
      </c>
    </row>
    <row r="35" spans="19:48">
      <c r="S35" s="57"/>
      <c r="T35" s="58"/>
      <c r="U35" s="59"/>
      <c r="V35" s="57"/>
      <c r="W35" s="58"/>
      <c r="X35" s="103"/>
      <c r="AV35" s="116" t="s">
        <v>266</v>
      </c>
    </row>
    <row r="36" spans="19:48">
      <c r="S36" s="57"/>
      <c r="T36" s="58"/>
      <c r="U36" s="59"/>
      <c r="V36" s="57"/>
      <c r="W36" s="58"/>
      <c r="X36" s="103"/>
      <c r="AV36" t="s">
        <v>267</v>
      </c>
    </row>
    <row r="37" spans="19:48">
      <c r="AV37" t="s">
        <v>268</v>
      </c>
    </row>
    <row r="38" spans="19:48">
      <c r="AV38" t="s">
        <v>269</v>
      </c>
    </row>
    <row r="39" spans="19:48">
      <c r="AV39" t="s">
        <v>270</v>
      </c>
    </row>
    <row r="40" spans="19:48">
      <c r="AV40" t="s">
        <v>271</v>
      </c>
    </row>
    <row r="41" spans="19:48">
      <c r="AV41" t="s">
        <v>272</v>
      </c>
    </row>
  </sheetData>
  <mergeCells count="1">
    <mergeCell ref="O12:Q1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K19" sqref="K19"/>
    </sheetView>
  </sheetViews>
  <sheetFormatPr defaultRowHeight="15"/>
  <cols>
    <col min="1" max="1" width="9.140625" style="145"/>
    <col min="2" max="2" width="13.42578125" style="145" bestFit="1" customWidth="1"/>
    <col min="3" max="10" width="9.140625" style="145"/>
    <col min="11" max="11" width="17.7109375" style="145" bestFit="1" customWidth="1"/>
    <col min="12" max="12" width="28.42578125" style="145" bestFit="1" customWidth="1"/>
    <col min="13" max="13" width="12.7109375" style="145" bestFit="1" customWidth="1"/>
    <col min="14" max="14" width="9.140625" style="145"/>
    <col min="15" max="15" width="29.85546875" style="145" bestFit="1" customWidth="1"/>
    <col min="16" max="16384" width="9.140625" style="145"/>
  </cols>
  <sheetData>
    <row r="1" spans="1:15">
      <c r="A1" s="145" t="s">
        <v>303</v>
      </c>
      <c r="B1" s="145" t="s">
        <v>304</v>
      </c>
      <c r="C1" s="145" t="s">
        <v>305</v>
      </c>
      <c r="D1" s="145" t="s">
        <v>306</v>
      </c>
      <c r="E1" s="145" t="s">
        <v>307</v>
      </c>
      <c r="F1" s="145" t="s">
        <v>308</v>
      </c>
      <c r="G1" s="145" t="s">
        <v>309</v>
      </c>
      <c r="H1" s="145" t="s">
        <v>310</v>
      </c>
      <c r="I1" s="145" t="s">
        <v>311</v>
      </c>
      <c r="J1" s="145" t="s">
        <v>312</v>
      </c>
      <c r="K1" s="145" t="s">
        <v>313</v>
      </c>
      <c r="L1" s="145" t="s">
        <v>314</v>
      </c>
      <c r="M1" s="145" t="s">
        <v>315</v>
      </c>
      <c r="N1" s="145" t="s">
        <v>316</v>
      </c>
      <c r="O1" s="145" t="s">
        <v>317</v>
      </c>
    </row>
    <row r="2" spans="1:15">
      <c r="A2" s="145">
        <v>188716</v>
      </c>
      <c r="B2" s="145" t="s">
        <v>261</v>
      </c>
      <c r="C2" s="145" t="s">
        <v>318</v>
      </c>
      <c r="D2" s="145">
        <v>0</v>
      </c>
      <c r="E2" s="145">
        <v>0</v>
      </c>
      <c r="F2" s="145">
        <v>4378</v>
      </c>
      <c r="G2" s="145">
        <v>0</v>
      </c>
      <c r="H2" s="145">
        <v>0</v>
      </c>
      <c r="I2" s="145">
        <v>0</v>
      </c>
      <c r="J2" s="145">
        <v>0</v>
      </c>
      <c r="K2" s="145" t="s">
        <v>319</v>
      </c>
      <c r="L2" s="145" t="s">
        <v>320</v>
      </c>
      <c r="M2" s="145" t="s">
        <v>321</v>
      </c>
      <c r="N2" s="145" t="s">
        <v>322</v>
      </c>
      <c r="O2" s="145" t="s">
        <v>323</v>
      </c>
    </row>
    <row r="3" spans="1:15">
      <c r="A3" s="145">
        <v>188717</v>
      </c>
      <c r="B3" s="145" t="s">
        <v>262</v>
      </c>
      <c r="C3" s="145" t="s">
        <v>318</v>
      </c>
      <c r="D3" s="145">
        <v>0</v>
      </c>
      <c r="E3" s="145">
        <v>0</v>
      </c>
      <c r="F3" s="145">
        <v>4378</v>
      </c>
      <c r="G3" s="145">
        <v>0</v>
      </c>
      <c r="H3" s="145">
        <v>0</v>
      </c>
      <c r="I3" s="145">
        <v>0</v>
      </c>
      <c r="J3" s="145">
        <v>0</v>
      </c>
      <c r="K3" s="145" t="s">
        <v>319</v>
      </c>
      <c r="L3" s="145" t="s">
        <v>320</v>
      </c>
      <c r="M3" s="145" t="s">
        <v>321</v>
      </c>
      <c r="N3" s="145" t="s">
        <v>324</v>
      </c>
      <c r="O3" s="145" t="s">
        <v>323</v>
      </c>
    </row>
    <row r="4" spans="1:15">
      <c r="A4" s="145">
        <v>188718</v>
      </c>
      <c r="B4" s="145" t="s">
        <v>263</v>
      </c>
      <c r="C4" s="145" t="s">
        <v>318</v>
      </c>
      <c r="D4" s="145">
        <v>0</v>
      </c>
      <c r="E4" s="145">
        <v>0</v>
      </c>
      <c r="F4" s="145">
        <v>4378</v>
      </c>
      <c r="G4" s="145">
        <v>0</v>
      </c>
      <c r="H4" s="145">
        <v>0</v>
      </c>
      <c r="I4" s="145">
        <v>0</v>
      </c>
      <c r="J4" s="145">
        <v>0</v>
      </c>
      <c r="K4" s="145" t="s">
        <v>319</v>
      </c>
      <c r="L4" s="145" t="s">
        <v>320</v>
      </c>
      <c r="M4" s="145" t="s">
        <v>321</v>
      </c>
      <c r="N4" s="145" t="s">
        <v>325</v>
      </c>
      <c r="O4" s="145" t="s">
        <v>323</v>
      </c>
    </row>
    <row r="5" spans="1:15">
      <c r="A5" s="145">
        <v>188720</v>
      </c>
      <c r="B5" s="145" t="s">
        <v>264</v>
      </c>
      <c r="C5" s="145" t="s">
        <v>318</v>
      </c>
      <c r="D5" s="145">
        <v>0</v>
      </c>
      <c r="E5" s="145">
        <v>0</v>
      </c>
      <c r="F5" s="145">
        <v>4378</v>
      </c>
      <c r="G5" s="145">
        <v>0</v>
      </c>
      <c r="H5" s="145">
        <v>0</v>
      </c>
      <c r="I5" s="145">
        <v>0</v>
      </c>
      <c r="J5" s="145">
        <v>0</v>
      </c>
      <c r="K5" s="145" t="s">
        <v>326</v>
      </c>
      <c r="L5" s="145" t="s">
        <v>320</v>
      </c>
      <c r="M5" s="145" t="s">
        <v>321</v>
      </c>
      <c r="N5" s="145" t="s">
        <v>322</v>
      </c>
      <c r="O5" s="145" t="s">
        <v>323</v>
      </c>
    </row>
    <row r="6" spans="1:15">
      <c r="A6" s="145">
        <v>188721</v>
      </c>
      <c r="B6" s="145" t="s">
        <v>265</v>
      </c>
      <c r="C6" s="145" t="s">
        <v>318</v>
      </c>
      <c r="D6" s="145">
        <v>0</v>
      </c>
      <c r="E6" s="145">
        <v>0</v>
      </c>
      <c r="F6" s="145">
        <v>4378</v>
      </c>
      <c r="G6" s="145">
        <v>0</v>
      </c>
      <c r="H6" s="145">
        <v>0</v>
      </c>
      <c r="I6" s="145">
        <v>0</v>
      </c>
      <c r="J6" s="145">
        <v>0</v>
      </c>
      <c r="K6" s="145" t="s">
        <v>326</v>
      </c>
      <c r="L6" s="145" t="s">
        <v>320</v>
      </c>
      <c r="M6" s="145" t="s">
        <v>321</v>
      </c>
      <c r="N6" s="145" t="s">
        <v>324</v>
      </c>
      <c r="O6" s="145" t="s">
        <v>323</v>
      </c>
    </row>
    <row r="7" spans="1:15">
      <c r="A7" s="145">
        <v>188722</v>
      </c>
      <c r="B7" s="145" t="s">
        <v>266</v>
      </c>
      <c r="C7" s="145" t="s">
        <v>318</v>
      </c>
      <c r="D7" s="145">
        <v>0</v>
      </c>
      <c r="E7" s="145">
        <v>0</v>
      </c>
      <c r="F7" s="145">
        <v>4378</v>
      </c>
      <c r="G7" s="145">
        <v>0</v>
      </c>
      <c r="H7" s="145">
        <v>0</v>
      </c>
      <c r="I7" s="145">
        <v>0</v>
      </c>
      <c r="J7" s="145">
        <v>0</v>
      </c>
      <c r="K7" s="145" t="s">
        <v>326</v>
      </c>
      <c r="L7" s="145" t="s">
        <v>320</v>
      </c>
      <c r="M7" s="145" t="s">
        <v>321</v>
      </c>
      <c r="N7" s="145" t="s">
        <v>325</v>
      </c>
      <c r="O7" s="145" t="s">
        <v>323</v>
      </c>
    </row>
    <row r="8" spans="1:15">
      <c r="A8" s="145">
        <v>188743</v>
      </c>
      <c r="B8" s="145" t="s">
        <v>271</v>
      </c>
      <c r="C8" s="145" t="s">
        <v>318</v>
      </c>
      <c r="D8" s="145">
        <v>0</v>
      </c>
      <c r="E8" s="145">
        <v>0</v>
      </c>
      <c r="F8" s="145">
        <v>8140</v>
      </c>
      <c r="G8" s="145">
        <v>0</v>
      </c>
      <c r="H8" s="145">
        <v>0</v>
      </c>
      <c r="I8" s="145">
        <v>0</v>
      </c>
      <c r="J8" s="145">
        <v>0</v>
      </c>
      <c r="K8" s="145" t="s">
        <v>319</v>
      </c>
      <c r="L8" s="145" t="s">
        <v>320</v>
      </c>
      <c r="M8" s="145" t="s">
        <v>321</v>
      </c>
      <c r="N8" s="145" t="s">
        <v>327</v>
      </c>
      <c r="O8" s="145" t="s">
        <v>328</v>
      </c>
    </row>
    <row r="9" spans="1:15">
      <c r="A9" s="145">
        <v>188747</v>
      </c>
      <c r="B9" s="145" t="s">
        <v>272</v>
      </c>
      <c r="C9" s="145" t="s">
        <v>318</v>
      </c>
      <c r="D9" s="145">
        <v>0</v>
      </c>
      <c r="E9" s="145">
        <v>0</v>
      </c>
      <c r="F9" s="145">
        <v>8140</v>
      </c>
      <c r="G9" s="145">
        <v>0</v>
      </c>
      <c r="H9" s="145">
        <v>0</v>
      </c>
      <c r="I9" s="145">
        <v>0</v>
      </c>
      <c r="J9" s="145">
        <v>0</v>
      </c>
      <c r="K9" s="145" t="s">
        <v>326</v>
      </c>
      <c r="L9" s="145" t="s">
        <v>320</v>
      </c>
      <c r="M9" s="145" t="s">
        <v>321</v>
      </c>
      <c r="N9" s="145" t="s">
        <v>327</v>
      </c>
      <c r="O9" s="145" t="s">
        <v>328</v>
      </c>
    </row>
  </sheetData>
  <autoFilter ref="A1:O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A38" sqref="A38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57" t="s">
        <v>20</v>
      </c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9"/>
    </row>
    <row r="6" spans="1:17" ht="12.6" customHeight="1">
      <c r="A6" s="16" t="s">
        <v>21</v>
      </c>
      <c r="B6" s="12" t="s">
        <v>15</v>
      </c>
      <c r="C6" s="13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9"/>
    </row>
    <row r="7" spans="1:17" ht="12.6" customHeight="1">
      <c r="A7" s="16" t="s">
        <v>22</v>
      </c>
      <c r="B7" s="12" t="s">
        <v>15</v>
      </c>
      <c r="C7" s="13"/>
      <c r="E7" s="157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9"/>
    </row>
    <row r="8" spans="1:17" ht="12.6" customHeight="1">
      <c r="A8" s="16" t="s">
        <v>23</v>
      </c>
      <c r="B8" s="12" t="s">
        <v>15</v>
      </c>
      <c r="C8" s="13"/>
      <c r="E8" s="157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9"/>
    </row>
    <row r="9" spans="1:17" ht="12.95" customHeight="1">
      <c r="A9" s="16" t="s">
        <v>24</v>
      </c>
      <c r="B9" s="12" t="s">
        <v>15</v>
      </c>
      <c r="C9" s="13"/>
      <c r="E9" s="157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9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1:17" ht="25.5">
      <c r="A20" s="16" t="s">
        <v>40</v>
      </c>
      <c r="B20" s="12" t="s">
        <v>15</v>
      </c>
      <c r="C20" s="13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  <row r="21" spans="1:17">
      <c r="A21" s="16" t="s">
        <v>41</v>
      </c>
      <c r="B21" s="12" t="s">
        <v>15</v>
      </c>
      <c r="C21" s="13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</row>
    <row r="22" spans="1:17">
      <c r="A22" s="6" t="s">
        <v>42</v>
      </c>
      <c r="B22" s="30"/>
      <c r="C22" s="31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NLBS-DATA</vt:lpstr>
      <vt:lpstr>Result</vt:lpstr>
      <vt:lpstr>Stock Item (Read 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